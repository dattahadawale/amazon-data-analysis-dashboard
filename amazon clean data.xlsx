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ta Hadawale\Desktop\D-Teck Point\practice\Excel\"/>
    </mc:Choice>
  </mc:AlternateContent>
  <xr:revisionPtr revIDLastSave="0" documentId="13_ncr:1_{9A166DC2-4D39-4404-9B5C-89F9E2469DEE}" xr6:coauthVersionLast="47" xr6:coauthVersionMax="47" xr10:uidLastSave="{00000000-0000-0000-0000-000000000000}"/>
  <bookViews>
    <workbookView xWindow="-108" yWindow="-108" windowWidth="23256" windowHeight="13896" xr2:uid="{18F01ECB-1DB7-49EA-A01C-51B5F5C324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01" i="1" l="1"/>
  <c r="O5001" i="1" s="1"/>
  <c r="C5001" i="1"/>
  <c r="L5000" i="1"/>
  <c r="O5000" i="1" s="1"/>
  <c r="C5000" i="1"/>
  <c r="O4999" i="1"/>
  <c r="L4999" i="1"/>
  <c r="C4999" i="1"/>
  <c r="L4998" i="1"/>
  <c r="O4998" i="1" s="1"/>
  <c r="C4998" i="1"/>
  <c r="L4997" i="1"/>
  <c r="O4997" i="1" s="1"/>
  <c r="C4997" i="1"/>
  <c r="O4996" i="1"/>
  <c r="L4996" i="1"/>
  <c r="C4996" i="1"/>
  <c r="O4995" i="1"/>
  <c r="L4995" i="1"/>
  <c r="C4995" i="1"/>
  <c r="L4994" i="1"/>
  <c r="O4994" i="1" s="1"/>
  <c r="C4994" i="1"/>
  <c r="L4993" i="1"/>
  <c r="O4993" i="1" s="1"/>
  <c r="C4993" i="1"/>
  <c r="L4992" i="1"/>
  <c r="O4992" i="1" s="1"/>
  <c r="C4992" i="1"/>
  <c r="L4991" i="1"/>
  <c r="O4991" i="1" s="1"/>
  <c r="C4991" i="1"/>
  <c r="O4990" i="1"/>
  <c r="L4990" i="1"/>
  <c r="C4990" i="1"/>
  <c r="O4989" i="1"/>
  <c r="L4989" i="1"/>
  <c r="C4989" i="1"/>
  <c r="O4988" i="1"/>
  <c r="L4988" i="1"/>
  <c r="C4988" i="1"/>
  <c r="L4987" i="1"/>
  <c r="O4987" i="1" s="1"/>
  <c r="C4987" i="1"/>
  <c r="L4986" i="1"/>
  <c r="O4986" i="1" s="1"/>
  <c r="C4986" i="1"/>
  <c r="L4985" i="1"/>
  <c r="O4985" i="1" s="1"/>
  <c r="C4985" i="1"/>
  <c r="L4984" i="1"/>
  <c r="O4984" i="1" s="1"/>
  <c r="C4984" i="1"/>
  <c r="L4983" i="1"/>
  <c r="O4983" i="1" s="1"/>
  <c r="C4983" i="1"/>
  <c r="O4982" i="1"/>
  <c r="L4982" i="1"/>
  <c r="C4982" i="1"/>
  <c r="L4981" i="1"/>
  <c r="O4981" i="1" s="1"/>
  <c r="C4981" i="1"/>
  <c r="O4980" i="1"/>
  <c r="L4980" i="1"/>
  <c r="C4980" i="1"/>
  <c r="L4979" i="1"/>
  <c r="O4979" i="1" s="1"/>
  <c r="C4979" i="1"/>
  <c r="L4978" i="1"/>
  <c r="O4978" i="1" s="1"/>
  <c r="C4978" i="1"/>
  <c r="L4977" i="1"/>
  <c r="O4977" i="1" s="1"/>
  <c r="C4977" i="1"/>
  <c r="O4976" i="1"/>
  <c r="L4976" i="1"/>
  <c r="C4976" i="1"/>
  <c r="L4975" i="1"/>
  <c r="O4975" i="1" s="1"/>
  <c r="C4975" i="1"/>
  <c r="O4974" i="1"/>
  <c r="L4974" i="1"/>
  <c r="C4974" i="1"/>
  <c r="O4973" i="1"/>
  <c r="L4973" i="1"/>
  <c r="C4973" i="1"/>
  <c r="O4972" i="1"/>
  <c r="L4972" i="1"/>
  <c r="C4972" i="1"/>
  <c r="O4971" i="1"/>
  <c r="L4971" i="1"/>
  <c r="C4971" i="1"/>
  <c r="L4970" i="1"/>
  <c r="O4970" i="1" s="1"/>
  <c r="C4970" i="1"/>
  <c r="L4969" i="1"/>
  <c r="O4969" i="1" s="1"/>
  <c r="C4969" i="1"/>
  <c r="L4968" i="1"/>
  <c r="O4968" i="1" s="1"/>
  <c r="C4968" i="1"/>
  <c r="O4967" i="1"/>
  <c r="L4967" i="1"/>
  <c r="C4967" i="1"/>
  <c r="O4966" i="1"/>
  <c r="L4966" i="1"/>
  <c r="C4966" i="1"/>
  <c r="O4965" i="1"/>
  <c r="L4965" i="1"/>
  <c r="C4965" i="1"/>
  <c r="O4964" i="1"/>
  <c r="L4964" i="1"/>
  <c r="C4964" i="1"/>
  <c r="L4963" i="1"/>
  <c r="O4963" i="1" s="1"/>
  <c r="C4963" i="1"/>
  <c r="L4962" i="1"/>
  <c r="O4962" i="1" s="1"/>
  <c r="C4962" i="1"/>
  <c r="O4961" i="1"/>
  <c r="L4961" i="1"/>
  <c r="C4961" i="1"/>
  <c r="O4960" i="1"/>
  <c r="L4960" i="1"/>
  <c r="C4960" i="1"/>
  <c r="O4959" i="1"/>
  <c r="L4959" i="1"/>
  <c r="C4959" i="1"/>
  <c r="O4958" i="1"/>
  <c r="L4958" i="1"/>
  <c r="C4958" i="1"/>
  <c r="O4957" i="1"/>
  <c r="L4957" i="1"/>
  <c r="C4957" i="1"/>
  <c r="L4956" i="1"/>
  <c r="O4956" i="1" s="1"/>
  <c r="C4956" i="1"/>
  <c r="O4955" i="1"/>
  <c r="L4955" i="1"/>
  <c r="C4955" i="1"/>
  <c r="L4954" i="1"/>
  <c r="O4954" i="1" s="1"/>
  <c r="C4954" i="1"/>
  <c r="O4953" i="1"/>
  <c r="L4953" i="1"/>
  <c r="C4953" i="1"/>
  <c r="L4952" i="1"/>
  <c r="O4952" i="1" s="1"/>
  <c r="C4952" i="1"/>
  <c r="O4951" i="1"/>
  <c r="L4951" i="1"/>
  <c r="C4951" i="1"/>
  <c r="L4950" i="1"/>
  <c r="O4950" i="1" s="1"/>
  <c r="C4950" i="1"/>
  <c r="O4949" i="1"/>
  <c r="L4949" i="1"/>
  <c r="C4949" i="1"/>
  <c r="O4948" i="1"/>
  <c r="L4948" i="1"/>
  <c r="C4948" i="1"/>
  <c r="L4947" i="1"/>
  <c r="O4947" i="1" s="1"/>
  <c r="C4947" i="1"/>
  <c r="L4946" i="1"/>
  <c r="O4946" i="1" s="1"/>
  <c r="C4946" i="1"/>
  <c r="O4945" i="1"/>
  <c r="L4945" i="1"/>
  <c r="C4945" i="1"/>
  <c r="L4944" i="1"/>
  <c r="O4944" i="1" s="1"/>
  <c r="C4944" i="1"/>
  <c r="O4943" i="1"/>
  <c r="L4943" i="1"/>
  <c r="C4943" i="1"/>
  <c r="O4942" i="1"/>
  <c r="L4942" i="1"/>
  <c r="C4942" i="1"/>
  <c r="O4941" i="1"/>
  <c r="L4941" i="1"/>
  <c r="C4941" i="1"/>
  <c r="O4940" i="1"/>
  <c r="L4940" i="1"/>
  <c r="C4940" i="1"/>
  <c r="L4939" i="1"/>
  <c r="O4939" i="1" s="1"/>
  <c r="C4939" i="1"/>
  <c r="O4938" i="1"/>
  <c r="L4938" i="1"/>
  <c r="C4938" i="1"/>
  <c r="O4937" i="1"/>
  <c r="L4937" i="1"/>
  <c r="C4937" i="1"/>
  <c r="L4936" i="1"/>
  <c r="O4936" i="1" s="1"/>
  <c r="C4936" i="1"/>
  <c r="L4935" i="1"/>
  <c r="O4935" i="1" s="1"/>
  <c r="C4935" i="1"/>
  <c r="O4934" i="1"/>
  <c r="L4934" i="1"/>
  <c r="C4934" i="1"/>
  <c r="L4933" i="1"/>
  <c r="O4933" i="1" s="1"/>
  <c r="C4933" i="1"/>
  <c r="O4932" i="1"/>
  <c r="L4932" i="1"/>
  <c r="C4932" i="1"/>
  <c r="L4931" i="1"/>
  <c r="O4931" i="1" s="1"/>
  <c r="C4931" i="1"/>
  <c r="L4930" i="1"/>
  <c r="O4930" i="1" s="1"/>
  <c r="C4930" i="1"/>
  <c r="L4929" i="1"/>
  <c r="O4929" i="1" s="1"/>
  <c r="C4929" i="1"/>
  <c r="O4928" i="1"/>
  <c r="L4928" i="1"/>
  <c r="C4928" i="1"/>
  <c r="L4927" i="1"/>
  <c r="O4927" i="1" s="1"/>
  <c r="C4927" i="1"/>
  <c r="O4926" i="1"/>
  <c r="L4926" i="1"/>
  <c r="C4926" i="1"/>
  <c r="O4925" i="1"/>
  <c r="L4925" i="1"/>
  <c r="C4925" i="1"/>
  <c r="L4924" i="1"/>
  <c r="O4924" i="1" s="1"/>
  <c r="C4924" i="1"/>
  <c r="L4923" i="1"/>
  <c r="O4923" i="1" s="1"/>
  <c r="C4923" i="1"/>
  <c r="O4922" i="1"/>
  <c r="L4922" i="1"/>
  <c r="C4922" i="1"/>
  <c r="O4921" i="1"/>
  <c r="L4921" i="1"/>
  <c r="C4921" i="1"/>
  <c r="L4920" i="1"/>
  <c r="O4920" i="1" s="1"/>
  <c r="C4920" i="1"/>
  <c r="O4919" i="1"/>
  <c r="L4919" i="1"/>
  <c r="C4919" i="1"/>
  <c r="L4918" i="1"/>
  <c r="O4918" i="1" s="1"/>
  <c r="C4918" i="1"/>
  <c r="L4917" i="1"/>
  <c r="O4917" i="1" s="1"/>
  <c r="C4917" i="1"/>
  <c r="O4916" i="1"/>
  <c r="L4916" i="1"/>
  <c r="C4916" i="1"/>
  <c r="L4915" i="1"/>
  <c r="O4915" i="1" s="1"/>
  <c r="C4915" i="1"/>
  <c r="L4914" i="1"/>
  <c r="O4914" i="1" s="1"/>
  <c r="C4914" i="1"/>
  <c r="O4913" i="1"/>
  <c r="L4913" i="1"/>
  <c r="C4913" i="1"/>
  <c r="L4912" i="1"/>
  <c r="O4912" i="1" s="1"/>
  <c r="C4912" i="1"/>
  <c r="O4911" i="1"/>
  <c r="L4911" i="1"/>
  <c r="C4911" i="1"/>
  <c r="O4910" i="1"/>
  <c r="L4910" i="1"/>
  <c r="C4910" i="1"/>
  <c r="O4909" i="1"/>
  <c r="L4909" i="1"/>
  <c r="C4909" i="1"/>
  <c r="O4908" i="1"/>
  <c r="L4908" i="1"/>
  <c r="C4908" i="1"/>
  <c r="L4907" i="1"/>
  <c r="O4907" i="1" s="1"/>
  <c r="C4907" i="1"/>
  <c r="O4906" i="1"/>
  <c r="L4906" i="1"/>
  <c r="C4906" i="1"/>
  <c r="O4905" i="1"/>
  <c r="L4905" i="1"/>
  <c r="C4905" i="1"/>
  <c r="L4904" i="1"/>
  <c r="O4904" i="1" s="1"/>
  <c r="C4904" i="1"/>
  <c r="L4903" i="1"/>
  <c r="O4903" i="1" s="1"/>
  <c r="C4903" i="1"/>
  <c r="O4902" i="1"/>
  <c r="L4902" i="1"/>
  <c r="C4902" i="1"/>
  <c r="L4901" i="1"/>
  <c r="O4901" i="1" s="1"/>
  <c r="C4901" i="1"/>
  <c r="O4900" i="1"/>
  <c r="L4900" i="1"/>
  <c r="C4900" i="1"/>
  <c r="L4899" i="1"/>
  <c r="O4899" i="1" s="1"/>
  <c r="C4899" i="1"/>
  <c r="L4898" i="1"/>
  <c r="O4898" i="1" s="1"/>
  <c r="C4898" i="1"/>
  <c r="L4897" i="1"/>
  <c r="O4897" i="1" s="1"/>
  <c r="C4897" i="1"/>
  <c r="O4896" i="1"/>
  <c r="L4896" i="1"/>
  <c r="C4896" i="1"/>
  <c r="L4895" i="1"/>
  <c r="O4895" i="1" s="1"/>
  <c r="C4895" i="1"/>
  <c r="O4894" i="1"/>
  <c r="L4894" i="1"/>
  <c r="C4894" i="1"/>
  <c r="O4893" i="1"/>
  <c r="L4893" i="1"/>
  <c r="C4893" i="1"/>
  <c r="O4892" i="1"/>
  <c r="L4892" i="1"/>
  <c r="C4892" i="1"/>
  <c r="O4891" i="1"/>
  <c r="L4891" i="1"/>
  <c r="C4891" i="1"/>
  <c r="L4890" i="1"/>
  <c r="O4890" i="1" s="1"/>
  <c r="C4890" i="1"/>
  <c r="O4889" i="1"/>
  <c r="L4889" i="1"/>
  <c r="C4889" i="1"/>
  <c r="L4888" i="1"/>
  <c r="O4888" i="1" s="1"/>
  <c r="C4888" i="1"/>
  <c r="O4887" i="1"/>
  <c r="L4887" i="1"/>
  <c r="C4887" i="1"/>
  <c r="L4886" i="1"/>
  <c r="O4886" i="1" s="1"/>
  <c r="C4886" i="1"/>
  <c r="O4885" i="1"/>
  <c r="L4885" i="1"/>
  <c r="C4885" i="1"/>
  <c r="O4884" i="1"/>
  <c r="L4884" i="1"/>
  <c r="C4884" i="1"/>
  <c r="L4883" i="1"/>
  <c r="O4883" i="1" s="1"/>
  <c r="C4883" i="1"/>
  <c r="L4882" i="1"/>
  <c r="O4882" i="1" s="1"/>
  <c r="C4882" i="1"/>
  <c r="L4881" i="1"/>
  <c r="O4881" i="1" s="1"/>
  <c r="C4881" i="1"/>
  <c r="L4880" i="1"/>
  <c r="O4880" i="1" s="1"/>
  <c r="C4880" i="1"/>
  <c r="O4879" i="1"/>
  <c r="L4879" i="1"/>
  <c r="C4879" i="1"/>
  <c r="O4878" i="1"/>
  <c r="L4878" i="1"/>
  <c r="C4878" i="1"/>
  <c r="O4877" i="1"/>
  <c r="L4877" i="1"/>
  <c r="C4877" i="1"/>
  <c r="L4876" i="1"/>
  <c r="O4876" i="1" s="1"/>
  <c r="C4876" i="1"/>
  <c r="O4875" i="1"/>
  <c r="L4875" i="1"/>
  <c r="C4875" i="1"/>
  <c r="O4874" i="1"/>
  <c r="L4874" i="1"/>
  <c r="C4874" i="1"/>
  <c r="O4873" i="1"/>
  <c r="L4873" i="1"/>
  <c r="C4873" i="1"/>
  <c r="L4872" i="1"/>
  <c r="O4872" i="1" s="1"/>
  <c r="C4872" i="1"/>
  <c r="O4871" i="1"/>
  <c r="L4871" i="1"/>
  <c r="C4871" i="1"/>
  <c r="O4870" i="1"/>
  <c r="L4870" i="1"/>
  <c r="C4870" i="1"/>
  <c r="L4869" i="1"/>
  <c r="O4869" i="1" s="1"/>
  <c r="C4869" i="1"/>
  <c r="O4868" i="1"/>
  <c r="L4868" i="1"/>
  <c r="C4868" i="1"/>
  <c r="L4867" i="1"/>
  <c r="O4867" i="1" s="1"/>
  <c r="C4867" i="1"/>
  <c r="L4866" i="1"/>
  <c r="O4866" i="1" s="1"/>
  <c r="C4866" i="1"/>
  <c r="L4865" i="1"/>
  <c r="O4865" i="1" s="1"/>
  <c r="C4865" i="1"/>
  <c r="L4864" i="1"/>
  <c r="O4864" i="1" s="1"/>
  <c r="C4864" i="1"/>
  <c r="L4863" i="1"/>
  <c r="O4863" i="1" s="1"/>
  <c r="C4863" i="1"/>
  <c r="O4862" i="1"/>
  <c r="L4862" i="1"/>
  <c r="C4862" i="1"/>
  <c r="O4861" i="1"/>
  <c r="L4861" i="1"/>
  <c r="C4861" i="1"/>
  <c r="L4860" i="1"/>
  <c r="O4860" i="1" s="1"/>
  <c r="C4860" i="1"/>
  <c r="O4859" i="1"/>
  <c r="L4859" i="1"/>
  <c r="C4859" i="1"/>
  <c r="O4858" i="1"/>
  <c r="L4858" i="1"/>
  <c r="C4858" i="1"/>
  <c r="O4857" i="1"/>
  <c r="L4857" i="1"/>
  <c r="C4857" i="1"/>
  <c r="L4856" i="1"/>
  <c r="O4856" i="1" s="1"/>
  <c r="C4856" i="1"/>
  <c r="O4855" i="1"/>
  <c r="L4855" i="1"/>
  <c r="C4855" i="1"/>
  <c r="L4854" i="1"/>
  <c r="O4854" i="1" s="1"/>
  <c r="C4854" i="1"/>
  <c r="O4853" i="1"/>
  <c r="L4853" i="1"/>
  <c r="C4853" i="1"/>
  <c r="O4852" i="1"/>
  <c r="L4852" i="1"/>
  <c r="C4852" i="1"/>
  <c r="L4851" i="1"/>
  <c r="O4851" i="1" s="1"/>
  <c r="C4851" i="1"/>
  <c r="L4850" i="1"/>
  <c r="O4850" i="1" s="1"/>
  <c r="C4850" i="1"/>
  <c r="O4849" i="1"/>
  <c r="L4849" i="1"/>
  <c r="C4849" i="1"/>
  <c r="L4848" i="1"/>
  <c r="O4848" i="1" s="1"/>
  <c r="C4848" i="1"/>
  <c r="O4847" i="1"/>
  <c r="L4847" i="1"/>
  <c r="C4847" i="1"/>
  <c r="O4846" i="1"/>
  <c r="L4846" i="1"/>
  <c r="C4846" i="1"/>
  <c r="O4845" i="1"/>
  <c r="L4845" i="1"/>
  <c r="C4845" i="1"/>
  <c r="L4844" i="1"/>
  <c r="O4844" i="1" s="1"/>
  <c r="C4844" i="1"/>
  <c r="L4843" i="1"/>
  <c r="O4843" i="1" s="1"/>
  <c r="C4843" i="1"/>
  <c r="L4842" i="1"/>
  <c r="O4842" i="1" s="1"/>
  <c r="C4842" i="1"/>
  <c r="O4841" i="1"/>
  <c r="L4841" i="1"/>
  <c r="C4841" i="1"/>
  <c r="L4840" i="1"/>
  <c r="O4840" i="1" s="1"/>
  <c r="C4840" i="1"/>
  <c r="L4839" i="1"/>
  <c r="O4839" i="1" s="1"/>
  <c r="C4839" i="1"/>
  <c r="L4838" i="1"/>
  <c r="O4838" i="1" s="1"/>
  <c r="C4838" i="1"/>
  <c r="L4837" i="1"/>
  <c r="O4837" i="1" s="1"/>
  <c r="C4837" i="1"/>
  <c r="O4836" i="1"/>
  <c r="L4836" i="1"/>
  <c r="C4836" i="1"/>
  <c r="L4835" i="1"/>
  <c r="O4835" i="1" s="1"/>
  <c r="C4835" i="1"/>
  <c r="L4834" i="1"/>
  <c r="O4834" i="1" s="1"/>
  <c r="C4834" i="1"/>
  <c r="L4833" i="1"/>
  <c r="O4833" i="1" s="1"/>
  <c r="C4833" i="1"/>
  <c r="L4832" i="1"/>
  <c r="O4832" i="1" s="1"/>
  <c r="C4832" i="1"/>
  <c r="O4831" i="1"/>
  <c r="L4831" i="1"/>
  <c r="C4831" i="1"/>
  <c r="O4830" i="1"/>
  <c r="L4830" i="1"/>
  <c r="C4830" i="1"/>
  <c r="O4829" i="1"/>
  <c r="L4829" i="1"/>
  <c r="C4829" i="1"/>
  <c r="O4828" i="1"/>
  <c r="L4828" i="1"/>
  <c r="C4828" i="1"/>
  <c r="L4827" i="1"/>
  <c r="O4827" i="1" s="1"/>
  <c r="C4827" i="1"/>
  <c r="L4826" i="1"/>
  <c r="O4826" i="1" s="1"/>
  <c r="C4826" i="1"/>
  <c r="O4825" i="1"/>
  <c r="L4825" i="1"/>
  <c r="C4825" i="1"/>
  <c r="L4824" i="1"/>
  <c r="O4824" i="1" s="1"/>
  <c r="C4824" i="1"/>
  <c r="L4823" i="1"/>
  <c r="O4823" i="1" s="1"/>
  <c r="C4823" i="1"/>
  <c r="L4822" i="1"/>
  <c r="O4822" i="1" s="1"/>
  <c r="C4822" i="1"/>
  <c r="L4821" i="1"/>
  <c r="O4821" i="1" s="1"/>
  <c r="C4821" i="1"/>
  <c r="O4820" i="1"/>
  <c r="L4820" i="1"/>
  <c r="C4820" i="1"/>
  <c r="L4819" i="1"/>
  <c r="O4819" i="1" s="1"/>
  <c r="C4819" i="1"/>
  <c r="L4818" i="1"/>
  <c r="O4818" i="1" s="1"/>
  <c r="C4818" i="1"/>
  <c r="L4817" i="1"/>
  <c r="O4817" i="1" s="1"/>
  <c r="C4817" i="1"/>
  <c r="L4816" i="1"/>
  <c r="O4816" i="1" s="1"/>
  <c r="C4816" i="1"/>
  <c r="L4815" i="1"/>
  <c r="O4815" i="1" s="1"/>
  <c r="C4815" i="1"/>
  <c r="O4814" i="1"/>
  <c r="L4814" i="1"/>
  <c r="C4814" i="1"/>
  <c r="O4813" i="1"/>
  <c r="L4813" i="1"/>
  <c r="C4813" i="1"/>
  <c r="L4812" i="1"/>
  <c r="O4812" i="1" s="1"/>
  <c r="C4812" i="1"/>
  <c r="O4811" i="1"/>
  <c r="L4811" i="1"/>
  <c r="C4811" i="1"/>
  <c r="L4810" i="1"/>
  <c r="O4810" i="1" s="1"/>
  <c r="C4810" i="1"/>
  <c r="O4809" i="1"/>
  <c r="L4809" i="1"/>
  <c r="C4809" i="1"/>
  <c r="L4808" i="1"/>
  <c r="O4808" i="1" s="1"/>
  <c r="C4808" i="1"/>
  <c r="O4807" i="1"/>
  <c r="L4807" i="1"/>
  <c r="C4807" i="1"/>
  <c r="L4806" i="1"/>
  <c r="O4806" i="1" s="1"/>
  <c r="C4806" i="1"/>
  <c r="L4805" i="1"/>
  <c r="O4805" i="1" s="1"/>
  <c r="C4805" i="1"/>
  <c r="O4804" i="1"/>
  <c r="L4804" i="1"/>
  <c r="C4804" i="1"/>
  <c r="L4803" i="1"/>
  <c r="O4803" i="1" s="1"/>
  <c r="C4803" i="1"/>
  <c r="L4802" i="1"/>
  <c r="O4802" i="1" s="1"/>
  <c r="C4802" i="1"/>
  <c r="O4801" i="1"/>
  <c r="L4801" i="1"/>
  <c r="C4801" i="1"/>
  <c r="L4800" i="1"/>
  <c r="O4800" i="1" s="1"/>
  <c r="C4800" i="1"/>
  <c r="L4799" i="1"/>
  <c r="O4799" i="1" s="1"/>
  <c r="C4799" i="1"/>
  <c r="O4798" i="1"/>
  <c r="L4798" i="1"/>
  <c r="C4798" i="1"/>
  <c r="O4797" i="1"/>
  <c r="L4797" i="1"/>
  <c r="C4797" i="1"/>
  <c r="L4796" i="1"/>
  <c r="O4796" i="1" s="1"/>
  <c r="C4796" i="1"/>
  <c r="L4795" i="1"/>
  <c r="O4795" i="1" s="1"/>
  <c r="C4795" i="1"/>
  <c r="O4794" i="1"/>
  <c r="L4794" i="1"/>
  <c r="C4794" i="1"/>
  <c r="O4793" i="1"/>
  <c r="L4793" i="1"/>
  <c r="C4793" i="1"/>
  <c r="L4792" i="1"/>
  <c r="O4792" i="1" s="1"/>
  <c r="C4792" i="1"/>
  <c r="O4791" i="1"/>
  <c r="L4791" i="1"/>
  <c r="C4791" i="1"/>
  <c r="O4790" i="1"/>
  <c r="L4790" i="1"/>
  <c r="C4790" i="1"/>
  <c r="L4789" i="1"/>
  <c r="O4789" i="1" s="1"/>
  <c r="C4789" i="1"/>
  <c r="O4788" i="1"/>
  <c r="L4788" i="1"/>
  <c r="C4788" i="1"/>
  <c r="L4787" i="1"/>
  <c r="O4787" i="1" s="1"/>
  <c r="C4787" i="1"/>
  <c r="L4786" i="1"/>
  <c r="O4786" i="1" s="1"/>
  <c r="C4786" i="1"/>
  <c r="L4785" i="1"/>
  <c r="O4785" i="1" s="1"/>
  <c r="C4785" i="1"/>
  <c r="O4784" i="1"/>
  <c r="L4784" i="1"/>
  <c r="C4784" i="1"/>
  <c r="L4783" i="1"/>
  <c r="O4783" i="1" s="1"/>
  <c r="C4783" i="1"/>
  <c r="O4782" i="1"/>
  <c r="L4782" i="1"/>
  <c r="C4782" i="1"/>
  <c r="O4781" i="1"/>
  <c r="L4781" i="1"/>
  <c r="C4781" i="1"/>
  <c r="L4780" i="1"/>
  <c r="O4780" i="1" s="1"/>
  <c r="C4780" i="1"/>
  <c r="O4779" i="1"/>
  <c r="L4779" i="1"/>
  <c r="C4779" i="1"/>
  <c r="L4778" i="1"/>
  <c r="O4778" i="1" s="1"/>
  <c r="C4778" i="1"/>
  <c r="O4777" i="1"/>
  <c r="L4777" i="1"/>
  <c r="C4777" i="1"/>
  <c r="L4776" i="1"/>
  <c r="O4776" i="1" s="1"/>
  <c r="C4776" i="1"/>
  <c r="O4775" i="1"/>
  <c r="L4775" i="1"/>
  <c r="C4775" i="1"/>
  <c r="L4774" i="1"/>
  <c r="O4774" i="1" s="1"/>
  <c r="C4774" i="1"/>
  <c r="O4773" i="1"/>
  <c r="L4773" i="1"/>
  <c r="C4773" i="1"/>
  <c r="O4772" i="1"/>
  <c r="L4772" i="1"/>
  <c r="C4772" i="1"/>
  <c r="L4771" i="1"/>
  <c r="O4771" i="1" s="1"/>
  <c r="C4771" i="1"/>
  <c r="L4770" i="1"/>
  <c r="O4770" i="1" s="1"/>
  <c r="C4770" i="1"/>
  <c r="O4769" i="1"/>
  <c r="L4769" i="1"/>
  <c r="C4769" i="1"/>
  <c r="L4768" i="1"/>
  <c r="O4768" i="1" s="1"/>
  <c r="C4768" i="1"/>
  <c r="O4767" i="1"/>
  <c r="L4767" i="1"/>
  <c r="C4767" i="1"/>
  <c r="O4766" i="1"/>
  <c r="L4766" i="1"/>
  <c r="C4766" i="1"/>
  <c r="O4765" i="1"/>
  <c r="L4765" i="1"/>
  <c r="C4765" i="1"/>
  <c r="L4764" i="1"/>
  <c r="O4764" i="1" s="1"/>
  <c r="C4764" i="1"/>
  <c r="O4763" i="1"/>
  <c r="L4763" i="1"/>
  <c r="C4763" i="1"/>
  <c r="L4762" i="1"/>
  <c r="O4762" i="1" s="1"/>
  <c r="C4762" i="1"/>
  <c r="O4761" i="1"/>
  <c r="L4761" i="1"/>
  <c r="C4761" i="1"/>
  <c r="L4760" i="1"/>
  <c r="O4760" i="1" s="1"/>
  <c r="C4760" i="1"/>
  <c r="L4759" i="1"/>
  <c r="O4759" i="1" s="1"/>
  <c r="C4759" i="1"/>
  <c r="L4758" i="1"/>
  <c r="O4758" i="1" s="1"/>
  <c r="C4758" i="1"/>
  <c r="O4757" i="1"/>
  <c r="L4757" i="1"/>
  <c r="C4757" i="1"/>
  <c r="O4756" i="1"/>
  <c r="L4756" i="1"/>
  <c r="C4756" i="1"/>
  <c r="L4755" i="1"/>
  <c r="O4755" i="1" s="1"/>
  <c r="C4755" i="1"/>
  <c r="L4754" i="1"/>
  <c r="O4754" i="1" s="1"/>
  <c r="C4754" i="1"/>
  <c r="L4753" i="1"/>
  <c r="O4753" i="1" s="1"/>
  <c r="C4753" i="1"/>
  <c r="L4752" i="1"/>
  <c r="O4752" i="1" s="1"/>
  <c r="C4752" i="1"/>
  <c r="O4751" i="1"/>
  <c r="L4751" i="1"/>
  <c r="C4751" i="1"/>
  <c r="O4750" i="1"/>
  <c r="L4750" i="1"/>
  <c r="C4750" i="1"/>
  <c r="O4749" i="1"/>
  <c r="L4749" i="1"/>
  <c r="C4749" i="1"/>
  <c r="L4748" i="1"/>
  <c r="O4748" i="1" s="1"/>
  <c r="C4748" i="1"/>
  <c r="L4747" i="1"/>
  <c r="O4747" i="1" s="1"/>
  <c r="C4747" i="1"/>
  <c r="O4746" i="1"/>
  <c r="L4746" i="1"/>
  <c r="C4746" i="1"/>
  <c r="O4745" i="1"/>
  <c r="L4745" i="1"/>
  <c r="C4745" i="1"/>
  <c r="L4744" i="1"/>
  <c r="O4744" i="1" s="1"/>
  <c r="C4744" i="1"/>
  <c r="O4743" i="1"/>
  <c r="L4743" i="1"/>
  <c r="C4743" i="1"/>
  <c r="L4742" i="1"/>
  <c r="O4742" i="1" s="1"/>
  <c r="C4742" i="1"/>
  <c r="L4741" i="1"/>
  <c r="O4741" i="1" s="1"/>
  <c r="C4741" i="1"/>
  <c r="O4740" i="1"/>
  <c r="L4740" i="1"/>
  <c r="C4740" i="1"/>
  <c r="L4739" i="1"/>
  <c r="O4739" i="1" s="1"/>
  <c r="C4739" i="1"/>
  <c r="L4738" i="1"/>
  <c r="O4738" i="1" s="1"/>
  <c r="C4738" i="1"/>
  <c r="O4737" i="1"/>
  <c r="L4737" i="1"/>
  <c r="C4737" i="1"/>
  <c r="L4736" i="1"/>
  <c r="O4736" i="1" s="1"/>
  <c r="C4736" i="1"/>
  <c r="O4735" i="1"/>
  <c r="L4735" i="1"/>
  <c r="C4735" i="1"/>
  <c r="O4734" i="1"/>
  <c r="L4734" i="1"/>
  <c r="C4734" i="1"/>
  <c r="O4733" i="1"/>
  <c r="L4733" i="1"/>
  <c r="C4733" i="1"/>
  <c r="L4732" i="1"/>
  <c r="O4732" i="1" s="1"/>
  <c r="C4732" i="1"/>
  <c r="L4731" i="1"/>
  <c r="O4731" i="1" s="1"/>
  <c r="C4731" i="1"/>
  <c r="L4730" i="1"/>
  <c r="O4730" i="1" s="1"/>
  <c r="C4730" i="1"/>
  <c r="O4729" i="1"/>
  <c r="L4729" i="1"/>
  <c r="C4729" i="1"/>
  <c r="L4728" i="1"/>
  <c r="O4728" i="1" s="1"/>
  <c r="C4728" i="1"/>
  <c r="O4727" i="1"/>
  <c r="L4727" i="1"/>
  <c r="C4727" i="1"/>
  <c r="O4726" i="1"/>
  <c r="L4726" i="1"/>
  <c r="C4726" i="1"/>
  <c r="L4725" i="1"/>
  <c r="O4725" i="1" s="1"/>
  <c r="C4725" i="1"/>
  <c r="O4724" i="1"/>
  <c r="L4724" i="1"/>
  <c r="C4724" i="1"/>
  <c r="L4723" i="1"/>
  <c r="O4723" i="1" s="1"/>
  <c r="C4723" i="1"/>
  <c r="L4722" i="1"/>
  <c r="O4722" i="1" s="1"/>
  <c r="C4722" i="1"/>
  <c r="O4721" i="1"/>
  <c r="L4721" i="1"/>
  <c r="C4721" i="1"/>
  <c r="O4720" i="1"/>
  <c r="L4720" i="1"/>
  <c r="C4720" i="1"/>
  <c r="L4719" i="1"/>
  <c r="O4719" i="1" s="1"/>
  <c r="C4719" i="1"/>
  <c r="O4718" i="1"/>
  <c r="L4718" i="1"/>
  <c r="C4718" i="1"/>
  <c r="O4717" i="1"/>
  <c r="L4717" i="1"/>
  <c r="C4717" i="1"/>
  <c r="O4716" i="1"/>
  <c r="L4716" i="1"/>
  <c r="C4716" i="1"/>
  <c r="L4715" i="1"/>
  <c r="O4715" i="1" s="1"/>
  <c r="C4715" i="1"/>
  <c r="L4714" i="1"/>
  <c r="O4714" i="1" s="1"/>
  <c r="C4714" i="1"/>
  <c r="O4713" i="1"/>
  <c r="L4713" i="1"/>
  <c r="C4713" i="1"/>
  <c r="L4712" i="1"/>
  <c r="O4712" i="1" s="1"/>
  <c r="C4712" i="1"/>
  <c r="L4711" i="1"/>
  <c r="O4711" i="1" s="1"/>
  <c r="C4711" i="1"/>
  <c r="O4710" i="1"/>
  <c r="L4710" i="1"/>
  <c r="C4710" i="1"/>
  <c r="O4709" i="1"/>
  <c r="L4709" i="1"/>
  <c r="C4709" i="1"/>
  <c r="O4708" i="1"/>
  <c r="L4708" i="1"/>
  <c r="C4708" i="1"/>
  <c r="L4707" i="1"/>
  <c r="O4707" i="1" s="1"/>
  <c r="C4707" i="1"/>
  <c r="L4706" i="1"/>
  <c r="O4706" i="1" s="1"/>
  <c r="C4706" i="1"/>
  <c r="L4705" i="1"/>
  <c r="O4705" i="1" s="1"/>
  <c r="C4705" i="1"/>
  <c r="O4704" i="1"/>
  <c r="L4704" i="1"/>
  <c r="C4704" i="1"/>
  <c r="O4703" i="1"/>
  <c r="L4703" i="1"/>
  <c r="C4703" i="1"/>
  <c r="L4702" i="1"/>
  <c r="O4702" i="1" s="1"/>
  <c r="C4702" i="1"/>
  <c r="O4701" i="1"/>
  <c r="L4701" i="1"/>
  <c r="C4701" i="1"/>
  <c r="L4700" i="1"/>
  <c r="O4700" i="1" s="1"/>
  <c r="C4700" i="1"/>
  <c r="L4699" i="1"/>
  <c r="O4699" i="1" s="1"/>
  <c r="C4699" i="1"/>
  <c r="L4698" i="1"/>
  <c r="O4698" i="1" s="1"/>
  <c r="C4698" i="1"/>
  <c r="O4697" i="1"/>
  <c r="L4697" i="1"/>
  <c r="C4697" i="1"/>
  <c r="L4696" i="1"/>
  <c r="O4696" i="1" s="1"/>
  <c r="C4696" i="1"/>
  <c r="L4695" i="1"/>
  <c r="O4695" i="1" s="1"/>
  <c r="C4695" i="1"/>
  <c r="L4694" i="1"/>
  <c r="O4694" i="1" s="1"/>
  <c r="C4694" i="1"/>
  <c r="O4693" i="1"/>
  <c r="L4693" i="1"/>
  <c r="C4693" i="1"/>
  <c r="O4692" i="1"/>
  <c r="L4692" i="1"/>
  <c r="C4692" i="1"/>
  <c r="L4691" i="1"/>
  <c r="O4691" i="1" s="1"/>
  <c r="C4691" i="1"/>
  <c r="L4690" i="1"/>
  <c r="O4690" i="1" s="1"/>
  <c r="C4690" i="1"/>
  <c r="L4689" i="1"/>
  <c r="O4689" i="1" s="1"/>
  <c r="C4689" i="1"/>
  <c r="L4688" i="1"/>
  <c r="O4688" i="1" s="1"/>
  <c r="C4688" i="1"/>
  <c r="O4687" i="1"/>
  <c r="L4687" i="1"/>
  <c r="C4687" i="1"/>
  <c r="L4686" i="1"/>
  <c r="O4686" i="1" s="1"/>
  <c r="C4686" i="1"/>
  <c r="O4685" i="1"/>
  <c r="L4685" i="1"/>
  <c r="C4685" i="1"/>
  <c r="L4684" i="1"/>
  <c r="O4684" i="1" s="1"/>
  <c r="C4684" i="1"/>
  <c r="L4683" i="1"/>
  <c r="O4683" i="1" s="1"/>
  <c r="C4683" i="1"/>
  <c r="L4682" i="1"/>
  <c r="O4682" i="1" s="1"/>
  <c r="C4682" i="1"/>
  <c r="O4681" i="1"/>
  <c r="L4681" i="1"/>
  <c r="C4681" i="1"/>
  <c r="L4680" i="1"/>
  <c r="O4680" i="1" s="1"/>
  <c r="C4680" i="1"/>
  <c r="L4679" i="1"/>
  <c r="O4679" i="1" s="1"/>
  <c r="C4679" i="1"/>
  <c r="O4678" i="1"/>
  <c r="L4678" i="1"/>
  <c r="C4678" i="1"/>
  <c r="L4677" i="1"/>
  <c r="O4677" i="1" s="1"/>
  <c r="C4677" i="1"/>
  <c r="O4676" i="1"/>
  <c r="L4676" i="1"/>
  <c r="C4676" i="1"/>
  <c r="L4675" i="1"/>
  <c r="O4675" i="1" s="1"/>
  <c r="C4675" i="1"/>
  <c r="L4674" i="1"/>
  <c r="O4674" i="1" s="1"/>
  <c r="C4674" i="1"/>
  <c r="L4673" i="1"/>
  <c r="O4673" i="1" s="1"/>
  <c r="C4673" i="1"/>
  <c r="O4672" i="1"/>
  <c r="L4672" i="1"/>
  <c r="C4672" i="1"/>
  <c r="L4671" i="1"/>
  <c r="O4671" i="1" s="1"/>
  <c r="C4671" i="1"/>
  <c r="L4670" i="1"/>
  <c r="O4670" i="1" s="1"/>
  <c r="C4670" i="1"/>
  <c r="O4669" i="1"/>
  <c r="L4669" i="1"/>
  <c r="C4669" i="1"/>
  <c r="O4668" i="1"/>
  <c r="L4668" i="1"/>
  <c r="C4668" i="1"/>
  <c r="L4667" i="1"/>
  <c r="O4667" i="1" s="1"/>
  <c r="C4667" i="1"/>
  <c r="O4666" i="1"/>
  <c r="L4666" i="1"/>
  <c r="C4666" i="1"/>
  <c r="O4665" i="1"/>
  <c r="L4665" i="1"/>
  <c r="C4665" i="1"/>
  <c r="L4664" i="1"/>
  <c r="O4664" i="1" s="1"/>
  <c r="C4664" i="1"/>
  <c r="L4663" i="1"/>
  <c r="O4663" i="1" s="1"/>
  <c r="C4663" i="1"/>
  <c r="O4662" i="1"/>
  <c r="L4662" i="1"/>
  <c r="C4662" i="1"/>
  <c r="L4661" i="1"/>
  <c r="O4661" i="1" s="1"/>
  <c r="C4661" i="1"/>
  <c r="O4660" i="1"/>
  <c r="L4660" i="1"/>
  <c r="C4660" i="1"/>
  <c r="L4659" i="1"/>
  <c r="O4659" i="1" s="1"/>
  <c r="C4659" i="1"/>
  <c r="L4658" i="1"/>
  <c r="O4658" i="1" s="1"/>
  <c r="C4658" i="1"/>
  <c r="L4657" i="1"/>
  <c r="O4657" i="1" s="1"/>
  <c r="C4657" i="1"/>
  <c r="O4656" i="1"/>
  <c r="L4656" i="1"/>
  <c r="C4656" i="1"/>
  <c r="L4655" i="1"/>
  <c r="O4655" i="1" s="1"/>
  <c r="C4655" i="1"/>
  <c r="L4654" i="1"/>
  <c r="O4654" i="1" s="1"/>
  <c r="C4654" i="1"/>
  <c r="O4653" i="1"/>
  <c r="L4653" i="1"/>
  <c r="C4653" i="1"/>
  <c r="O4652" i="1"/>
  <c r="L4652" i="1"/>
  <c r="C4652" i="1"/>
  <c r="L4651" i="1"/>
  <c r="O4651" i="1" s="1"/>
  <c r="C4651" i="1"/>
  <c r="L4650" i="1"/>
  <c r="O4650" i="1" s="1"/>
  <c r="C4650" i="1"/>
  <c r="O4649" i="1"/>
  <c r="L4649" i="1"/>
  <c r="C4649" i="1"/>
  <c r="L4648" i="1"/>
  <c r="O4648" i="1" s="1"/>
  <c r="C4648" i="1"/>
  <c r="L4647" i="1"/>
  <c r="O4647" i="1" s="1"/>
  <c r="C4647" i="1"/>
  <c r="O4646" i="1"/>
  <c r="L4646" i="1"/>
  <c r="C4646" i="1"/>
  <c r="O4645" i="1"/>
  <c r="L4645" i="1"/>
  <c r="C4645" i="1"/>
  <c r="O4644" i="1"/>
  <c r="L4644" i="1"/>
  <c r="C4644" i="1"/>
  <c r="O4643" i="1"/>
  <c r="L4643" i="1"/>
  <c r="C4643" i="1"/>
  <c r="L4642" i="1"/>
  <c r="O4642" i="1" s="1"/>
  <c r="C4642" i="1"/>
  <c r="L4641" i="1"/>
  <c r="O4641" i="1" s="1"/>
  <c r="C4641" i="1"/>
  <c r="L4640" i="1"/>
  <c r="O4640" i="1" s="1"/>
  <c r="C4640" i="1"/>
  <c r="O4639" i="1"/>
  <c r="L4639" i="1"/>
  <c r="C4639" i="1"/>
  <c r="L4638" i="1"/>
  <c r="O4638" i="1" s="1"/>
  <c r="C4638" i="1"/>
  <c r="O4637" i="1"/>
  <c r="L4637" i="1"/>
  <c r="C4637" i="1"/>
  <c r="L4636" i="1"/>
  <c r="O4636" i="1" s="1"/>
  <c r="C4636" i="1"/>
  <c r="O4635" i="1"/>
  <c r="L4635" i="1"/>
  <c r="C4635" i="1"/>
  <c r="L4634" i="1"/>
  <c r="O4634" i="1" s="1"/>
  <c r="C4634" i="1"/>
  <c r="O4633" i="1"/>
  <c r="L4633" i="1"/>
  <c r="C4633" i="1"/>
  <c r="L4632" i="1"/>
  <c r="O4632" i="1" s="1"/>
  <c r="C4632" i="1"/>
  <c r="L4631" i="1"/>
  <c r="O4631" i="1" s="1"/>
  <c r="C4631" i="1"/>
  <c r="L4630" i="1"/>
  <c r="O4630" i="1" s="1"/>
  <c r="C4630" i="1"/>
  <c r="O4629" i="1"/>
  <c r="L4629" i="1"/>
  <c r="C4629" i="1"/>
  <c r="O4628" i="1"/>
  <c r="L4628" i="1"/>
  <c r="C4628" i="1"/>
  <c r="O4627" i="1"/>
  <c r="L4627" i="1"/>
  <c r="C4627" i="1"/>
  <c r="L4626" i="1"/>
  <c r="O4626" i="1" s="1"/>
  <c r="C4626" i="1"/>
  <c r="L4625" i="1"/>
  <c r="O4625" i="1" s="1"/>
  <c r="C4625" i="1"/>
  <c r="O4624" i="1"/>
  <c r="L4624" i="1"/>
  <c r="C4624" i="1"/>
  <c r="L4623" i="1"/>
  <c r="O4623" i="1" s="1"/>
  <c r="C4623" i="1"/>
  <c r="L4622" i="1"/>
  <c r="O4622" i="1" s="1"/>
  <c r="C4622" i="1"/>
  <c r="O4621" i="1"/>
  <c r="L4621" i="1"/>
  <c r="C4621" i="1"/>
  <c r="L4620" i="1"/>
  <c r="O4620" i="1" s="1"/>
  <c r="C4620" i="1"/>
  <c r="L4619" i="1"/>
  <c r="O4619" i="1" s="1"/>
  <c r="C4619" i="1"/>
  <c r="O4618" i="1"/>
  <c r="L4618" i="1"/>
  <c r="C4618" i="1"/>
  <c r="O4617" i="1"/>
  <c r="L4617" i="1"/>
  <c r="C4617" i="1"/>
  <c r="L4616" i="1"/>
  <c r="O4616" i="1" s="1"/>
  <c r="C4616" i="1"/>
  <c r="L4615" i="1"/>
  <c r="O4615" i="1" s="1"/>
  <c r="C4615" i="1"/>
  <c r="L4614" i="1"/>
  <c r="O4614" i="1" s="1"/>
  <c r="C4614" i="1"/>
  <c r="L4613" i="1"/>
  <c r="O4613" i="1" s="1"/>
  <c r="C4613" i="1"/>
  <c r="O4612" i="1"/>
  <c r="L4612" i="1"/>
  <c r="C4612" i="1"/>
  <c r="O4611" i="1"/>
  <c r="L4611" i="1"/>
  <c r="C4611" i="1"/>
  <c r="L4610" i="1"/>
  <c r="O4610" i="1" s="1"/>
  <c r="C4610" i="1"/>
  <c r="L4609" i="1"/>
  <c r="O4609" i="1" s="1"/>
  <c r="C4609" i="1"/>
  <c r="L4608" i="1"/>
  <c r="O4608" i="1" s="1"/>
  <c r="C4608" i="1"/>
  <c r="L4607" i="1"/>
  <c r="O4607" i="1" s="1"/>
  <c r="C4607" i="1"/>
  <c r="L4606" i="1"/>
  <c r="O4606" i="1" s="1"/>
  <c r="C4606" i="1"/>
  <c r="O4605" i="1"/>
  <c r="L4605" i="1"/>
  <c r="C4605" i="1"/>
  <c r="L4604" i="1"/>
  <c r="O4604" i="1" s="1"/>
  <c r="C4604" i="1"/>
  <c r="L4603" i="1"/>
  <c r="O4603" i="1" s="1"/>
  <c r="C4603" i="1"/>
  <c r="L4602" i="1"/>
  <c r="O4602" i="1" s="1"/>
  <c r="C4602" i="1"/>
  <c r="O4601" i="1"/>
  <c r="L4601" i="1"/>
  <c r="C4601" i="1"/>
  <c r="L4600" i="1"/>
  <c r="O4600" i="1" s="1"/>
  <c r="C4600" i="1"/>
  <c r="O4599" i="1"/>
  <c r="L4599" i="1"/>
  <c r="C4599" i="1"/>
  <c r="L4598" i="1"/>
  <c r="O4598" i="1" s="1"/>
  <c r="C4598" i="1"/>
  <c r="L4597" i="1"/>
  <c r="O4597" i="1" s="1"/>
  <c r="C4597" i="1"/>
  <c r="O4596" i="1"/>
  <c r="L4596" i="1"/>
  <c r="C4596" i="1"/>
  <c r="O4595" i="1"/>
  <c r="L4595" i="1"/>
  <c r="C4595" i="1"/>
  <c r="L4594" i="1"/>
  <c r="O4594" i="1" s="1"/>
  <c r="C4594" i="1"/>
  <c r="L4593" i="1"/>
  <c r="O4593" i="1" s="1"/>
  <c r="C4593" i="1"/>
  <c r="O4592" i="1"/>
  <c r="L4592" i="1"/>
  <c r="C4592" i="1"/>
  <c r="L4591" i="1"/>
  <c r="O4591" i="1" s="1"/>
  <c r="C4591" i="1"/>
  <c r="L4590" i="1"/>
  <c r="O4590" i="1" s="1"/>
  <c r="C4590" i="1"/>
  <c r="O4589" i="1"/>
  <c r="L4589" i="1"/>
  <c r="C4589" i="1"/>
  <c r="O4588" i="1"/>
  <c r="L4588" i="1"/>
  <c r="C4588" i="1"/>
  <c r="L4587" i="1"/>
  <c r="O4587" i="1" s="1"/>
  <c r="C4587" i="1"/>
  <c r="O4586" i="1"/>
  <c r="L4586" i="1"/>
  <c r="C4586" i="1"/>
  <c r="O4585" i="1"/>
  <c r="L4585" i="1"/>
  <c r="C4585" i="1"/>
  <c r="L4584" i="1"/>
  <c r="O4584" i="1" s="1"/>
  <c r="C4584" i="1"/>
  <c r="L4583" i="1"/>
  <c r="O4583" i="1" s="1"/>
  <c r="C4583" i="1"/>
  <c r="O4582" i="1"/>
  <c r="L4582" i="1"/>
  <c r="C4582" i="1"/>
  <c r="L4581" i="1"/>
  <c r="O4581" i="1" s="1"/>
  <c r="C4581" i="1"/>
  <c r="O4580" i="1"/>
  <c r="L4580" i="1"/>
  <c r="C4580" i="1"/>
  <c r="O4579" i="1"/>
  <c r="L4579" i="1"/>
  <c r="C4579" i="1"/>
  <c r="L4578" i="1"/>
  <c r="O4578" i="1" s="1"/>
  <c r="C4578" i="1"/>
  <c r="L4577" i="1"/>
  <c r="O4577" i="1" s="1"/>
  <c r="C4577" i="1"/>
  <c r="L4576" i="1"/>
  <c r="O4576" i="1" s="1"/>
  <c r="C4576" i="1"/>
  <c r="O4575" i="1"/>
  <c r="L4575" i="1"/>
  <c r="C4575" i="1"/>
  <c r="L4574" i="1"/>
  <c r="O4574" i="1" s="1"/>
  <c r="C4574" i="1"/>
  <c r="O4573" i="1"/>
  <c r="L4573" i="1"/>
  <c r="C4573" i="1"/>
  <c r="O4572" i="1"/>
  <c r="L4572" i="1"/>
  <c r="C4572" i="1"/>
  <c r="O4571" i="1"/>
  <c r="L4571" i="1"/>
  <c r="C4571" i="1"/>
  <c r="L4570" i="1"/>
  <c r="O4570" i="1" s="1"/>
  <c r="C4570" i="1"/>
  <c r="O4569" i="1"/>
  <c r="L4569" i="1"/>
  <c r="C4569" i="1"/>
  <c r="L4568" i="1"/>
  <c r="O4568" i="1" s="1"/>
  <c r="C4568" i="1"/>
  <c r="O4567" i="1"/>
  <c r="L4567" i="1"/>
  <c r="C4567" i="1"/>
  <c r="L4566" i="1"/>
  <c r="O4566" i="1" s="1"/>
  <c r="C4566" i="1"/>
  <c r="O4565" i="1"/>
  <c r="L4565" i="1"/>
  <c r="C4565" i="1"/>
  <c r="O4564" i="1"/>
  <c r="L4564" i="1"/>
  <c r="C4564" i="1"/>
  <c r="O4563" i="1"/>
  <c r="L4563" i="1"/>
  <c r="C4563" i="1"/>
  <c r="L4562" i="1"/>
  <c r="O4562" i="1" s="1"/>
  <c r="C4562" i="1"/>
  <c r="O4561" i="1"/>
  <c r="L4561" i="1"/>
  <c r="C4561" i="1"/>
  <c r="L4560" i="1"/>
  <c r="O4560" i="1" s="1"/>
  <c r="C4560" i="1"/>
  <c r="L4559" i="1"/>
  <c r="O4559" i="1" s="1"/>
  <c r="C4559" i="1"/>
  <c r="L4558" i="1"/>
  <c r="O4558" i="1" s="1"/>
  <c r="C4558" i="1"/>
  <c r="O4557" i="1"/>
  <c r="L4557" i="1"/>
  <c r="C4557" i="1"/>
  <c r="L4556" i="1"/>
  <c r="O4556" i="1" s="1"/>
  <c r="C4556" i="1"/>
  <c r="O4555" i="1"/>
  <c r="L4555" i="1"/>
  <c r="C4555" i="1"/>
  <c r="O4554" i="1"/>
  <c r="L4554" i="1"/>
  <c r="C4554" i="1"/>
  <c r="O4553" i="1"/>
  <c r="L4553" i="1"/>
  <c r="C4553" i="1"/>
  <c r="L4552" i="1"/>
  <c r="O4552" i="1" s="1"/>
  <c r="C4552" i="1"/>
  <c r="L4551" i="1"/>
  <c r="O4551" i="1" s="1"/>
  <c r="C4551" i="1"/>
  <c r="L4550" i="1"/>
  <c r="O4550" i="1" s="1"/>
  <c r="C4550" i="1"/>
  <c r="L4549" i="1"/>
  <c r="O4549" i="1" s="1"/>
  <c r="C4549" i="1"/>
  <c r="O4548" i="1"/>
  <c r="L4548" i="1"/>
  <c r="C4548" i="1"/>
  <c r="O4547" i="1"/>
  <c r="L4547" i="1"/>
  <c r="C4547" i="1"/>
  <c r="L4546" i="1"/>
  <c r="O4546" i="1" s="1"/>
  <c r="C4546" i="1"/>
  <c r="L4545" i="1"/>
  <c r="O4545" i="1" s="1"/>
  <c r="C4545" i="1"/>
  <c r="O4544" i="1"/>
  <c r="L4544" i="1"/>
  <c r="C4544" i="1"/>
  <c r="L4543" i="1"/>
  <c r="O4543" i="1" s="1"/>
  <c r="C4543" i="1"/>
  <c r="L4542" i="1"/>
  <c r="O4542" i="1" s="1"/>
  <c r="C4542" i="1"/>
  <c r="O4541" i="1"/>
  <c r="L4541" i="1"/>
  <c r="C4541" i="1"/>
  <c r="O4540" i="1"/>
  <c r="L4540" i="1"/>
  <c r="C4540" i="1"/>
  <c r="L4539" i="1"/>
  <c r="O4539" i="1" s="1"/>
  <c r="C4539" i="1"/>
  <c r="O4538" i="1"/>
  <c r="L4538" i="1"/>
  <c r="C4538" i="1"/>
  <c r="O4537" i="1"/>
  <c r="L4537" i="1"/>
  <c r="C4537" i="1"/>
  <c r="L4536" i="1"/>
  <c r="O4536" i="1" s="1"/>
  <c r="C4536" i="1"/>
  <c r="O4535" i="1"/>
  <c r="L4535" i="1"/>
  <c r="C4535" i="1"/>
  <c r="L4534" i="1"/>
  <c r="O4534" i="1" s="1"/>
  <c r="C4534" i="1"/>
  <c r="O4533" i="1"/>
  <c r="L4533" i="1"/>
  <c r="C4533" i="1"/>
  <c r="O4532" i="1"/>
  <c r="L4532" i="1"/>
  <c r="C4532" i="1"/>
  <c r="O4531" i="1"/>
  <c r="L4531" i="1"/>
  <c r="C4531" i="1"/>
  <c r="L4530" i="1"/>
  <c r="O4530" i="1" s="1"/>
  <c r="C4530" i="1"/>
  <c r="L4529" i="1"/>
  <c r="O4529" i="1" s="1"/>
  <c r="C4529" i="1"/>
  <c r="L4528" i="1"/>
  <c r="O4528" i="1" s="1"/>
  <c r="C4528" i="1"/>
  <c r="O4527" i="1"/>
  <c r="L4527" i="1"/>
  <c r="C4527" i="1"/>
  <c r="L4526" i="1"/>
  <c r="O4526" i="1" s="1"/>
  <c r="C4526" i="1"/>
  <c r="O4525" i="1"/>
  <c r="L4525" i="1"/>
  <c r="C4525" i="1"/>
  <c r="L4524" i="1"/>
  <c r="O4524" i="1" s="1"/>
  <c r="C4524" i="1"/>
  <c r="L4523" i="1"/>
  <c r="O4523" i="1" s="1"/>
  <c r="C4523" i="1"/>
  <c r="O4522" i="1"/>
  <c r="L4522" i="1"/>
  <c r="C4522" i="1"/>
  <c r="O4521" i="1"/>
  <c r="L4521" i="1"/>
  <c r="C4521" i="1"/>
  <c r="L4520" i="1"/>
  <c r="O4520" i="1" s="1"/>
  <c r="C4520" i="1"/>
  <c r="L4519" i="1"/>
  <c r="O4519" i="1" s="1"/>
  <c r="C4519" i="1"/>
  <c r="L4518" i="1"/>
  <c r="O4518" i="1" s="1"/>
  <c r="C4518" i="1"/>
  <c r="L4517" i="1"/>
  <c r="O4517" i="1" s="1"/>
  <c r="C4517" i="1"/>
  <c r="O4516" i="1"/>
  <c r="L4516" i="1"/>
  <c r="C4516" i="1"/>
  <c r="O4515" i="1"/>
  <c r="L4515" i="1"/>
  <c r="C4515" i="1"/>
  <c r="L4514" i="1"/>
  <c r="O4514" i="1" s="1"/>
  <c r="C4514" i="1"/>
  <c r="L4513" i="1"/>
  <c r="O4513" i="1" s="1"/>
  <c r="C4513" i="1"/>
  <c r="L4512" i="1"/>
  <c r="O4512" i="1" s="1"/>
  <c r="C4512" i="1"/>
  <c r="L4511" i="1"/>
  <c r="O4511" i="1" s="1"/>
  <c r="C4511" i="1"/>
  <c r="L4510" i="1"/>
  <c r="O4510" i="1" s="1"/>
  <c r="C4510" i="1"/>
  <c r="O4509" i="1"/>
  <c r="L4509" i="1"/>
  <c r="C4509" i="1"/>
  <c r="O4508" i="1"/>
  <c r="L4508" i="1"/>
  <c r="C4508" i="1"/>
  <c r="L4507" i="1"/>
  <c r="O4507" i="1" s="1"/>
  <c r="C4507" i="1"/>
  <c r="L4506" i="1"/>
  <c r="O4506" i="1" s="1"/>
  <c r="C4506" i="1"/>
  <c r="O4505" i="1"/>
  <c r="L4505" i="1"/>
  <c r="C4505" i="1"/>
  <c r="L4504" i="1"/>
  <c r="O4504" i="1" s="1"/>
  <c r="C4504" i="1"/>
  <c r="L4503" i="1"/>
  <c r="O4503" i="1" s="1"/>
  <c r="C4503" i="1"/>
  <c r="L4502" i="1"/>
  <c r="O4502" i="1" s="1"/>
  <c r="C4502" i="1"/>
  <c r="O4501" i="1"/>
  <c r="L4501" i="1"/>
  <c r="C4501" i="1"/>
  <c r="O4500" i="1"/>
  <c r="L4500" i="1"/>
  <c r="C4500" i="1"/>
  <c r="O4499" i="1"/>
  <c r="L4499" i="1"/>
  <c r="C4499" i="1"/>
  <c r="L4498" i="1"/>
  <c r="O4498" i="1" s="1"/>
  <c r="C4498" i="1"/>
  <c r="O4497" i="1"/>
  <c r="L4497" i="1"/>
  <c r="C4497" i="1"/>
  <c r="L4496" i="1"/>
  <c r="O4496" i="1" s="1"/>
  <c r="C4496" i="1"/>
  <c r="O4495" i="1"/>
  <c r="L4495" i="1"/>
  <c r="C4495" i="1"/>
  <c r="L4494" i="1"/>
  <c r="O4494" i="1" s="1"/>
  <c r="C4494" i="1"/>
  <c r="O4493" i="1"/>
  <c r="L4493" i="1"/>
  <c r="C4493" i="1"/>
  <c r="L4492" i="1"/>
  <c r="O4492" i="1" s="1"/>
  <c r="C4492" i="1"/>
  <c r="O4491" i="1"/>
  <c r="L4491" i="1"/>
  <c r="C4491" i="1"/>
  <c r="L4490" i="1"/>
  <c r="O4490" i="1" s="1"/>
  <c r="C4490" i="1"/>
  <c r="O4489" i="1"/>
  <c r="L4489" i="1"/>
  <c r="C4489" i="1"/>
  <c r="L4488" i="1"/>
  <c r="O4488" i="1" s="1"/>
  <c r="C4488" i="1"/>
  <c r="O4487" i="1"/>
  <c r="L4487" i="1"/>
  <c r="C4487" i="1"/>
  <c r="L4486" i="1"/>
  <c r="O4486" i="1" s="1"/>
  <c r="C4486" i="1"/>
  <c r="L4485" i="1"/>
  <c r="O4485" i="1" s="1"/>
  <c r="C4485" i="1"/>
  <c r="O4484" i="1"/>
  <c r="L4484" i="1"/>
  <c r="C4484" i="1"/>
  <c r="O4483" i="1"/>
  <c r="L4483" i="1"/>
  <c r="C4483" i="1"/>
  <c r="L4482" i="1"/>
  <c r="O4482" i="1" s="1"/>
  <c r="C4482" i="1"/>
  <c r="O4481" i="1"/>
  <c r="L4481" i="1"/>
  <c r="C4481" i="1"/>
  <c r="O4480" i="1"/>
  <c r="L4480" i="1"/>
  <c r="C4480" i="1"/>
  <c r="L4479" i="1"/>
  <c r="O4479" i="1" s="1"/>
  <c r="C4479" i="1"/>
  <c r="L4478" i="1"/>
  <c r="O4478" i="1" s="1"/>
  <c r="C4478" i="1"/>
  <c r="O4477" i="1"/>
  <c r="L4477" i="1"/>
  <c r="C4477" i="1"/>
  <c r="O4476" i="1"/>
  <c r="L4476" i="1"/>
  <c r="C4476" i="1"/>
  <c r="L4475" i="1"/>
  <c r="O4475" i="1" s="1"/>
  <c r="C4475" i="1"/>
  <c r="O4474" i="1"/>
  <c r="L4474" i="1"/>
  <c r="C4474" i="1"/>
  <c r="O4473" i="1"/>
  <c r="L4473" i="1"/>
  <c r="C4473" i="1"/>
  <c r="L4472" i="1"/>
  <c r="O4472" i="1" s="1"/>
  <c r="C4472" i="1"/>
  <c r="L4471" i="1"/>
  <c r="O4471" i="1" s="1"/>
  <c r="C4471" i="1"/>
  <c r="O4470" i="1"/>
  <c r="L4470" i="1"/>
  <c r="C4470" i="1"/>
  <c r="L4469" i="1"/>
  <c r="O4469" i="1" s="1"/>
  <c r="C4469" i="1"/>
  <c r="O4468" i="1"/>
  <c r="L4468" i="1"/>
  <c r="C4468" i="1"/>
  <c r="O4467" i="1"/>
  <c r="L4467" i="1"/>
  <c r="C4467" i="1"/>
  <c r="L4466" i="1"/>
  <c r="O4466" i="1" s="1"/>
  <c r="C4466" i="1"/>
  <c r="L4465" i="1"/>
  <c r="O4465" i="1" s="1"/>
  <c r="C4465" i="1"/>
  <c r="O4464" i="1"/>
  <c r="L4464" i="1"/>
  <c r="C4464" i="1"/>
  <c r="O4463" i="1"/>
  <c r="L4463" i="1"/>
  <c r="C4463" i="1"/>
  <c r="L4462" i="1"/>
  <c r="O4462" i="1" s="1"/>
  <c r="C4462" i="1"/>
  <c r="O4461" i="1"/>
  <c r="L4461" i="1"/>
  <c r="C4461" i="1"/>
  <c r="O4460" i="1"/>
  <c r="L4460" i="1"/>
  <c r="C4460" i="1"/>
  <c r="O4459" i="1"/>
  <c r="L4459" i="1"/>
  <c r="C4459" i="1"/>
  <c r="L4458" i="1"/>
  <c r="O4458" i="1" s="1"/>
  <c r="C4458" i="1"/>
  <c r="O4457" i="1"/>
  <c r="L4457" i="1"/>
  <c r="C4457" i="1"/>
  <c r="L4456" i="1"/>
  <c r="O4456" i="1" s="1"/>
  <c r="C4456" i="1"/>
  <c r="O4455" i="1"/>
  <c r="L4455" i="1"/>
  <c r="C4455" i="1"/>
  <c r="O4454" i="1"/>
  <c r="L4454" i="1"/>
  <c r="C4454" i="1"/>
  <c r="O4453" i="1"/>
  <c r="L4453" i="1"/>
  <c r="C4453" i="1"/>
  <c r="O4452" i="1"/>
  <c r="L4452" i="1"/>
  <c r="C4452" i="1"/>
  <c r="O4451" i="1"/>
  <c r="L4451" i="1"/>
  <c r="C4451" i="1"/>
  <c r="L4450" i="1"/>
  <c r="O4450" i="1" s="1"/>
  <c r="C4450" i="1"/>
  <c r="L4449" i="1"/>
  <c r="O4449" i="1" s="1"/>
  <c r="C4449" i="1"/>
  <c r="O4448" i="1"/>
  <c r="L4448" i="1"/>
  <c r="C4448" i="1"/>
  <c r="O4447" i="1"/>
  <c r="L4447" i="1"/>
  <c r="C4447" i="1"/>
  <c r="L4446" i="1"/>
  <c r="O4446" i="1" s="1"/>
  <c r="C4446" i="1"/>
  <c r="O4445" i="1"/>
  <c r="L4445" i="1"/>
  <c r="C4445" i="1"/>
  <c r="L4444" i="1"/>
  <c r="O4444" i="1" s="1"/>
  <c r="C4444" i="1"/>
  <c r="L4443" i="1"/>
  <c r="O4443" i="1" s="1"/>
  <c r="C4443" i="1"/>
  <c r="O4442" i="1"/>
  <c r="L4442" i="1"/>
  <c r="C4442" i="1"/>
  <c r="O4441" i="1"/>
  <c r="L4441" i="1"/>
  <c r="C4441" i="1"/>
  <c r="L4440" i="1"/>
  <c r="O4440" i="1" s="1"/>
  <c r="C4440" i="1"/>
  <c r="L4439" i="1"/>
  <c r="O4439" i="1" s="1"/>
  <c r="C4439" i="1"/>
  <c r="L4438" i="1"/>
  <c r="O4438" i="1" s="1"/>
  <c r="C4438" i="1"/>
  <c r="O4437" i="1"/>
  <c r="L4437" i="1"/>
  <c r="C4437" i="1"/>
  <c r="O4436" i="1"/>
  <c r="L4436" i="1"/>
  <c r="C4436" i="1"/>
  <c r="O4435" i="1"/>
  <c r="L4435" i="1"/>
  <c r="C4435" i="1"/>
  <c r="L4434" i="1"/>
  <c r="O4434" i="1" s="1"/>
  <c r="C4434" i="1"/>
  <c r="L4433" i="1"/>
  <c r="O4433" i="1" s="1"/>
  <c r="C4433" i="1"/>
  <c r="L4432" i="1"/>
  <c r="O4432" i="1" s="1"/>
  <c r="C4432" i="1"/>
  <c r="L4431" i="1"/>
  <c r="O4431" i="1" s="1"/>
  <c r="C4431" i="1"/>
  <c r="L4430" i="1"/>
  <c r="O4430" i="1" s="1"/>
  <c r="C4430" i="1"/>
  <c r="O4429" i="1"/>
  <c r="L4429" i="1"/>
  <c r="C4429" i="1"/>
  <c r="L4428" i="1"/>
  <c r="O4428" i="1" s="1"/>
  <c r="C4428" i="1"/>
  <c r="L4427" i="1"/>
  <c r="O4427" i="1" s="1"/>
  <c r="C4427" i="1"/>
  <c r="L4426" i="1"/>
  <c r="O4426" i="1" s="1"/>
  <c r="C4426" i="1"/>
  <c r="O4425" i="1"/>
  <c r="L4425" i="1"/>
  <c r="C4425" i="1"/>
  <c r="L4424" i="1"/>
  <c r="O4424" i="1" s="1"/>
  <c r="C4424" i="1"/>
  <c r="O4423" i="1"/>
  <c r="L4423" i="1"/>
  <c r="C4423" i="1"/>
  <c r="L4422" i="1"/>
  <c r="O4422" i="1" s="1"/>
  <c r="C4422" i="1"/>
  <c r="L4421" i="1"/>
  <c r="O4421" i="1" s="1"/>
  <c r="C4421" i="1"/>
  <c r="O4420" i="1"/>
  <c r="L4420" i="1"/>
  <c r="C4420" i="1"/>
  <c r="O4419" i="1"/>
  <c r="L4419" i="1"/>
  <c r="C4419" i="1"/>
  <c r="L4418" i="1"/>
  <c r="O4418" i="1" s="1"/>
  <c r="C4418" i="1"/>
  <c r="O4417" i="1"/>
  <c r="L4417" i="1"/>
  <c r="C4417" i="1"/>
  <c r="L4416" i="1"/>
  <c r="O4416" i="1" s="1"/>
  <c r="C4416" i="1"/>
  <c r="L4415" i="1"/>
  <c r="O4415" i="1" s="1"/>
  <c r="C4415" i="1"/>
  <c r="L4414" i="1"/>
  <c r="O4414" i="1" s="1"/>
  <c r="C4414" i="1"/>
  <c r="O4413" i="1"/>
  <c r="L4413" i="1"/>
  <c r="C4413" i="1"/>
  <c r="L4412" i="1"/>
  <c r="O4412" i="1" s="1"/>
  <c r="C4412" i="1"/>
  <c r="L4411" i="1"/>
  <c r="O4411" i="1" s="1"/>
  <c r="C4411" i="1"/>
  <c r="O4410" i="1"/>
  <c r="L4410" i="1"/>
  <c r="C4410" i="1"/>
  <c r="O4409" i="1"/>
  <c r="L4409" i="1"/>
  <c r="C4409" i="1"/>
  <c r="L4408" i="1"/>
  <c r="O4408" i="1" s="1"/>
  <c r="C4408" i="1"/>
  <c r="O4407" i="1"/>
  <c r="L4407" i="1"/>
  <c r="C4407" i="1"/>
  <c r="O4406" i="1"/>
  <c r="L4406" i="1"/>
  <c r="C4406" i="1"/>
  <c r="L4405" i="1"/>
  <c r="O4405" i="1" s="1"/>
  <c r="C4405" i="1"/>
  <c r="O4404" i="1"/>
  <c r="L4404" i="1"/>
  <c r="C4404" i="1"/>
  <c r="O4403" i="1"/>
  <c r="L4403" i="1"/>
  <c r="C4403" i="1"/>
  <c r="L4402" i="1"/>
  <c r="O4402" i="1" s="1"/>
  <c r="C4402" i="1"/>
  <c r="L4401" i="1"/>
  <c r="O4401" i="1" s="1"/>
  <c r="C4401" i="1"/>
  <c r="O4400" i="1"/>
  <c r="L4400" i="1"/>
  <c r="C4400" i="1"/>
  <c r="L4399" i="1"/>
  <c r="O4399" i="1" s="1"/>
  <c r="C4399" i="1"/>
  <c r="L4398" i="1"/>
  <c r="O4398" i="1" s="1"/>
  <c r="C4398" i="1"/>
  <c r="O4397" i="1"/>
  <c r="L4397" i="1"/>
  <c r="C4397" i="1"/>
  <c r="O4396" i="1"/>
  <c r="L4396" i="1"/>
  <c r="C4396" i="1"/>
  <c r="L4395" i="1"/>
  <c r="O4395" i="1" s="1"/>
  <c r="C4395" i="1"/>
  <c r="L4394" i="1"/>
  <c r="O4394" i="1" s="1"/>
  <c r="C4394" i="1"/>
  <c r="O4393" i="1"/>
  <c r="L4393" i="1"/>
  <c r="C4393" i="1"/>
  <c r="L4392" i="1"/>
  <c r="O4392" i="1" s="1"/>
  <c r="C4392" i="1"/>
  <c r="O4391" i="1"/>
  <c r="L4391" i="1"/>
  <c r="C4391" i="1"/>
  <c r="O4390" i="1"/>
  <c r="L4390" i="1"/>
  <c r="C4390" i="1"/>
  <c r="O4389" i="1"/>
  <c r="L4389" i="1"/>
  <c r="C4389" i="1"/>
  <c r="O4388" i="1"/>
  <c r="L4388" i="1"/>
  <c r="C4388" i="1"/>
  <c r="O4387" i="1"/>
  <c r="L4387" i="1"/>
  <c r="C4387" i="1"/>
  <c r="L4386" i="1"/>
  <c r="O4386" i="1" s="1"/>
  <c r="C4386" i="1"/>
  <c r="L4385" i="1"/>
  <c r="O4385" i="1" s="1"/>
  <c r="C4385" i="1"/>
  <c r="L4384" i="1"/>
  <c r="O4384" i="1" s="1"/>
  <c r="C4384" i="1"/>
  <c r="O4383" i="1"/>
  <c r="L4383" i="1"/>
  <c r="C4383" i="1"/>
  <c r="L4382" i="1"/>
  <c r="O4382" i="1" s="1"/>
  <c r="C4382" i="1"/>
  <c r="O4381" i="1"/>
  <c r="L4381" i="1"/>
  <c r="C4381" i="1"/>
  <c r="L4380" i="1"/>
  <c r="O4380" i="1" s="1"/>
  <c r="C4380" i="1"/>
  <c r="O4379" i="1"/>
  <c r="L4379" i="1"/>
  <c r="C4379" i="1"/>
  <c r="L4378" i="1"/>
  <c r="O4378" i="1" s="1"/>
  <c r="C4378" i="1"/>
  <c r="O4377" i="1"/>
  <c r="L4377" i="1"/>
  <c r="C4377" i="1"/>
  <c r="L4376" i="1"/>
  <c r="O4376" i="1" s="1"/>
  <c r="C4376" i="1"/>
  <c r="O4375" i="1"/>
  <c r="L4375" i="1"/>
  <c r="C4375" i="1"/>
  <c r="L4374" i="1"/>
  <c r="O4374" i="1" s="1"/>
  <c r="C4374" i="1"/>
  <c r="O4373" i="1"/>
  <c r="L4373" i="1"/>
  <c r="C4373" i="1"/>
  <c r="O4372" i="1"/>
  <c r="L4372" i="1"/>
  <c r="C4372" i="1"/>
  <c r="O4371" i="1"/>
  <c r="L4371" i="1"/>
  <c r="C4371" i="1"/>
  <c r="L4370" i="1"/>
  <c r="O4370" i="1" s="1"/>
  <c r="C4370" i="1"/>
  <c r="L4369" i="1"/>
  <c r="O4369" i="1" s="1"/>
  <c r="C4369" i="1"/>
  <c r="O4368" i="1"/>
  <c r="L4368" i="1"/>
  <c r="C4368" i="1"/>
  <c r="L4367" i="1"/>
  <c r="O4367" i="1" s="1"/>
  <c r="C4367" i="1"/>
  <c r="L4366" i="1"/>
  <c r="O4366" i="1" s="1"/>
  <c r="C4366" i="1"/>
  <c r="O4365" i="1"/>
  <c r="L4365" i="1"/>
  <c r="C4365" i="1"/>
  <c r="O4364" i="1"/>
  <c r="L4364" i="1"/>
  <c r="C4364" i="1"/>
  <c r="L4363" i="1"/>
  <c r="O4363" i="1" s="1"/>
  <c r="C4363" i="1"/>
  <c r="O4362" i="1"/>
  <c r="L4362" i="1"/>
  <c r="C4362" i="1"/>
  <c r="O4361" i="1"/>
  <c r="L4361" i="1"/>
  <c r="C4361" i="1"/>
  <c r="L4360" i="1"/>
  <c r="O4360" i="1" s="1"/>
  <c r="C4360" i="1"/>
  <c r="L4359" i="1"/>
  <c r="O4359" i="1" s="1"/>
  <c r="C4359" i="1"/>
  <c r="O4358" i="1"/>
  <c r="L4358" i="1"/>
  <c r="C4358" i="1"/>
  <c r="L4357" i="1"/>
  <c r="O4357" i="1" s="1"/>
  <c r="C4357" i="1"/>
  <c r="O4356" i="1"/>
  <c r="L4356" i="1"/>
  <c r="C4356" i="1"/>
  <c r="O4355" i="1"/>
  <c r="L4355" i="1"/>
  <c r="C4355" i="1"/>
  <c r="L4354" i="1"/>
  <c r="O4354" i="1" s="1"/>
  <c r="C4354" i="1"/>
  <c r="L4353" i="1"/>
  <c r="O4353" i="1" s="1"/>
  <c r="C4353" i="1"/>
  <c r="O4352" i="1"/>
  <c r="L4352" i="1"/>
  <c r="C4352" i="1"/>
  <c r="L4351" i="1"/>
  <c r="O4351" i="1" s="1"/>
  <c r="C4351" i="1"/>
  <c r="L4350" i="1"/>
  <c r="O4350" i="1" s="1"/>
  <c r="C4350" i="1"/>
  <c r="O4349" i="1"/>
  <c r="L4349" i="1"/>
  <c r="C4349" i="1"/>
  <c r="L4348" i="1"/>
  <c r="O4348" i="1" s="1"/>
  <c r="C4348" i="1"/>
  <c r="L4347" i="1"/>
  <c r="O4347" i="1" s="1"/>
  <c r="C4347" i="1"/>
  <c r="L4346" i="1"/>
  <c r="O4346" i="1" s="1"/>
  <c r="C4346" i="1"/>
  <c r="O4345" i="1"/>
  <c r="L4345" i="1"/>
  <c r="C4345" i="1"/>
  <c r="L4344" i="1"/>
  <c r="O4344" i="1" s="1"/>
  <c r="C4344" i="1"/>
  <c r="O4343" i="1"/>
  <c r="L4343" i="1"/>
  <c r="C4343" i="1"/>
  <c r="L4342" i="1"/>
  <c r="O4342" i="1" s="1"/>
  <c r="C4342" i="1"/>
  <c r="L4341" i="1"/>
  <c r="O4341" i="1" s="1"/>
  <c r="C4341" i="1"/>
  <c r="O4340" i="1"/>
  <c r="L4340" i="1"/>
  <c r="C4340" i="1"/>
  <c r="O4339" i="1"/>
  <c r="L4339" i="1"/>
  <c r="C4339" i="1"/>
  <c r="L4338" i="1"/>
  <c r="O4338" i="1" s="1"/>
  <c r="C4338" i="1"/>
  <c r="L4337" i="1"/>
  <c r="O4337" i="1" s="1"/>
  <c r="C4337" i="1"/>
  <c r="L4336" i="1"/>
  <c r="O4336" i="1" s="1"/>
  <c r="C4336" i="1"/>
  <c r="L4335" i="1"/>
  <c r="O4335" i="1" s="1"/>
  <c r="C4335" i="1"/>
  <c r="L4334" i="1"/>
  <c r="O4334" i="1" s="1"/>
  <c r="C4334" i="1"/>
  <c r="O4333" i="1"/>
  <c r="L4333" i="1"/>
  <c r="C4333" i="1"/>
  <c r="O4332" i="1"/>
  <c r="L4332" i="1"/>
  <c r="C4332" i="1"/>
  <c r="L4331" i="1"/>
  <c r="O4331" i="1" s="1"/>
  <c r="C4331" i="1"/>
  <c r="L4330" i="1"/>
  <c r="O4330" i="1" s="1"/>
  <c r="C4330" i="1"/>
  <c r="O4329" i="1"/>
  <c r="L4329" i="1"/>
  <c r="C4329" i="1"/>
  <c r="L4328" i="1"/>
  <c r="O4328" i="1" s="1"/>
  <c r="C4328" i="1"/>
  <c r="L4327" i="1"/>
  <c r="O4327" i="1" s="1"/>
  <c r="C4327" i="1"/>
  <c r="O4326" i="1"/>
  <c r="L4326" i="1"/>
  <c r="C4326" i="1"/>
  <c r="L4325" i="1"/>
  <c r="O4325" i="1" s="1"/>
  <c r="C4325" i="1"/>
  <c r="O4324" i="1"/>
  <c r="L4324" i="1"/>
  <c r="C4324" i="1"/>
  <c r="O4323" i="1"/>
  <c r="L4323" i="1"/>
  <c r="C4323" i="1"/>
  <c r="L4322" i="1"/>
  <c r="O4322" i="1" s="1"/>
  <c r="C4322" i="1"/>
  <c r="L4321" i="1"/>
  <c r="O4321" i="1" s="1"/>
  <c r="C4321" i="1"/>
  <c r="L4320" i="1"/>
  <c r="O4320" i="1" s="1"/>
  <c r="C4320" i="1"/>
  <c r="O4319" i="1"/>
  <c r="L4319" i="1"/>
  <c r="C4319" i="1"/>
  <c r="L4318" i="1"/>
  <c r="O4318" i="1" s="1"/>
  <c r="C4318" i="1"/>
  <c r="O4317" i="1"/>
  <c r="L4317" i="1"/>
  <c r="C4317" i="1"/>
  <c r="O4316" i="1"/>
  <c r="L4316" i="1"/>
  <c r="C4316" i="1"/>
  <c r="O4315" i="1"/>
  <c r="L4315" i="1"/>
  <c r="C4315" i="1"/>
  <c r="L4314" i="1"/>
  <c r="O4314" i="1" s="1"/>
  <c r="C4314" i="1"/>
  <c r="O4313" i="1"/>
  <c r="L4313" i="1"/>
  <c r="C4313" i="1"/>
  <c r="L4312" i="1"/>
  <c r="O4312" i="1" s="1"/>
  <c r="C4312" i="1"/>
  <c r="L4311" i="1"/>
  <c r="O4311" i="1" s="1"/>
  <c r="C4311" i="1"/>
  <c r="L4310" i="1"/>
  <c r="O4310" i="1" s="1"/>
  <c r="C4310" i="1"/>
  <c r="O4309" i="1"/>
  <c r="L4309" i="1"/>
  <c r="C4309" i="1"/>
  <c r="O4308" i="1"/>
  <c r="L4308" i="1"/>
  <c r="C4308" i="1"/>
  <c r="O4307" i="1"/>
  <c r="L4307" i="1"/>
  <c r="C4307" i="1"/>
  <c r="L4306" i="1"/>
  <c r="O4306" i="1" s="1"/>
  <c r="C4306" i="1"/>
  <c r="O4305" i="1"/>
  <c r="L4305" i="1"/>
  <c r="C4305" i="1"/>
  <c r="L4304" i="1"/>
  <c r="O4304" i="1" s="1"/>
  <c r="C4304" i="1"/>
  <c r="L4303" i="1"/>
  <c r="O4303" i="1" s="1"/>
  <c r="C4303" i="1"/>
  <c r="L4302" i="1"/>
  <c r="O4302" i="1" s="1"/>
  <c r="C4302" i="1"/>
  <c r="O4301" i="1"/>
  <c r="L4301" i="1"/>
  <c r="C4301" i="1"/>
  <c r="O4300" i="1"/>
  <c r="L4300" i="1"/>
  <c r="C4300" i="1"/>
  <c r="O4299" i="1"/>
  <c r="L4299" i="1"/>
  <c r="C4299" i="1"/>
  <c r="O4298" i="1"/>
  <c r="L4298" i="1"/>
  <c r="C4298" i="1"/>
  <c r="O4297" i="1"/>
  <c r="L4297" i="1"/>
  <c r="C4297" i="1"/>
  <c r="L4296" i="1"/>
  <c r="O4296" i="1" s="1"/>
  <c r="C4296" i="1"/>
  <c r="O4295" i="1"/>
  <c r="L4295" i="1"/>
  <c r="C4295" i="1"/>
  <c r="L4294" i="1"/>
  <c r="O4294" i="1" s="1"/>
  <c r="C4294" i="1"/>
  <c r="L4293" i="1"/>
  <c r="O4293" i="1" s="1"/>
  <c r="C4293" i="1"/>
  <c r="O4292" i="1"/>
  <c r="L4292" i="1"/>
  <c r="C4292" i="1"/>
  <c r="O4291" i="1"/>
  <c r="L4291" i="1"/>
  <c r="C4291" i="1"/>
  <c r="L4290" i="1"/>
  <c r="O4290" i="1" s="1"/>
  <c r="C4290" i="1"/>
  <c r="O4289" i="1"/>
  <c r="L4289" i="1"/>
  <c r="C4289" i="1"/>
  <c r="O4288" i="1"/>
  <c r="L4288" i="1"/>
  <c r="C4288" i="1"/>
  <c r="L4287" i="1"/>
  <c r="O4287" i="1" s="1"/>
  <c r="C4287" i="1"/>
  <c r="L4286" i="1"/>
  <c r="O4286" i="1" s="1"/>
  <c r="C4286" i="1"/>
  <c r="O4285" i="1"/>
  <c r="L4285" i="1"/>
  <c r="C4285" i="1"/>
  <c r="O4284" i="1"/>
  <c r="L4284" i="1"/>
  <c r="C4284" i="1"/>
  <c r="O4283" i="1"/>
  <c r="L4283" i="1"/>
  <c r="C4283" i="1"/>
  <c r="O4282" i="1"/>
  <c r="L4282" i="1"/>
  <c r="C4282" i="1"/>
  <c r="O4281" i="1"/>
  <c r="L4281" i="1"/>
  <c r="C4281" i="1"/>
  <c r="L4280" i="1"/>
  <c r="O4280" i="1" s="1"/>
  <c r="C4280" i="1"/>
  <c r="O4279" i="1"/>
  <c r="L4279" i="1"/>
  <c r="C4279" i="1"/>
  <c r="O4278" i="1"/>
  <c r="L4278" i="1"/>
  <c r="C4278" i="1"/>
  <c r="O4277" i="1"/>
  <c r="L4277" i="1"/>
  <c r="C4277" i="1"/>
  <c r="O4276" i="1"/>
  <c r="L4276" i="1"/>
  <c r="C4276" i="1"/>
  <c r="O4275" i="1"/>
  <c r="L4275" i="1"/>
  <c r="C4275" i="1"/>
  <c r="L4274" i="1"/>
  <c r="O4274" i="1" s="1"/>
  <c r="C4274" i="1"/>
  <c r="L4273" i="1"/>
  <c r="O4273" i="1" s="1"/>
  <c r="C4273" i="1"/>
  <c r="L4272" i="1"/>
  <c r="O4272" i="1" s="1"/>
  <c r="C4272" i="1"/>
  <c r="O4271" i="1"/>
  <c r="L4271" i="1"/>
  <c r="C4271" i="1"/>
  <c r="L4270" i="1"/>
  <c r="O4270" i="1" s="1"/>
  <c r="C4270" i="1"/>
  <c r="O4269" i="1"/>
  <c r="L4269" i="1"/>
  <c r="C4269" i="1"/>
  <c r="L4268" i="1"/>
  <c r="O4268" i="1" s="1"/>
  <c r="C4268" i="1"/>
  <c r="L4267" i="1"/>
  <c r="O4267" i="1" s="1"/>
  <c r="C4267" i="1"/>
  <c r="L4266" i="1"/>
  <c r="O4266" i="1" s="1"/>
  <c r="C4266" i="1"/>
  <c r="O4265" i="1"/>
  <c r="L4265" i="1"/>
  <c r="C4265" i="1"/>
  <c r="L4264" i="1"/>
  <c r="O4264" i="1" s="1"/>
  <c r="C4264" i="1"/>
  <c r="L4263" i="1"/>
  <c r="O4263" i="1" s="1"/>
  <c r="C4263" i="1"/>
  <c r="L4262" i="1"/>
  <c r="O4262" i="1" s="1"/>
  <c r="C4262" i="1"/>
  <c r="O4261" i="1"/>
  <c r="L4261" i="1"/>
  <c r="C4261" i="1"/>
  <c r="O4260" i="1"/>
  <c r="L4260" i="1"/>
  <c r="C4260" i="1"/>
  <c r="O4259" i="1"/>
  <c r="L4259" i="1"/>
  <c r="C4259" i="1"/>
  <c r="L4258" i="1"/>
  <c r="O4258" i="1" s="1"/>
  <c r="C4258" i="1"/>
  <c r="L4257" i="1"/>
  <c r="O4257" i="1" s="1"/>
  <c r="C4257" i="1"/>
  <c r="L4256" i="1"/>
  <c r="O4256" i="1" s="1"/>
  <c r="C4256" i="1"/>
  <c r="O4255" i="1"/>
  <c r="L4255" i="1"/>
  <c r="C4255" i="1"/>
  <c r="L4254" i="1"/>
  <c r="O4254" i="1" s="1"/>
  <c r="C4254" i="1"/>
  <c r="O4253" i="1"/>
  <c r="L4253" i="1"/>
  <c r="C4253" i="1"/>
  <c r="O4252" i="1"/>
  <c r="L4252" i="1"/>
  <c r="C4252" i="1"/>
  <c r="L4251" i="1"/>
  <c r="O4251" i="1" s="1"/>
  <c r="C4251" i="1"/>
  <c r="L4250" i="1"/>
  <c r="O4250" i="1" s="1"/>
  <c r="C4250" i="1"/>
  <c r="O4249" i="1"/>
  <c r="L4249" i="1"/>
  <c r="C4249" i="1"/>
  <c r="L4248" i="1"/>
  <c r="O4248" i="1" s="1"/>
  <c r="C4248" i="1"/>
  <c r="L4247" i="1"/>
  <c r="O4247" i="1" s="1"/>
  <c r="C4247" i="1"/>
  <c r="L4246" i="1"/>
  <c r="O4246" i="1" s="1"/>
  <c r="C4246" i="1"/>
  <c r="O4245" i="1"/>
  <c r="L4245" i="1"/>
  <c r="C4245" i="1"/>
  <c r="O4244" i="1"/>
  <c r="L4244" i="1"/>
  <c r="C4244" i="1"/>
  <c r="O4243" i="1"/>
  <c r="L4243" i="1"/>
  <c r="C4243" i="1"/>
  <c r="L4242" i="1"/>
  <c r="O4242" i="1" s="1"/>
  <c r="C4242" i="1"/>
  <c r="O4241" i="1"/>
  <c r="L4241" i="1"/>
  <c r="C4241" i="1"/>
  <c r="L4240" i="1"/>
  <c r="O4240" i="1" s="1"/>
  <c r="C4240" i="1"/>
  <c r="O4239" i="1"/>
  <c r="L4239" i="1"/>
  <c r="C4239" i="1"/>
  <c r="L4238" i="1"/>
  <c r="O4238" i="1" s="1"/>
  <c r="C4238" i="1"/>
  <c r="O4237" i="1"/>
  <c r="L4237" i="1"/>
  <c r="C4237" i="1"/>
  <c r="L4236" i="1"/>
  <c r="O4236" i="1" s="1"/>
  <c r="C4236" i="1"/>
  <c r="O4235" i="1"/>
  <c r="L4235" i="1"/>
  <c r="C4235" i="1"/>
  <c r="L4234" i="1"/>
  <c r="O4234" i="1" s="1"/>
  <c r="C4234" i="1"/>
  <c r="O4233" i="1"/>
  <c r="L4233" i="1"/>
  <c r="C4233" i="1"/>
  <c r="L4232" i="1"/>
  <c r="O4232" i="1" s="1"/>
  <c r="C4232" i="1"/>
  <c r="O4231" i="1"/>
  <c r="L4231" i="1"/>
  <c r="C4231" i="1"/>
  <c r="L4230" i="1"/>
  <c r="O4230" i="1" s="1"/>
  <c r="C4230" i="1"/>
  <c r="L4229" i="1"/>
  <c r="O4229" i="1" s="1"/>
  <c r="C4229" i="1"/>
  <c r="O4228" i="1"/>
  <c r="L4228" i="1"/>
  <c r="C4228" i="1"/>
  <c r="O4227" i="1"/>
  <c r="L4227" i="1"/>
  <c r="C4227" i="1"/>
  <c r="L4226" i="1"/>
  <c r="O4226" i="1" s="1"/>
  <c r="C4226" i="1"/>
  <c r="O4225" i="1"/>
  <c r="L4225" i="1"/>
  <c r="C4225" i="1"/>
  <c r="O4224" i="1"/>
  <c r="L4224" i="1"/>
  <c r="C4224" i="1"/>
  <c r="L4223" i="1"/>
  <c r="O4223" i="1" s="1"/>
  <c r="C4223" i="1"/>
  <c r="L4222" i="1"/>
  <c r="O4222" i="1" s="1"/>
  <c r="C4222" i="1"/>
  <c r="O4221" i="1"/>
  <c r="L4221" i="1"/>
  <c r="C4221" i="1"/>
  <c r="O4220" i="1"/>
  <c r="L4220" i="1"/>
  <c r="C4220" i="1"/>
  <c r="L4219" i="1"/>
  <c r="O4219" i="1" s="1"/>
  <c r="C4219" i="1"/>
  <c r="O4218" i="1"/>
  <c r="L4218" i="1"/>
  <c r="C4218" i="1"/>
  <c r="O4217" i="1"/>
  <c r="L4217" i="1"/>
  <c r="C4217" i="1"/>
  <c r="L4216" i="1"/>
  <c r="O4216" i="1" s="1"/>
  <c r="C4216" i="1"/>
  <c r="O4215" i="1"/>
  <c r="L4215" i="1"/>
  <c r="C4215" i="1"/>
  <c r="O4214" i="1"/>
  <c r="L4214" i="1"/>
  <c r="C4214" i="1"/>
  <c r="L4213" i="1"/>
  <c r="O4213" i="1" s="1"/>
  <c r="C4213" i="1"/>
  <c r="O4212" i="1"/>
  <c r="L4212" i="1"/>
  <c r="C4212" i="1"/>
  <c r="O4211" i="1"/>
  <c r="L4211" i="1"/>
  <c r="C4211" i="1"/>
  <c r="L4210" i="1"/>
  <c r="O4210" i="1" s="1"/>
  <c r="C4210" i="1"/>
  <c r="O4209" i="1"/>
  <c r="L4209" i="1"/>
  <c r="C4209" i="1"/>
  <c r="O4208" i="1"/>
  <c r="L4208" i="1"/>
  <c r="C4208" i="1"/>
  <c r="O4207" i="1"/>
  <c r="L4207" i="1"/>
  <c r="C4207" i="1"/>
  <c r="L4206" i="1"/>
  <c r="O4206" i="1" s="1"/>
  <c r="C4206" i="1"/>
  <c r="O4205" i="1"/>
  <c r="L4205" i="1"/>
  <c r="C4205" i="1"/>
  <c r="O4204" i="1"/>
  <c r="L4204" i="1"/>
  <c r="C4204" i="1"/>
  <c r="L4203" i="1"/>
  <c r="O4203" i="1" s="1"/>
  <c r="C4203" i="1"/>
  <c r="L4202" i="1"/>
  <c r="O4202" i="1" s="1"/>
  <c r="C4202" i="1"/>
  <c r="O4201" i="1"/>
  <c r="L4201" i="1"/>
  <c r="C4201" i="1"/>
  <c r="L4200" i="1"/>
  <c r="O4200" i="1" s="1"/>
  <c r="C4200" i="1"/>
  <c r="O4199" i="1"/>
  <c r="L4199" i="1"/>
  <c r="C4199" i="1"/>
  <c r="L4198" i="1"/>
  <c r="O4198" i="1" s="1"/>
  <c r="C4198" i="1"/>
  <c r="O4197" i="1"/>
  <c r="L4197" i="1"/>
  <c r="C4197" i="1"/>
  <c r="O4196" i="1"/>
  <c r="L4196" i="1"/>
  <c r="C4196" i="1"/>
  <c r="O4195" i="1"/>
  <c r="L4195" i="1"/>
  <c r="C4195" i="1"/>
  <c r="L4194" i="1"/>
  <c r="O4194" i="1" s="1"/>
  <c r="C4194" i="1"/>
  <c r="O4193" i="1"/>
  <c r="L4193" i="1"/>
  <c r="C4193" i="1"/>
  <c r="O4192" i="1"/>
  <c r="L4192" i="1"/>
  <c r="C4192" i="1"/>
  <c r="O4191" i="1"/>
  <c r="L4191" i="1"/>
  <c r="C4191" i="1"/>
  <c r="L4190" i="1"/>
  <c r="O4190" i="1" s="1"/>
  <c r="C4190" i="1"/>
  <c r="O4189" i="1"/>
  <c r="L4189" i="1"/>
  <c r="C4189" i="1"/>
  <c r="L4188" i="1"/>
  <c r="O4188" i="1" s="1"/>
  <c r="C4188" i="1"/>
  <c r="O4187" i="1"/>
  <c r="L4187" i="1"/>
  <c r="C4187" i="1"/>
  <c r="O4186" i="1"/>
  <c r="L4186" i="1"/>
  <c r="C4186" i="1"/>
  <c r="O4185" i="1"/>
  <c r="L4185" i="1"/>
  <c r="C4185" i="1"/>
  <c r="L4184" i="1"/>
  <c r="O4184" i="1" s="1"/>
  <c r="C4184" i="1"/>
  <c r="L4183" i="1"/>
  <c r="O4183" i="1" s="1"/>
  <c r="C4183" i="1"/>
  <c r="L4182" i="1"/>
  <c r="O4182" i="1" s="1"/>
  <c r="C4182" i="1"/>
  <c r="L4181" i="1"/>
  <c r="O4181" i="1" s="1"/>
  <c r="C4181" i="1"/>
  <c r="O4180" i="1"/>
  <c r="L4180" i="1"/>
  <c r="C4180" i="1"/>
  <c r="O4179" i="1"/>
  <c r="L4179" i="1"/>
  <c r="C4179" i="1"/>
  <c r="L4178" i="1"/>
  <c r="O4178" i="1" s="1"/>
  <c r="C4178" i="1"/>
  <c r="L4177" i="1"/>
  <c r="O4177" i="1" s="1"/>
  <c r="C4177" i="1"/>
  <c r="L4176" i="1"/>
  <c r="O4176" i="1" s="1"/>
  <c r="C4176" i="1"/>
  <c r="L4175" i="1"/>
  <c r="O4175" i="1" s="1"/>
  <c r="C4175" i="1"/>
  <c r="L4174" i="1"/>
  <c r="O4174" i="1" s="1"/>
  <c r="C4174" i="1"/>
  <c r="O4173" i="1"/>
  <c r="L4173" i="1"/>
  <c r="C4173" i="1"/>
  <c r="L4172" i="1"/>
  <c r="O4172" i="1" s="1"/>
  <c r="C4172" i="1"/>
  <c r="L4171" i="1"/>
  <c r="O4171" i="1" s="1"/>
  <c r="C4171" i="1"/>
  <c r="L4170" i="1"/>
  <c r="O4170" i="1" s="1"/>
  <c r="C4170" i="1"/>
  <c r="O4169" i="1"/>
  <c r="L4169" i="1"/>
  <c r="C4169" i="1"/>
  <c r="L4168" i="1"/>
  <c r="O4168" i="1" s="1"/>
  <c r="C4168" i="1"/>
  <c r="O4167" i="1"/>
  <c r="L4167" i="1"/>
  <c r="C4167" i="1"/>
  <c r="L4166" i="1"/>
  <c r="O4166" i="1" s="1"/>
  <c r="C4166" i="1"/>
  <c r="L4165" i="1"/>
  <c r="O4165" i="1" s="1"/>
  <c r="C4165" i="1"/>
  <c r="O4164" i="1"/>
  <c r="L4164" i="1"/>
  <c r="C4164" i="1"/>
  <c r="O4163" i="1"/>
  <c r="L4163" i="1"/>
  <c r="C4163" i="1"/>
  <c r="L4162" i="1"/>
  <c r="O4162" i="1" s="1"/>
  <c r="C4162" i="1"/>
  <c r="O4161" i="1"/>
  <c r="L4161" i="1"/>
  <c r="C4161" i="1"/>
  <c r="L4160" i="1"/>
  <c r="O4160" i="1" s="1"/>
  <c r="C4160" i="1"/>
  <c r="L4159" i="1"/>
  <c r="O4159" i="1" s="1"/>
  <c r="C4159" i="1"/>
  <c r="L4158" i="1"/>
  <c r="O4158" i="1" s="1"/>
  <c r="C4158" i="1"/>
  <c r="O4157" i="1"/>
  <c r="L4157" i="1"/>
  <c r="C4157" i="1"/>
  <c r="L4156" i="1"/>
  <c r="O4156" i="1" s="1"/>
  <c r="C4156" i="1"/>
  <c r="L4155" i="1"/>
  <c r="O4155" i="1" s="1"/>
  <c r="C4155" i="1"/>
  <c r="O4154" i="1"/>
  <c r="L4154" i="1"/>
  <c r="C4154" i="1"/>
  <c r="O4153" i="1"/>
  <c r="L4153" i="1"/>
  <c r="C4153" i="1"/>
  <c r="L4152" i="1"/>
  <c r="O4152" i="1" s="1"/>
  <c r="C4152" i="1"/>
  <c r="O4151" i="1"/>
  <c r="L4151" i="1"/>
  <c r="C4151" i="1"/>
  <c r="O4150" i="1"/>
  <c r="L4150" i="1"/>
  <c r="C4150" i="1"/>
  <c r="L4149" i="1"/>
  <c r="O4149" i="1" s="1"/>
  <c r="C4149" i="1"/>
  <c r="O4148" i="1"/>
  <c r="L4148" i="1"/>
  <c r="C4148" i="1"/>
  <c r="O4147" i="1"/>
  <c r="L4147" i="1"/>
  <c r="C4147" i="1"/>
  <c r="L4146" i="1"/>
  <c r="O4146" i="1" s="1"/>
  <c r="C4146" i="1"/>
  <c r="L4145" i="1"/>
  <c r="O4145" i="1" s="1"/>
  <c r="C4145" i="1"/>
  <c r="O4144" i="1"/>
  <c r="L4144" i="1"/>
  <c r="C4144" i="1"/>
  <c r="L4143" i="1"/>
  <c r="O4143" i="1" s="1"/>
  <c r="C4143" i="1"/>
  <c r="L4142" i="1"/>
  <c r="O4142" i="1" s="1"/>
  <c r="C4142" i="1"/>
  <c r="O4141" i="1"/>
  <c r="L4141" i="1"/>
  <c r="C4141" i="1"/>
  <c r="O4140" i="1"/>
  <c r="L4140" i="1"/>
  <c r="C4140" i="1"/>
  <c r="L4139" i="1"/>
  <c r="O4139" i="1" s="1"/>
  <c r="C4139" i="1"/>
  <c r="L4138" i="1"/>
  <c r="O4138" i="1" s="1"/>
  <c r="C4138" i="1"/>
  <c r="O4137" i="1"/>
  <c r="L4137" i="1"/>
  <c r="C4137" i="1"/>
  <c r="L4136" i="1"/>
  <c r="O4136" i="1" s="1"/>
  <c r="C4136" i="1"/>
  <c r="O4135" i="1"/>
  <c r="L4135" i="1"/>
  <c r="C4135" i="1"/>
  <c r="O4134" i="1"/>
  <c r="L4134" i="1"/>
  <c r="C4134" i="1"/>
  <c r="O4133" i="1"/>
  <c r="L4133" i="1"/>
  <c r="C4133" i="1"/>
  <c r="O4132" i="1"/>
  <c r="L4132" i="1"/>
  <c r="C4132" i="1"/>
  <c r="O4131" i="1"/>
  <c r="L4131" i="1"/>
  <c r="C4131" i="1"/>
  <c r="L4130" i="1"/>
  <c r="O4130" i="1" s="1"/>
  <c r="C4130" i="1"/>
  <c r="L4129" i="1"/>
  <c r="O4129" i="1" s="1"/>
  <c r="C4129" i="1"/>
  <c r="L4128" i="1"/>
  <c r="O4128" i="1" s="1"/>
  <c r="C4128" i="1"/>
  <c r="O4127" i="1"/>
  <c r="L4127" i="1"/>
  <c r="C4127" i="1"/>
  <c r="L4126" i="1"/>
  <c r="O4126" i="1" s="1"/>
  <c r="C4126" i="1"/>
  <c r="O4125" i="1"/>
  <c r="L4125" i="1"/>
  <c r="C4125" i="1"/>
  <c r="L4124" i="1"/>
  <c r="O4124" i="1" s="1"/>
  <c r="C4124" i="1"/>
  <c r="O4123" i="1"/>
  <c r="L4123" i="1"/>
  <c r="C4123" i="1"/>
  <c r="L4122" i="1"/>
  <c r="O4122" i="1" s="1"/>
  <c r="C4122" i="1"/>
  <c r="O4121" i="1"/>
  <c r="L4121" i="1"/>
  <c r="C4121" i="1"/>
  <c r="L4120" i="1"/>
  <c r="O4120" i="1" s="1"/>
  <c r="C4120" i="1"/>
  <c r="L4119" i="1"/>
  <c r="O4119" i="1" s="1"/>
  <c r="C4119" i="1"/>
  <c r="L4118" i="1"/>
  <c r="O4118" i="1" s="1"/>
  <c r="C4118" i="1"/>
  <c r="O4117" i="1"/>
  <c r="L4117" i="1"/>
  <c r="C4117" i="1"/>
  <c r="O4116" i="1"/>
  <c r="L4116" i="1"/>
  <c r="C4116" i="1"/>
  <c r="O4115" i="1"/>
  <c r="L4115" i="1"/>
  <c r="C4115" i="1"/>
  <c r="L4114" i="1"/>
  <c r="O4114" i="1" s="1"/>
  <c r="C4114" i="1"/>
  <c r="O4113" i="1"/>
  <c r="L4113" i="1"/>
  <c r="C4113" i="1"/>
  <c r="L4112" i="1"/>
  <c r="O4112" i="1" s="1"/>
  <c r="C4112" i="1"/>
  <c r="L4111" i="1"/>
  <c r="O4111" i="1" s="1"/>
  <c r="C4111" i="1"/>
  <c r="L4110" i="1"/>
  <c r="O4110" i="1" s="1"/>
  <c r="C4110" i="1"/>
  <c r="O4109" i="1"/>
  <c r="L4109" i="1"/>
  <c r="C4109" i="1"/>
  <c r="O4108" i="1"/>
  <c r="L4108" i="1"/>
  <c r="C4108" i="1"/>
  <c r="O4107" i="1"/>
  <c r="L4107" i="1"/>
  <c r="C4107" i="1"/>
  <c r="O4106" i="1"/>
  <c r="L4106" i="1"/>
  <c r="C4106" i="1"/>
  <c r="O4105" i="1"/>
  <c r="L4105" i="1"/>
  <c r="C4105" i="1"/>
  <c r="L4104" i="1"/>
  <c r="O4104" i="1" s="1"/>
  <c r="C4104" i="1"/>
  <c r="L4103" i="1"/>
  <c r="O4103" i="1" s="1"/>
  <c r="C4103" i="1"/>
  <c r="O4102" i="1"/>
  <c r="L4102" i="1"/>
  <c r="C4102" i="1"/>
  <c r="O4101" i="1"/>
  <c r="L4101" i="1"/>
  <c r="C4101" i="1"/>
  <c r="O4100" i="1"/>
  <c r="L4100" i="1"/>
  <c r="C4100" i="1"/>
  <c r="O4099" i="1"/>
  <c r="L4099" i="1"/>
  <c r="C4099" i="1"/>
  <c r="L4098" i="1"/>
  <c r="O4098" i="1" s="1"/>
  <c r="C4098" i="1"/>
  <c r="O4097" i="1"/>
  <c r="L4097" i="1"/>
  <c r="C4097" i="1"/>
  <c r="L4096" i="1"/>
  <c r="O4096" i="1" s="1"/>
  <c r="C4096" i="1"/>
  <c r="O4095" i="1"/>
  <c r="L4095" i="1"/>
  <c r="C4095" i="1"/>
  <c r="L4094" i="1"/>
  <c r="O4094" i="1" s="1"/>
  <c r="C4094" i="1"/>
  <c r="O4093" i="1"/>
  <c r="L4093" i="1"/>
  <c r="C4093" i="1"/>
  <c r="L4092" i="1"/>
  <c r="O4092" i="1" s="1"/>
  <c r="C4092" i="1"/>
  <c r="O4091" i="1"/>
  <c r="L4091" i="1"/>
  <c r="C4091" i="1"/>
  <c r="L4090" i="1"/>
  <c r="O4090" i="1" s="1"/>
  <c r="C4090" i="1"/>
  <c r="O4089" i="1"/>
  <c r="L4089" i="1"/>
  <c r="C4089" i="1"/>
  <c r="L4088" i="1"/>
  <c r="O4088" i="1" s="1"/>
  <c r="C4088" i="1"/>
  <c r="O4087" i="1"/>
  <c r="L4087" i="1"/>
  <c r="C4087" i="1"/>
  <c r="L4086" i="1"/>
  <c r="O4086" i="1" s="1"/>
  <c r="C4086" i="1"/>
  <c r="O4085" i="1"/>
  <c r="L4085" i="1"/>
  <c r="C4085" i="1"/>
  <c r="O4084" i="1"/>
  <c r="L4084" i="1"/>
  <c r="C4084" i="1"/>
  <c r="O4083" i="1"/>
  <c r="L4083" i="1"/>
  <c r="C4083" i="1"/>
  <c r="L4082" i="1"/>
  <c r="O4082" i="1" s="1"/>
  <c r="C4082" i="1"/>
  <c r="L4081" i="1"/>
  <c r="O4081" i="1" s="1"/>
  <c r="C4081" i="1"/>
  <c r="L4080" i="1"/>
  <c r="O4080" i="1" s="1"/>
  <c r="C4080" i="1"/>
  <c r="O4079" i="1"/>
  <c r="L4079" i="1"/>
  <c r="C4079" i="1"/>
  <c r="L4078" i="1"/>
  <c r="O4078" i="1" s="1"/>
  <c r="C4078" i="1"/>
  <c r="O4077" i="1"/>
  <c r="L4077" i="1"/>
  <c r="C4077" i="1"/>
  <c r="L4076" i="1"/>
  <c r="O4076" i="1" s="1"/>
  <c r="C4076" i="1"/>
  <c r="L4075" i="1"/>
  <c r="O4075" i="1" s="1"/>
  <c r="C4075" i="1"/>
  <c r="O4074" i="1"/>
  <c r="L4074" i="1"/>
  <c r="C4074" i="1"/>
  <c r="O4073" i="1"/>
  <c r="L4073" i="1"/>
  <c r="C4073" i="1"/>
  <c r="L4072" i="1"/>
  <c r="O4072" i="1" s="1"/>
  <c r="C4072" i="1"/>
  <c r="L4071" i="1"/>
  <c r="O4071" i="1" s="1"/>
  <c r="C4071" i="1"/>
  <c r="O4070" i="1"/>
  <c r="L4070" i="1"/>
  <c r="C4070" i="1"/>
  <c r="L4069" i="1"/>
  <c r="O4069" i="1" s="1"/>
  <c r="C4069" i="1"/>
  <c r="O4068" i="1"/>
  <c r="L4068" i="1"/>
  <c r="C4068" i="1"/>
  <c r="O4067" i="1"/>
  <c r="L4067" i="1"/>
  <c r="C4067" i="1"/>
  <c r="L4066" i="1"/>
  <c r="O4066" i="1" s="1"/>
  <c r="C4066" i="1"/>
  <c r="L4065" i="1"/>
  <c r="O4065" i="1" s="1"/>
  <c r="C4065" i="1"/>
  <c r="L4064" i="1"/>
  <c r="O4064" i="1" s="1"/>
  <c r="C4064" i="1"/>
  <c r="L4063" i="1"/>
  <c r="O4063" i="1" s="1"/>
  <c r="C4063" i="1"/>
  <c r="L4062" i="1"/>
  <c r="O4062" i="1" s="1"/>
  <c r="C4062" i="1"/>
  <c r="O4061" i="1"/>
  <c r="L4061" i="1"/>
  <c r="C4061" i="1"/>
  <c r="O4060" i="1"/>
  <c r="L4060" i="1"/>
  <c r="C4060" i="1"/>
  <c r="L4059" i="1"/>
  <c r="O4059" i="1" s="1"/>
  <c r="C4059" i="1"/>
  <c r="L4058" i="1"/>
  <c r="O4058" i="1" s="1"/>
  <c r="C4058" i="1"/>
  <c r="O4057" i="1"/>
  <c r="L4057" i="1"/>
  <c r="C4057" i="1"/>
  <c r="L4056" i="1"/>
  <c r="O4056" i="1" s="1"/>
  <c r="C4056" i="1"/>
  <c r="L4055" i="1"/>
  <c r="O4055" i="1" s="1"/>
  <c r="C4055" i="1"/>
  <c r="L4054" i="1"/>
  <c r="O4054" i="1" s="1"/>
  <c r="C4054" i="1"/>
  <c r="O4053" i="1"/>
  <c r="L4053" i="1"/>
  <c r="C4053" i="1"/>
  <c r="O4052" i="1"/>
  <c r="L4052" i="1"/>
  <c r="C4052" i="1"/>
  <c r="O4051" i="1"/>
  <c r="L4051" i="1"/>
  <c r="C4051" i="1"/>
  <c r="L4050" i="1"/>
  <c r="O4050" i="1" s="1"/>
  <c r="C4050" i="1"/>
  <c r="O4049" i="1"/>
  <c r="L4049" i="1"/>
  <c r="C4049" i="1"/>
  <c r="L4048" i="1"/>
  <c r="O4048" i="1" s="1"/>
  <c r="C4048" i="1"/>
  <c r="L4047" i="1"/>
  <c r="O4047" i="1" s="1"/>
  <c r="C4047" i="1"/>
  <c r="L4046" i="1"/>
  <c r="O4046" i="1" s="1"/>
  <c r="C4046" i="1"/>
  <c r="O4045" i="1"/>
  <c r="L4045" i="1"/>
  <c r="C4045" i="1"/>
  <c r="L4044" i="1"/>
  <c r="O4044" i="1" s="1"/>
  <c r="C4044" i="1"/>
  <c r="O4043" i="1"/>
  <c r="L4043" i="1"/>
  <c r="C4043" i="1"/>
  <c r="L4042" i="1"/>
  <c r="O4042" i="1" s="1"/>
  <c r="C4042" i="1"/>
  <c r="O4041" i="1"/>
  <c r="L4041" i="1"/>
  <c r="C4041" i="1"/>
  <c r="L4040" i="1"/>
  <c r="O4040" i="1" s="1"/>
  <c r="C4040" i="1"/>
  <c r="O4039" i="1"/>
  <c r="L4039" i="1"/>
  <c r="C4039" i="1"/>
  <c r="L4038" i="1"/>
  <c r="O4038" i="1" s="1"/>
  <c r="C4038" i="1"/>
  <c r="L4037" i="1"/>
  <c r="O4037" i="1" s="1"/>
  <c r="C4037" i="1"/>
  <c r="O4036" i="1"/>
  <c r="L4036" i="1"/>
  <c r="C4036" i="1"/>
  <c r="O4035" i="1"/>
  <c r="L4035" i="1"/>
  <c r="C4035" i="1"/>
  <c r="L4034" i="1"/>
  <c r="O4034" i="1" s="1"/>
  <c r="C4034" i="1"/>
  <c r="O4033" i="1"/>
  <c r="L4033" i="1"/>
  <c r="C4033" i="1"/>
  <c r="O4032" i="1"/>
  <c r="L4032" i="1"/>
  <c r="C4032" i="1"/>
  <c r="L4031" i="1"/>
  <c r="O4031" i="1" s="1"/>
  <c r="C4031" i="1"/>
  <c r="L4030" i="1"/>
  <c r="O4030" i="1" s="1"/>
  <c r="C4030" i="1"/>
  <c r="O4029" i="1"/>
  <c r="L4029" i="1"/>
  <c r="C4029" i="1"/>
  <c r="L4028" i="1"/>
  <c r="O4028" i="1" s="1"/>
  <c r="C4028" i="1"/>
  <c r="O4027" i="1"/>
  <c r="L4027" i="1"/>
  <c r="C4027" i="1"/>
  <c r="O4026" i="1"/>
  <c r="L4026" i="1"/>
  <c r="C4026" i="1"/>
  <c r="O4025" i="1"/>
  <c r="L4025" i="1"/>
  <c r="C4025" i="1"/>
  <c r="L4024" i="1"/>
  <c r="O4024" i="1" s="1"/>
  <c r="C4024" i="1"/>
  <c r="L4023" i="1"/>
  <c r="O4023" i="1" s="1"/>
  <c r="C4023" i="1"/>
  <c r="L4022" i="1"/>
  <c r="O4022" i="1" s="1"/>
  <c r="C4022" i="1"/>
  <c r="O4021" i="1"/>
  <c r="L4021" i="1"/>
  <c r="C4021" i="1"/>
  <c r="O4020" i="1"/>
  <c r="L4020" i="1"/>
  <c r="C4020" i="1"/>
  <c r="O4019" i="1"/>
  <c r="L4019" i="1"/>
  <c r="C4019" i="1"/>
  <c r="L4018" i="1"/>
  <c r="O4018" i="1" s="1"/>
  <c r="C4018" i="1"/>
  <c r="O4017" i="1"/>
  <c r="L4017" i="1"/>
  <c r="C4017" i="1"/>
  <c r="L4016" i="1"/>
  <c r="O4016" i="1" s="1"/>
  <c r="C4016" i="1"/>
  <c r="O4015" i="1"/>
  <c r="L4015" i="1"/>
  <c r="C4015" i="1"/>
  <c r="L4014" i="1"/>
  <c r="O4014" i="1" s="1"/>
  <c r="C4014" i="1"/>
  <c r="O4013" i="1"/>
  <c r="L4013" i="1"/>
  <c r="C4013" i="1"/>
  <c r="L4012" i="1"/>
  <c r="O4012" i="1" s="1"/>
  <c r="C4012" i="1"/>
  <c r="O4011" i="1"/>
  <c r="L4011" i="1"/>
  <c r="C4011" i="1"/>
  <c r="L4010" i="1"/>
  <c r="O4010" i="1" s="1"/>
  <c r="C4010" i="1"/>
  <c r="O4009" i="1"/>
  <c r="L4009" i="1"/>
  <c r="C4009" i="1"/>
  <c r="L4008" i="1"/>
  <c r="O4008" i="1" s="1"/>
  <c r="C4008" i="1"/>
  <c r="L4007" i="1"/>
  <c r="O4007" i="1" s="1"/>
  <c r="C4007" i="1"/>
  <c r="L4006" i="1"/>
  <c r="O4006" i="1" s="1"/>
  <c r="C4006" i="1"/>
  <c r="L4005" i="1"/>
  <c r="O4005" i="1" s="1"/>
  <c r="C4005" i="1"/>
  <c r="O4004" i="1"/>
  <c r="L4004" i="1"/>
  <c r="C4004" i="1"/>
  <c r="O4003" i="1"/>
  <c r="L4003" i="1"/>
  <c r="C4003" i="1"/>
  <c r="L4002" i="1"/>
  <c r="O4002" i="1" s="1"/>
  <c r="C4002" i="1"/>
  <c r="L4001" i="1"/>
  <c r="O4001" i="1" s="1"/>
  <c r="C4001" i="1"/>
  <c r="L4000" i="1"/>
  <c r="O4000" i="1" s="1"/>
  <c r="C4000" i="1"/>
  <c r="L3999" i="1"/>
  <c r="O3999" i="1" s="1"/>
  <c r="C3999" i="1"/>
  <c r="L3998" i="1"/>
  <c r="O3998" i="1" s="1"/>
  <c r="C3998" i="1"/>
  <c r="O3997" i="1"/>
  <c r="L3997" i="1"/>
  <c r="C3997" i="1"/>
  <c r="O3996" i="1"/>
  <c r="L3996" i="1"/>
  <c r="C3996" i="1"/>
  <c r="L3995" i="1"/>
  <c r="O3995" i="1" s="1"/>
  <c r="C3995" i="1"/>
  <c r="L3994" i="1"/>
  <c r="O3994" i="1" s="1"/>
  <c r="C3994" i="1"/>
  <c r="O3993" i="1"/>
  <c r="L3993" i="1"/>
  <c r="C3993" i="1"/>
  <c r="L3992" i="1"/>
  <c r="O3992" i="1" s="1"/>
  <c r="C3992" i="1"/>
  <c r="L3991" i="1"/>
  <c r="O3991" i="1" s="1"/>
  <c r="C3991" i="1"/>
  <c r="L3990" i="1"/>
  <c r="O3990" i="1" s="1"/>
  <c r="C3990" i="1"/>
  <c r="O3989" i="1"/>
  <c r="L3989" i="1"/>
  <c r="C3989" i="1"/>
  <c r="O3988" i="1"/>
  <c r="L3988" i="1"/>
  <c r="C3988" i="1"/>
  <c r="O3987" i="1"/>
  <c r="L3987" i="1"/>
  <c r="C3987" i="1"/>
  <c r="L3986" i="1"/>
  <c r="O3986" i="1" s="1"/>
  <c r="C3986" i="1"/>
  <c r="L3985" i="1"/>
  <c r="O3985" i="1" s="1"/>
  <c r="C3985" i="1"/>
  <c r="L3984" i="1"/>
  <c r="O3984" i="1" s="1"/>
  <c r="C3984" i="1"/>
  <c r="L3983" i="1"/>
  <c r="O3983" i="1" s="1"/>
  <c r="C3983" i="1"/>
  <c r="L3982" i="1"/>
  <c r="O3982" i="1" s="1"/>
  <c r="C3982" i="1"/>
  <c r="O3981" i="1"/>
  <c r="L3981" i="1"/>
  <c r="C3981" i="1"/>
  <c r="L3980" i="1"/>
  <c r="O3980" i="1" s="1"/>
  <c r="C3980" i="1"/>
  <c r="O3979" i="1"/>
  <c r="L3979" i="1"/>
  <c r="C3979" i="1"/>
  <c r="L3978" i="1"/>
  <c r="O3978" i="1" s="1"/>
  <c r="C3978" i="1"/>
  <c r="O3977" i="1"/>
  <c r="L3977" i="1"/>
  <c r="C3977" i="1"/>
  <c r="L3976" i="1"/>
  <c r="O3976" i="1" s="1"/>
  <c r="C3976" i="1"/>
  <c r="O3975" i="1"/>
  <c r="L3975" i="1"/>
  <c r="C3975" i="1"/>
  <c r="L3974" i="1"/>
  <c r="O3974" i="1" s="1"/>
  <c r="C3974" i="1"/>
  <c r="L3973" i="1"/>
  <c r="O3973" i="1" s="1"/>
  <c r="C3973" i="1"/>
  <c r="O3972" i="1"/>
  <c r="L3972" i="1"/>
  <c r="C3972" i="1"/>
  <c r="O3971" i="1"/>
  <c r="L3971" i="1"/>
  <c r="C3971" i="1"/>
  <c r="L3970" i="1"/>
  <c r="O3970" i="1" s="1"/>
  <c r="C3970" i="1"/>
  <c r="O3969" i="1"/>
  <c r="L3969" i="1"/>
  <c r="C3969" i="1"/>
  <c r="L3968" i="1"/>
  <c r="O3968" i="1" s="1"/>
  <c r="C3968" i="1"/>
  <c r="L3967" i="1"/>
  <c r="O3967" i="1" s="1"/>
  <c r="C3967" i="1"/>
  <c r="L3966" i="1"/>
  <c r="O3966" i="1" s="1"/>
  <c r="C3966" i="1"/>
  <c r="O3965" i="1"/>
  <c r="L3965" i="1"/>
  <c r="C3965" i="1"/>
  <c r="L3964" i="1"/>
  <c r="O3964" i="1" s="1"/>
  <c r="C3964" i="1"/>
  <c r="L3963" i="1"/>
  <c r="O3963" i="1" s="1"/>
  <c r="C3963" i="1"/>
  <c r="O3962" i="1"/>
  <c r="L3962" i="1"/>
  <c r="C3962" i="1"/>
  <c r="O3961" i="1"/>
  <c r="L3961" i="1"/>
  <c r="C3961" i="1"/>
  <c r="L3960" i="1"/>
  <c r="O3960" i="1" s="1"/>
  <c r="C3960" i="1"/>
  <c r="L3959" i="1"/>
  <c r="O3959" i="1" s="1"/>
  <c r="C3959" i="1"/>
  <c r="O3958" i="1"/>
  <c r="L3958" i="1"/>
  <c r="C3958" i="1"/>
  <c r="L3957" i="1"/>
  <c r="O3957" i="1" s="1"/>
  <c r="C3957" i="1"/>
  <c r="L3956" i="1"/>
  <c r="O3956" i="1" s="1"/>
  <c r="C3956" i="1"/>
  <c r="O3955" i="1"/>
  <c r="L3955" i="1"/>
  <c r="C3955" i="1"/>
  <c r="L3954" i="1"/>
  <c r="O3954" i="1" s="1"/>
  <c r="C3954" i="1"/>
  <c r="L3953" i="1"/>
  <c r="O3953" i="1" s="1"/>
  <c r="C3953" i="1"/>
  <c r="O3952" i="1"/>
  <c r="L3952" i="1"/>
  <c r="C3952" i="1"/>
  <c r="L3951" i="1"/>
  <c r="O3951" i="1" s="1"/>
  <c r="C3951" i="1"/>
  <c r="L3950" i="1"/>
  <c r="O3950" i="1" s="1"/>
  <c r="C3950" i="1"/>
  <c r="O3949" i="1"/>
  <c r="L3949" i="1"/>
  <c r="C3949" i="1"/>
  <c r="L3948" i="1"/>
  <c r="O3948" i="1" s="1"/>
  <c r="C3948" i="1"/>
  <c r="L3947" i="1"/>
  <c r="O3947" i="1" s="1"/>
  <c r="C3947" i="1"/>
  <c r="L3946" i="1"/>
  <c r="O3946" i="1" s="1"/>
  <c r="C3946" i="1"/>
  <c r="O3945" i="1"/>
  <c r="L3945" i="1"/>
  <c r="C3945" i="1"/>
  <c r="L3944" i="1"/>
  <c r="O3944" i="1" s="1"/>
  <c r="C3944" i="1"/>
  <c r="L3943" i="1"/>
  <c r="O3943" i="1" s="1"/>
  <c r="C3943" i="1"/>
  <c r="O3942" i="1"/>
  <c r="L3942" i="1"/>
  <c r="C3942" i="1"/>
  <c r="O3941" i="1"/>
  <c r="L3941" i="1"/>
  <c r="C3941" i="1"/>
  <c r="L3940" i="1"/>
  <c r="O3940" i="1" s="1"/>
  <c r="C3940" i="1"/>
  <c r="O3939" i="1"/>
  <c r="L3939" i="1"/>
  <c r="C3939" i="1"/>
  <c r="L3938" i="1"/>
  <c r="O3938" i="1" s="1"/>
  <c r="C3938" i="1"/>
  <c r="L3937" i="1"/>
  <c r="O3937" i="1" s="1"/>
  <c r="C3937" i="1"/>
  <c r="O3936" i="1"/>
  <c r="L3936" i="1"/>
  <c r="C3936" i="1"/>
  <c r="O3935" i="1"/>
  <c r="L3935" i="1"/>
  <c r="C3935" i="1"/>
  <c r="L3934" i="1"/>
  <c r="O3934" i="1" s="1"/>
  <c r="C3934" i="1"/>
  <c r="O3933" i="1"/>
  <c r="L3933" i="1"/>
  <c r="C3933" i="1"/>
  <c r="L3932" i="1"/>
  <c r="O3932" i="1" s="1"/>
  <c r="C3932" i="1"/>
  <c r="L3931" i="1"/>
  <c r="O3931" i="1" s="1"/>
  <c r="C3931" i="1"/>
  <c r="O3930" i="1"/>
  <c r="L3930" i="1"/>
  <c r="C3930" i="1"/>
  <c r="O3929" i="1"/>
  <c r="L3929" i="1"/>
  <c r="C3929" i="1"/>
  <c r="L3928" i="1"/>
  <c r="O3928" i="1" s="1"/>
  <c r="C3928" i="1"/>
  <c r="L3927" i="1"/>
  <c r="O3927" i="1" s="1"/>
  <c r="C3927" i="1"/>
  <c r="L3926" i="1"/>
  <c r="O3926" i="1" s="1"/>
  <c r="C3926" i="1"/>
  <c r="O3925" i="1"/>
  <c r="L3925" i="1"/>
  <c r="C3925" i="1"/>
  <c r="O3924" i="1"/>
  <c r="L3924" i="1"/>
  <c r="C3924" i="1"/>
  <c r="O3923" i="1"/>
  <c r="L3923" i="1"/>
  <c r="C3923" i="1"/>
  <c r="L3922" i="1"/>
  <c r="O3922" i="1" s="1"/>
  <c r="C3922" i="1"/>
  <c r="L3921" i="1"/>
  <c r="O3921" i="1" s="1"/>
  <c r="C3921" i="1"/>
  <c r="L3920" i="1"/>
  <c r="O3920" i="1" s="1"/>
  <c r="C3920" i="1"/>
  <c r="O3919" i="1"/>
  <c r="L3919" i="1"/>
  <c r="C3919" i="1"/>
  <c r="L3918" i="1"/>
  <c r="O3918" i="1" s="1"/>
  <c r="C3918" i="1"/>
  <c r="O3917" i="1"/>
  <c r="L3917" i="1"/>
  <c r="C3917" i="1"/>
  <c r="L3916" i="1"/>
  <c r="O3916" i="1" s="1"/>
  <c r="C3916" i="1"/>
  <c r="L3915" i="1"/>
  <c r="O3915" i="1" s="1"/>
  <c r="C3915" i="1"/>
  <c r="L3914" i="1"/>
  <c r="O3914" i="1" s="1"/>
  <c r="C3914" i="1"/>
  <c r="O3913" i="1"/>
  <c r="L3913" i="1"/>
  <c r="C3913" i="1"/>
  <c r="L3912" i="1"/>
  <c r="O3912" i="1" s="1"/>
  <c r="C3912" i="1"/>
  <c r="L3911" i="1"/>
  <c r="O3911" i="1" s="1"/>
  <c r="C3911" i="1"/>
  <c r="L3910" i="1"/>
  <c r="O3910" i="1" s="1"/>
  <c r="C3910" i="1"/>
  <c r="L3909" i="1"/>
  <c r="O3909" i="1" s="1"/>
  <c r="C3909" i="1"/>
  <c r="L3908" i="1"/>
  <c r="O3908" i="1" s="1"/>
  <c r="C3908" i="1"/>
  <c r="O3907" i="1"/>
  <c r="L3907" i="1"/>
  <c r="C3907" i="1"/>
  <c r="L3906" i="1"/>
  <c r="O3906" i="1" s="1"/>
  <c r="C3906" i="1"/>
  <c r="O3905" i="1"/>
  <c r="L3905" i="1"/>
  <c r="C3905" i="1"/>
  <c r="L3904" i="1"/>
  <c r="O3904" i="1" s="1"/>
  <c r="C3904" i="1"/>
  <c r="L3903" i="1"/>
  <c r="O3903" i="1" s="1"/>
  <c r="C3903" i="1"/>
  <c r="L3902" i="1"/>
  <c r="O3902" i="1" s="1"/>
  <c r="C3902" i="1"/>
  <c r="O3901" i="1"/>
  <c r="L3901" i="1"/>
  <c r="C3901" i="1"/>
  <c r="L3900" i="1"/>
  <c r="O3900" i="1" s="1"/>
  <c r="C3900" i="1"/>
  <c r="L3899" i="1"/>
  <c r="O3899" i="1" s="1"/>
  <c r="C3899" i="1"/>
  <c r="O3898" i="1"/>
  <c r="L3898" i="1"/>
  <c r="C3898" i="1"/>
  <c r="O3897" i="1"/>
  <c r="L3897" i="1"/>
  <c r="C3897" i="1"/>
  <c r="L3896" i="1"/>
  <c r="O3896" i="1" s="1"/>
  <c r="C3896" i="1"/>
  <c r="O3895" i="1"/>
  <c r="L3895" i="1"/>
  <c r="C3895" i="1"/>
  <c r="L3894" i="1"/>
  <c r="O3894" i="1" s="1"/>
  <c r="C3894" i="1"/>
  <c r="L3893" i="1"/>
  <c r="O3893" i="1" s="1"/>
  <c r="C3893" i="1"/>
  <c r="O3892" i="1"/>
  <c r="L3892" i="1"/>
  <c r="C3892" i="1"/>
  <c r="O3891" i="1"/>
  <c r="L3891" i="1"/>
  <c r="C3891" i="1"/>
  <c r="L3890" i="1"/>
  <c r="O3890" i="1" s="1"/>
  <c r="C3890" i="1"/>
  <c r="L3889" i="1"/>
  <c r="O3889" i="1" s="1"/>
  <c r="C3889" i="1"/>
  <c r="O3888" i="1"/>
  <c r="L3888" i="1"/>
  <c r="C3888" i="1"/>
  <c r="L3887" i="1"/>
  <c r="O3887" i="1" s="1"/>
  <c r="C3887" i="1"/>
  <c r="L3886" i="1"/>
  <c r="O3886" i="1" s="1"/>
  <c r="C3886" i="1"/>
  <c r="O3885" i="1"/>
  <c r="L3885" i="1"/>
  <c r="C3885" i="1"/>
  <c r="O3884" i="1"/>
  <c r="L3884" i="1"/>
  <c r="C3884" i="1"/>
  <c r="L3883" i="1"/>
  <c r="O3883" i="1" s="1"/>
  <c r="C3883" i="1"/>
  <c r="L3882" i="1"/>
  <c r="O3882" i="1" s="1"/>
  <c r="C3882" i="1"/>
  <c r="O3881" i="1"/>
  <c r="L3881" i="1"/>
  <c r="C3881" i="1"/>
  <c r="L3880" i="1"/>
  <c r="O3880" i="1" s="1"/>
  <c r="C3880" i="1"/>
  <c r="O3879" i="1"/>
  <c r="L3879" i="1"/>
  <c r="C3879" i="1"/>
  <c r="O3878" i="1"/>
  <c r="L3878" i="1"/>
  <c r="C3878" i="1"/>
  <c r="L3877" i="1"/>
  <c r="O3877" i="1" s="1"/>
  <c r="C3877" i="1"/>
  <c r="L3876" i="1"/>
  <c r="O3876" i="1" s="1"/>
  <c r="C3876" i="1"/>
  <c r="O3875" i="1"/>
  <c r="L3875" i="1"/>
  <c r="C3875" i="1"/>
  <c r="L3874" i="1"/>
  <c r="O3874" i="1" s="1"/>
  <c r="C3874" i="1"/>
  <c r="L3873" i="1"/>
  <c r="O3873" i="1" s="1"/>
  <c r="C3873" i="1"/>
  <c r="L3872" i="1"/>
  <c r="O3872" i="1" s="1"/>
  <c r="C3872" i="1"/>
  <c r="O3871" i="1"/>
  <c r="L3871" i="1"/>
  <c r="C3871" i="1"/>
  <c r="L3870" i="1"/>
  <c r="O3870" i="1" s="1"/>
  <c r="C3870" i="1"/>
  <c r="O3869" i="1"/>
  <c r="L3869" i="1"/>
  <c r="C3869" i="1"/>
  <c r="L3868" i="1"/>
  <c r="O3868" i="1" s="1"/>
  <c r="C3868" i="1"/>
  <c r="O3867" i="1"/>
  <c r="L3867" i="1"/>
  <c r="C3867" i="1"/>
  <c r="L3866" i="1"/>
  <c r="O3866" i="1" s="1"/>
  <c r="C3866" i="1"/>
  <c r="O3865" i="1"/>
  <c r="L3865" i="1"/>
  <c r="C3865" i="1"/>
  <c r="L3864" i="1"/>
  <c r="O3864" i="1" s="1"/>
  <c r="C3864" i="1"/>
  <c r="L3863" i="1"/>
  <c r="O3863" i="1" s="1"/>
  <c r="C3863" i="1"/>
  <c r="O3862" i="1"/>
  <c r="L3862" i="1"/>
  <c r="C3862" i="1"/>
  <c r="O3861" i="1"/>
  <c r="L3861" i="1"/>
  <c r="C3861" i="1"/>
  <c r="L3860" i="1"/>
  <c r="O3860" i="1" s="1"/>
  <c r="C3860" i="1"/>
  <c r="O3859" i="1"/>
  <c r="L3859" i="1"/>
  <c r="C3859" i="1"/>
  <c r="O3858" i="1"/>
  <c r="L3858" i="1"/>
  <c r="C3858" i="1"/>
  <c r="O3857" i="1"/>
  <c r="L3857" i="1"/>
  <c r="C3857" i="1"/>
  <c r="O3856" i="1"/>
  <c r="L3856" i="1"/>
  <c r="C3856" i="1"/>
  <c r="L3855" i="1"/>
  <c r="O3855" i="1" s="1"/>
  <c r="C3855" i="1"/>
  <c r="L3854" i="1"/>
  <c r="O3854" i="1" s="1"/>
  <c r="C3854" i="1"/>
  <c r="L3853" i="1"/>
  <c r="O3853" i="1" s="1"/>
  <c r="C3853" i="1"/>
  <c r="L3852" i="1"/>
  <c r="O3852" i="1" s="1"/>
  <c r="C3852" i="1"/>
  <c r="L3851" i="1"/>
  <c r="O3851" i="1" s="1"/>
  <c r="C3851" i="1"/>
  <c r="O3850" i="1"/>
  <c r="L3850" i="1"/>
  <c r="C3850" i="1"/>
  <c r="O3849" i="1"/>
  <c r="L3849" i="1"/>
  <c r="C3849" i="1"/>
  <c r="L3848" i="1"/>
  <c r="O3848" i="1" s="1"/>
  <c r="C3848" i="1"/>
  <c r="O3847" i="1"/>
  <c r="L3847" i="1"/>
  <c r="C3847" i="1"/>
  <c r="O3846" i="1"/>
  <c r="L3846" i="1"/>
  <c r="C3846" i="1"/>
  <c r="O3845" i="1"/>
  <c r="L3845" i="1"/>
  <c r="C3845" i="1"/>
  <c r="L3844" i="1"/>
  <c r="O3844" i="1" s="1"/>
  <c r="C3844" i="1"/>
  <c r="O3843" i="1"/>
  <c r="L3843" i="1"/>
  <c r="C3843" i="1"/>
  <c r="L3842" i="1"/>
  <c r="O3842" i="1" s="1"/>
  <c r="C3842" i="1"/>
  <c r="O3841" i="1"/>
  <c r="L3841" i="1"/>
  <c r="C3841" i="1"/>
  <c r="O3840" i="1"/>
  <c r="L3840" i="1"/>
  <c r="C3840" i="1"/>
  <c r="O3839" i="1"/>
  <c r="L3839" i="1"/>
  <c r="C3839" i="1"/>
  <c r="L3838" i="1"/>
  <c r="O3838" i="1" s="1"/>
  <c r="C3838" i="1"/>
  <c r="L3837" i="1"/>
  <c r="O3837" i="1" s="1"/>
  <c r="C3837" i="1"/>
  <c r="L3836" i="1"/>
  <c r="O3836" i="1" s="1"/>
  <c r="C3836" i="1"/>
  <c r="O3835" i="1"/>
  <c r="L3835" i="1"/>
  <c r="C3835" i="1"/>
  <c r="O3834" i="1"/>
  <c r="L3834" i="1"/>
  <c r="C3834" i="1"/>
  <c r="O3833" i="1"/>
  <c r="L3833" i="1"/>
  <c r="C3833" i="1"/>
  <c r="L3832" i="1"/>
  <c r="O3832" i="1" s="1"/>
  <c r="C3832" i="1"/>
  <c r="L3831" i="1"/>
  <c r="O3831" i="1" s="1"/>
  <c r="C3831" i="1"/>
  <c r="L3830" i="1"/>
  <c r="O3830" i="1" s="1"/>
  <c r="C3830" i="1"/>
  <c r="O3829" i="1"/>
  <c r="L3829" i="1"/>
  <c r="C3829" i="1"/>
  <c r="O3828" i="1"/>
  <c r="L3828" i="1"/>
  <c r="C3828" i="1"/>
  <c r="O3827" i="1"/>
  <c r="L3827" i="1"/>
  <c r="C3827" i="1"/>
  <c r="L3826" i="1"/>
  <c r="O3826" i="1" s="1"/>
  <c r="C3826" i="1"/>
  <c r="L3825" i="1"/>
  <c r="O3825" i="1" s="1"/>
  <c r="C3825" i="1"/>
  <c r="L3824" i="1"/>
  <c r="O3824" i="1" s="1"/>
  <c r="C3824" i="1"/>
  <c r="L3823" i="1"/>
  <c r="O3823" i="1" s="1"/>
  <c r="C3823" i="1"/>
  <c r="L3822" i="1"/>
  <c r="O3822" i="1" s="1"/>
  <c r="C3822" i="1"/>
  <c r="L3821" i="1"/>
  <c r="O3821" i="1" s="1"/>
  <c r="C3821" i="1"/>
  <c r="L3820" i="1"/>
  <c r="O3820" i="1" s="1"/>
  <c r="C3820" i="1"/>
  <c r="L3819" i="1"/>
  <c r="O3819" i="1" s="1"/>
  <c r="C3819" i="1"/>
  <c r="L3818" i="1"/>
  <c r="O3818" i="1" s="1"/>
  <c r="C3818" i="1"/>
  <c r="O3817" i="1"/>
  <c r="L3817" i="1"/>
  <c r="C3817" i="1"/>
  <c r="L3816" i="1"/>
  <c r="O3816" i="1" s="1"/>
  <c r="C3816" i="1"/>
  <c r="O3815" i="1"/>
  <c r="L3815" i="1"/>
  <c r="C3815" i="1"/>
  <c r="L3814" i="1"/>
  <c r="O3814" i="1" s="1"/>
  <c r="C3814" i="1"/>
  <c r="L3813" i="1"/>
  <c r="O3813" i="1" s="1"/>
  <c r="C3813" i="1"/>
  <c r="L3812" i="1"/>
  <c r="O3812" i="1" s="1"/>
  <c r="C3812" i="1"/>
  <c r="O3811" i="1"/>
  <c r="L3811" i="1"/>
  <c r="C3811" i="1"/>
  <c r="L3810" i="1"/>
  <c r="O3810" i="1" s="1"/>
  <c r="C3810" i="1"/>
  <c r="L3809" i="1"/>
  <c r="O3809" i="1" s="1"/>
  <c r="C3809" i="1"/>
  <c r="L3808" i="1"/>
  <c r="O3808" i="1" s="1"/>
  <c r="C3808" i="1"/>
  <c r="L3807" i="1"/>
  <c r="O3807" i="1" s="1"/>
  <c r="C3807" i="1"/>
  <c r="L3806" i="1"/>
  <c r="O3806" i="1" s="1"/>
  <c r="C3806" i="1"/>
  <c r="L3805" i="1"/>
  <c r="O3805" i="1" s="1"/>
  <c r="C3805" i="1"/>
  <c r="O3804" i="1"/>
  <c r="L3804" i="1"/>
  <c r="C3804" i="1"/>
  <c r="L3803" i="1"/>
  <c r="O3803" i="1" s="1"/>
  <c r="C3803" i="1"/>
  <c r="O3802" i="1"/>
  <c r="L3802" i="1"/>
  <c r="C3802" i="1"/>
  <c r="O3801" i="1"/>
  <c r="L3801" i="1"/>
  <c r="C3801" i="1"/>
  <c r="L3800" i="1"/>
  <c r="O3800" i="1" s="1"/>
  <c r="C3800" i="1"/>
  <c r="L3799" i="1"/>
  <c r="O3799" i="1" s="1"/>
  <c r="C3799" i="1"/>
  <c r="L3798" i="1"/>
  <c r="O3798" i="1" s="1"/>
  <c r="C3798" i="1"/>
  <c r="L3797" i="1"/>
  <c r="O3797" i="1" s="1"/>
  <c r="C3797" i="1"/>
  <c r="L3796" i="1"/>
  <c r="O3796" i="1" s="1"/>
  <c r="C3796" i="1"/>
  <c r="O3795" i="1"/>
  <c r="L3795" i="1"/>
  <c r="C3795" i="1"/>
  <c r="L3794" i="1"/>
  <c r="O3794" i="1" s="1"/>
  <c r="C3794" i="1"/>
  <c r="O3793" i="1"/>
  <c r="L3793" i="1"/>
  <c r="C3793" i="1"/>
  <c r="L3792" i="1"/>
  <c r="O3792" i="1" s="1"/>
  <c r="C3792" i="1"/>
  <c r="L3791" i="1"/>
  <c r="O3791" i="1" s="1"/>
  <c r="C3791" i="1"/>
  <c r="L3790" i="1"/>
  <c r="O3790" i="1" s="1"/>
  <c r="C3790" i="1"/>
  <c r="O3789" i="1"/>
  <c r="L3789" i="1"/>
  <c r="C3789" i="1"/>
  <c r="L3788" i="1"/>
  <c r="O3788" i="1" s="1"/>
  <c r="C3788" i="1"/>
  <c r="L3787" i="1"/>
  <c r="O3787" i="1" s="1"/>
  <c r="C3787" i="1"/>
  <c r="L3786" i="1"/>
  <c r="O3786" i="1" s="1"/>
  <c r="C3786" i="1"/>
  <c r="O3785" i="1"/>
  <c r="L3785" i="1"/>
  <c r="C3785" i="1"/>
  <c r="L3784" i="1"/>
  <c r="O3784" i="1" s="1"/>
  <c r="C3784" i="1"/>
  <c r="O3783" i="1"/>
  <c r="L3783" i="1"/>
  <c r="C3783" i="1"/>
  <c r="L3782" i="1"/>
  <c r="O3782" i="1" s="1"/>
  <c r="C3782" i="1"/>
  <c r="L3781" i="1"/>
  <c r="O3781" i="1" s="1"/>
  <c r="C3781" i="1"/>
  <c r="L3780" i="1"/>
  <c r="O3780" i="1" s="1"/>
  <c r="C3780" i="1"/>
  <c r="O3779" i="1"/>
  <c r="L3779" i="1"/>
  <c r="C3779" i="1"/>
  <c r="O3778" i="1"/>
  <c r="L3778" i="1"/>
  <c r="C3778" i="1"/>
  <c r="L3777" i="1"/>
  <c r="O3777" i="1" s="1"/>
  <c r="C3777" i="1"/>
  <c r="L3776" i="1"/>
  <c r="O3776" i="1" s="1"/>
  <c r="C3776" i="1"/>
  <c r="O3775" i="1"/>
  <c r="L3775" i="1"/>
  <c r="C3775" i="1"/>
  <c r="L3774" i="1"/>
  <c r="O3774" i="1" s="1"/>
  <c r="C3774" i="1"/>
  <c r="O3773" i="1"/>
  <c r="L3773" i="1"/>
  <c r="C3773" i="1"/>
  <c r="O3772" i="1"/>
  <c r="L3772" i="1"/>
  <c r="C3772" i="1"/>
  <c r="L3771" i="1"/>
  <c r="O3771" i="1" s="1"/>
  <c r="C3771" i="1"/>
  <c r="L3770" i="1"/>
  <c r="O3770" i="1" s="1"/>
  <c r="C3770" i="1"/>
  <c r="O3769" i="1"/>
  <c r="L3769" i="1"/>
  <c r="C3769" i="1"/>
  <c r="L3768" i="1"/>
  <c r="O3768" i="1" s="1"/>
  <c r="C3768" i="1"/>
  <c r="O3767" i="1"/>
  <c r="L3767" i="1"/>
  <c r="C3767" i="1"/>
  <c r="L3766" i="1"/>
  <c r="O3766" i="1" s="1"/>
  <c r="C3766" i="1"/>
  <c r="O3765" i="1"/>
  <c r="L3765" i="1"/>
  <c r="C3765" i="1"/>
  <c r="L3764" i="1"/>
  <c r="O3764" i="1" s="1"/>
  <c r="C3764" i="1"/>
  <c r="O3763" i="1"/>
  <c r="L3763" i="1"/>
  <c r="C3763" i="1"/>
  <c r="L3762" i="1"/>
  <c r="O3762" i="1" s="1"/>
  <c r="C3762" i="1"/>
  <c r="O3761" i="1"/>
  <c r="L3761" i="1"/>
  <c r="C3761" i="1"/>
  <c r="L3760" i="1"/>
  <c r="O3760" i="1" s="1"/>
  <c r="C3760" i="1"/>
  <c r="L3759" i="1"/>
  <c r="O3759" i="1" s="1"/>
  <c r="C3759" i="1"/>
  <c r="L3758" i="1"/>
  <c r="O3758" i="1" s="1"/>
  <c r="C3758" i="1"/>
  <c r="L3757" i="1"/>
  <c r="O3757" i="1" s="1"/>
  <c r="C3757" i="1"/>
  <c r="L3756" i="1"/>
  <c r="O3756" i="1" s="1"/>
  <c r="C3756" i="1"/>
  <c r="L3755" i="1"/>
  <c r="O3755" i="1" s="1"/>
  <c r="C3755" i="1"/>
  <c r="O3754" i="1"/>
  <c r="L3754" i="1"/>
  <c r="C3754" i="1"/>
  <c r="O3753" i="1"/>
  <c r="L3753" i="1"/>
  <c r="C3753" i="1"/>
  <c r="L3752" i="1"/>
  <c r="O3752" i="1" s="1"/>
  <c r="C3752" i="1"/>
  <c r="L3751" i="1"/>
  <c r="O3751" i="1" s="1"/>
  <c r="C3751" i="1"/>
  <c r="O3750" i="1"/>
  <c r="L3750" i="1"/>
  <c r="C3750" i="1"/>
  <c r="L3749" i="1"/>
  <c r="O3749" i="1" s="1"/>
  <c r="C3749" i="1"/>
  <c r="L3748" i="1"/>
  <c r="O3748" i="1" s="1"/>
  <c r="C3748" i="1"/>
  <c r="O3747" i="1"/>
  <c r="L3747" i="1"/>
  <c r="C3747" i="1"/>
  <c r="L3746" i="1"/>
  <c r="O3746" i="1" s="1"/>
  <c r="C3746" i="1"/>
  <c r="L3745" i="1"/>
  <c r="O3745" i="1" s="1"/>
  <c r="C3745" i="1"/>
  <c r="L3744" i="1"/>
  <c r="O3744" i="1" s="1"/>
  <c r="C3744" i="1"/>
  <c r="O3743" i="1"/>
  <c r="L3743" i="1"/>
  <c r="C3743" i="1"/>
  <c r="L3742" i="1"/>
  <c r="O3742" i="1" s="1"/>
  <c r="C3742" i="1"/>
  <c r="L3741" i="1"/>
  <c r="O3741" i="1" s="1"/>
  <c r="C3741" i="1"/>
  <c r="L3740" i="1"/>
  <c r="O3740" i="1" s="1"/>
  <c r="C3740" i="1"/>
  <c r="O3739" i="1"/>
  <c r="L3739" i="1"/>
  <c r="C3739" i="1"/>
  <c r="L3738" i="1"/>
  <c r="O3738" i="1" s="1"/>
  <c r="C3738" i="1"/>
  <c r="O3737" i="1"/>
  <c r="L3737" i="1"/>
  <c r="C3737" i="1"/>
  <c r="L3736" i="1"/>
  <c r="O3736" i="1" s="1"/>
  <c r="C3736" i="1"/>
  <c r="L3735" i="1"/>
  <c r="O3735" i="1" s="1"/>
  <c r="C3735" i="1"/>
  <c r="L3734" i="1"/>
  <c r="O3734" i="1" s="1"/>
  <c r="C3734" i="1"/>
  <c r="O3733" i="1"/>
  <c r="L3733" i="1"/>
  <c r="C3733" i="1"/>
  <c r="L3732" i="1"/>
  <c r="O3732" i="1" s="1"/>
  <c r="C3732" i="1"/>
  <c r="O3731" i="1"/>
  <c r="L3731" i="1"/>
  <c r="C3731" i="1"/>
  <c r="O3730" i="1"/>
  <c r="L3730" i="1"/>
  <c r="C3730" i="1"/>
  <c r="L3729" i="1"/>
  <c r="O3729" i="1" s="1"/>
  <c r="C3729" i="1"/>
  <c r="O3728" i="1"/>
  <c r="L3728" i="1"/>
  <c r="C3728" i="1"/>
  <c r="L3727" i="1"/>
  <c r="O3727" i="1" s="1"/>
  <c r="C3727" i="1"/>
  <c r="L3726" i="1"/>
  <c r="O3726" i="1" s="1"/>
  <c r="C3726" i="1"/>
  <c r="L3725" i="1"/>
  <c r="O3725" i="1" s="1"/>
  <c r="C3725" i="1"/>
  <c r="O3724" i="1"/>
  <c r="L3724" i="1"/>
  <c r="C3724" i="1"/>
  <c r="L3723" i="1"/>
  <c r="O3723" i="1" s="1"/>
  <c r="C3723" i="1"/>
  <c r="O3722" i="1"/>
  <c r="L3722" i="1"/>
  <c r="C3722" i="1"/>
  <c r="O3721" i="1"/>
  <c r="L3721" i="1"/>
  <c r="C3721" i="1"/>
  <c r="L3720" i="1"/>
  <c r="O3720" i="1" s="1"/>
  <c r="C3720" i="1"/>
  <c r="L3719" i="1"/>
  <c r="O3719" i="1" s="1"/>
  <c r="C3719" i="1"/>
  <c r="O3718" i="1"/>
  <c r="L3718" i="1"/>
  <c r="C3718" i="1"/>
  <c r="L3717" i="1"/>
  <c r="O3717" i="1" s="1"/>
  <c r="C3717" i="1"/>
  <c r="L3716" i="1"/>
  <c r="O3716" i="1" s="1"/>
  <c r="C3716" i="1"/>
  <c r="O3715" i="1"/>
  <c r="L3715" i="1"/>
  <c r="C3715" i="1"/>
  <c r="L3714" i="1"/>
  <c r="O3714" i="1" s="1"/>
  <c r="C3714" i="1"/>
  <c r="L3713" i="1"/>
  <c r="O3713" i="1" s="1"/>
  <c r="C3713" i="1"/>
  <c r="O3712" i="1"/>
  <c r="L3712" i="1"/>
  <c r="C3712" i="1"/>
  <c r="O3711" i="1"/>
  <c r="L3711" i="1"/>
  <c r="C3711" i="1"/>
  <c r="L3710" i="1"/>
  <c r="O3710" i="1" s="1"/>
  <c r="C3710" i="1"/>
  <c r="L3709" i="1"/>
  <c r="O3709" i="1" s="1"/>
  <c r="C3709" i="1"/>
  <c r="O3708" i="1"/>
  <c r="L3708" i="1"/>
  <c r="C3708" i="1"/>
  <c r="L3707" i="1"/>
  <c r="O3707" i="1" s="1"/>
  <c r="C3707" i="1"/>
  <c r="O3706" i="1"/>
  <c r="L3706" i="1"/>
  <c r="C3706" i="1"/>
  <c r="O3705" i="1"/>
  <c r="L3705" i="1"/>
  <c r="C3705" i="1"/>
  <c r="L3704" i="1"/>
  <c r="O3704" i="1" s="1"/>
  <c r="C3704" i="1"/>
  <c r="L3703" i="1"/>
  <c r="O3703" i="1" s="1"/>
  <c r="C3703" i="1"/>
  <c r="O3702" i="1"/>
  <c r="L3702" i="1"/>
  <c r="C3702" i="1"/>
  <c r="L3701" i="1"/>
  <c r="O3701" i="1" s="1"/>
  <c r="C3701" i="1"/>
  <c r="O3700" i="1"/>
  <c r="L3700" i="1"/>
  <c r="C3700" i="1"/>
  <c r="O3699" i="1"/>
  <c r="L3699" i="1"/>
  <c r="C3699" i="1"/>
  <c r="L3698" i="1"/>
  <c r="O3698" i="1" s="1"/>
  <c r="C3698" i="1"/>
  <c r="L3697" i="1"/>
  <c r="O3697" i="1" s="1"/>
  <c r="C3697" i="1"/>
  <c r="O3696" i="1"/>
  <c r="L3696" i="1"/>
  <c r="C3696" i="1"/>
  <c r="L3695" i="1"/>
  <c r="O3695" i="1" s="1"/>
  <c r="C3695" i="1"/>
  <c r="L3694" i="1"/>
  <c r="O3694" i="1" s="1"/>
  <c r="C3694" i="1"/>
  <c r="L3693" i="1"/>
  <c r="O3693" i="1" s="1"/>
  <c r="C3693" i="1"/>
  <c r="L3692" i="1"/>
  <c r="O3692" i="1" s="1"/>
  <c r="C3692" i="1"/>
  <c r="O3691" i="1"/>
  <c r="L3691" i="1"/>
  <c r="C3691" i="1"/>
  <c r="L3690" i="1"/>
  <c r="O3690" i="1" s="1"/>
  <c r="C3690" i="1"/>
  <c r="O3689" i="1"/>
  <c r="L3689" i="1"/>
  <c r="C3689" i="1"/>
  <c r="L3688" i="1"/>
  <c r="O3688" i="1" s="1"/>
  <c r="C3688" i="1"/>
  <c r="O3687" i="1"/>
  <c r="L3687" i="1"/>
  <c r="C3687" i="1"/>
  <c r="L3686" i="1"/>
  <c r="O3686" i="1" s="1"/>
  <c r="C3686" i="1"/>
  <c r="O3685" i="1"/>
  <c r="L3685" i="1"/>
  <c r="C3685" i="1"/>
  <c r="L3684" i="1"/>
  <c r="O3684" i="1" s="1"/>
  <c r="C3684" i="1"/>
  <c r="O3683" i="1"/>
  <c r="L3683" i="1"/>
  <c r="C3683" i="1"/>
  <c r="L3682" i="1"/>
  <c r="O3682" i="1" s="1"/>
  <c r="C3682" i="1"/>
  <c r="L3681" i="1"/>
  <c r="O3681" i="1" s="1"/>
  <c r="C3681" i="1"/>
  <c r="O3680" i="1"/>
  <c r="L3680" i="1"/>
  <c r="C3680" i="1"/>
  <c r="O3679" i="1"/>
  <c r="L3679" i="1"/>
  <c r="C3679" i="1"/>
  <c r="L3678" i="1"/>
  <c r="O3678" i="1" s="1"/>
  <c r="C3678" i="1"/>
  <c r="L3677" i="1"/>
  <c r="O3677" i="1" s="1"/>
  <c r="C3677" i="1"/>
  <c r="O3676" i="1"/>
  <c r="L3676" i="1"/>
  <c r="C3676" i="1"/>
  <c r="L3675" i="1"/>
  <c r="O3675" i="1" s="1"/>
  <c r="C3675" i="1"/>
  <c r="L3674" i="1"/>
  <c r="O3674" i="1" s="1"/>
  <c r="C3674" i="1"/>
  <c r="O3673" i="1"/>
  <c r="L3673" i="1"/>
  <c r="C3673" i="1"/>
  <c r="L3672" i="1"/>
  <c r="O3672" i="1" s="1"/>
  <c r="C3672" i="1"/>
  <c r="L3671" i="1"/>
  <c r="O3671" i="1" s="1"/>
  <c r="C3671" i="1"/>
  <c r="L3670" i="1"/>
  <c r="O3670" i="1" s="1"/>
  <c r="C3670" i="1"/>
  <c r="O3669" i="1"/>
  <c r="L3669" i="1"/>
  <c r="C3669" i="1"/>
  <c r="L3668" i="1"/>
  <c r="O3668" i="1" s="1"/>
  <c r="C3668" i="1"/>
  <c r="O3667" i="1"/>
  <c r="L3667" i="1"/>
  <c r="C3667" i="1"/>
  <c r="L3666" i="1"/>
  <c r="O3666" i="1" s="1"/>
  <c r="C3666" i="1"/>
  <c r="O3665" i="1"/>
  <c r="L3665" i="1"/>
  <c r="C3665" i="1"/>
  <c r="L3664" i="1"/>
  <c r="O3664" i="1" s="1"/>
  <c r="C3664" i="1"/>
  <c r="O3663" i="1"/>
  <c r="L3663" i="1"/>
  <c r="C3663" i="1"/>
  <c r="L3662" i="1"/>
  <c r="O3662" i="1" s="1"/>
  <c r="C3662" i="1"/>
  <c r="O3661" i="1"/>
  <c r="L3661" i="1"/>
  <c r="C3661" i="1"/>
  <c r="L3660" i="1"/>
  <c r="O3660" i="1" s="1"/>
  <c r="C3660" i="1"/>
  <c r="L3659" i="1"/>
  <c r="O3659" i="1" s="1"/>
  <c r="C3659" i="1"/>
  <c r="L3658" i="1"/>
  <c r="O3658" i="1" s="1"/>
  <c r="C3658" i="1"/>
  <c r="O3657" i="1"/>
  <c r="L3657" i="1"/>
  <c r="C3657" i="1"/>
  <c r="L3656" i="1"/>
  <c r="O3656" i="1" s="1"/>
  <c r="C3656" i="1"/>
  <c r="O3655" i="1"/>
  <c r="L3655" i="1"/>
  <c r="C3655" i="1"/>
  <c r="L3654" i="1"/>
  <c r="O3654" i="1" s="1"/>
  <c r="C3654" i="1"/>
  <c r="L3653" i="1"/>
  <c r="O3653" i="1" s="1"/>
  <c r="C3653" i="1"/>
  <c r="L3652" i="1"/>
  <c r="O3652" i="1" s="1"/>
  <c r="C3652" i="1"/>
  <c r="O3651" i="1"/>
  <c r="L3651" i="1"/>
  <c r="C3651" i="1"/>
  <c r="O3650" i="1"/>
  <c r="L3650" i="1"/>
  <c r="C3650" i="1"/>
  <c r="L3649" i="1"/>
  <c r="O3649" i="1" s="1"/>
  <c r="C3649" i="1"/>
  <c r="L3648" i="1"/>
  <c r="O3648" i="1" s="1"/>
  <c r="C3648" i="1"/>
  <c r="O3647" i="1"/>
  <c r="L3647" i="1"/>
  <c r="C3647" i="1"/>
  <c r="L3646" i="1"/>
  <c r="O3646" i="1" s="1"/>
  <c r="C3646" i="1"/>
  <c r="L3645" i="1"/>
  <c r="O3645" i="1" s="1"/>
  <c r="C3645" i="1"/>
  <c r="O3644" i="1"/>
  <c r="L3644" i="1"/>
  <c r="C3644" i="1"/>
  <c r="L3643" i="1"/>
  <c r="O3643" i="1" s="1"/>
  <c r="C3643" i="1"/>
  <c r="L3642" i="1"/>
  <c r="O3642" i="1" s="1"/>
  <c r="C3642" i="1"/>
  <c r="O3641" i="1"/>
  <c r="L3641" i="1"/>
  <c r="C3641" i="1"/>
  <c r="O3640" i="1"/>
  <c r="L3640" i="1"/>
  <c r="C3640" i="1"/>
  <c r="O3639" i="1"/>
  <c r="L3639" i="1"/>
  <c r="C3639" i="1"/>
  <c r="L3638" i="1"/>
  <c r="O3638" i="1" s="1"/>
  <c r="C3638" i="1"/>
  <c r="L3637" i="1"/>
  <c r="O3637" i="1" s="1"/>
  <c r="C3637" i="1"/>
  <c r="L3636" i="1"/>
  <c r="O3636" i="1" s="1"/>
  <c r="C3636" i="1"/>
  <c r="L3635" i="1"/>
  <c r="O3635" i="1" s="1"/>
  <c r="C3635" i="1"/>
  <c r="O3634" i="1"/>
  <c r="L3634" i="1"/>
  <c r="C3634" i="1"/>
  <c r="O3633" i="1"/>
  <c r="L3633" i="1"/>
  <c r="C3633" i="1"/>
  <c r="O3632" i="1"/>
  <c r="L3632" i="1"/>
  <c r="C3632" i="1"/>
  <c r="O3631" i="1"/>
  <c r="L3631" i="1"/>
  <c r="C3631" i="1"/>
  <c r="L3630" i="1"/>
  <c r="O3630" i="1" s="1"/>
  <c r="C3630" i="1"/>
  <c r="O3629" i="1"/>
  <c r="L3629" i="1"/>
  <c r="C3629" i="1"/>
  <c r="O3628" i="1"/>
  <c r="L3628" i="1"/>
  <c r="C3628" i="1"/>
  <c r="L3627" i="1"/>
  <c r="O3627" i="1" s="1"/>
  <c r="C3627" i="1"/>
  <c r="L3626" i="1"/>
  <c r="O3626" i="1" s="1"/>
  <c r="C3626" i="1"/>
  <c r="O3625" i="1"/>
  <c r="L3625" i="1"/>
  <c r="C3625" i="1"/>
  <c r="O3624" i="1"/>
  <c r="L3624" i="1"/>
  <c r="C3624" i="1"/>
  <c r="O3623" i="1"/>
  <c r="L3623" i="1"/>
  <c r="C3623" i="1"/>
  <c r="O3622" i="1"/>
  <c r="L3622" i="1"/>
  <c r="C3622" i="1"/>
  <c r="O3621" i="1"/>
  <c r="L3621" i="1"/>
  <c r="C3621" i="1"/>
  <c r="O3620" i="1"/>
  <c r="L3620" i="1"/>
  <c r="C3620" i="1"/>
  <c r="L3619" i="1"/>
  <c r="O3619" i="1" s="1"/>
  <c r="C3619" i="1"/>
  <c r="L3618" i="1"/>
  <c r="O3618" i="1" s="1"/>
  <c r="C3618" i="1"/>
  <c r="O3617" i="1"/>
  <c r="L3617" i="1"/>
  <c r="C3617" i="1"/>
  <c r="L3616" i="1"/>
  <c r="O3616" i="1" s="1"/>
  <c r="C3616" i="1"/>
  <c r="L3615" i="1"/>
  <c r="O3615" i="1" s="1"/>
  <c r="C3615" i="1"/>
  <c r="L3614" i="1"/>
  <c r="O3614" i="1" s="1"/>
  <c r="C3614" i="1"/>
  <c r="L3613" i="1"/>
  <c r="O3613" i="1" s="1"/>
  <c r="C3613" i="1"/>
  <c r="L3612" i="1"/>
  <c r="O3612" i="1" s="1"/>
  <c r="C3612" i="1"/>
  <c r="O3611" i="1"/>
  <c r="L3611" i="1"/>
  <c r="C3611" i="1"/>
  <c r="O3610" i="1"/>
  <c r="L3610" i="1"/>
  <c r="C3610" i="1"/>
  <c r="O3609" i="1"/>
  <c r="L3609" i="1"/>
  <c r="C3609" i="1"/>
  <c r="O3608" i="1"/>
  <c r="L3608" i="1"/>
  <c r="C3608" i="1"/>
  <c r="O3607" i="1"/>
  <c r="L3607" i="1"/>
  <c r="C3607" i="1"/>
  <c r="O3606" i="1"/>
  <c r="L3606" i="1"/>
  <c r="C3606" i="1"/>
  <c r="L3605" i="1"/>
  <c r="O3605" i="1" s="1"/>
  <c r="C3605" i="1"/>
  <c r="L3604" i="1"/>
  <c r="O3604" i="1" s="1"/>
  <c r="C3604" i="1"/>
  <c r="L3603" i="1"/>
  <c r="O3603" i="1" s="1"/>
  <c r="C3603" i="1"/>
  <c r="O3602" i="1"/>
  <c r="L3602" i="1"/>
  <c r="C3602" i="1"/>
  <c r="O3601" i="1"/>
  <c r="L3601" i="1"/>
  <c r="C3601" i="1"/>
  <c r="L3600" i="1"/>
  <c r="O3600" i="1" s="1"/>
  <c r="C3600" i="1"/>
  <c r="L3599" i="1"/>
  <c r="O3599" i="1" s="1"/>
  <c r="C3599" i="1"/>
  <c r="L3598" i="1"/>
  <c r="O3598" i="1" s="1"/>
  <c r="C3598" i="1"/>
  <c r="O3597" i="1"/>
  <c r="L3597" i="1"/>
  <c r="C3597" i="1"/>
  <c r="O3596" i="1"/>
  <c r="L3596" i="1"/>
  <c r="C3596" i="1"/>
  <c r="O3595" i="1"/>
  <c r="L3595" i="1"/>
  <c r="C3595" i="1"/>
  <c r="L3594" i="1"/>
  <c r="O3594" i="1" s="1"/>
  <c r="C3594" i="1"/>
  <c r="O3593" i="1"/>
  <c r="L3593" i="1"/>
  <c r="C3593" i="1"/>
  <c r="O3592" i="1"/>
  <c r="L3592" i="1"/>
  <c r="C3592" i="1"/>
  <c r="L3591" i="1"/>
  <c r="O3591" i="1" s="1"/>
  <c r="C3591" i="1"/>
  <c r="O3590" i="1"/>
  <c r="L3590" i="1"/>
  <c r="C3590" i="1"/>
  <c r="L3589" i="1"/>
  <c r="O3589" i="1" s="1"/>
  <c r="C3589" i="1"/>
  <c r="L3588" i="1"/>
  <c r="O3588" i="1" s="1"/>
  <c r="C3588" i="1"/>
  <c r="L3587" i="1"/>
  <c r="O3587" i="1" s="1"/>
  <c r="C3587" i="1"/>
  <c r="O3586" i="1"/>
  <c r="L3586" i="1"/>
  <c r="C3586" i="1"/>
  <c r="O3585" i="1"/>
  <c r="L3585" i="1"/>
  <c r="C3585" i="1"/>
  <c r="O3584" i="1"/>
  <c r="L3584" i="1"/>
  <c r="C3584" i="1"/>
  <c r="O3583" i="1"/>
  <c r="L3583" i="1"/>
  <c r="C3583" i="1"/>
  <c r="L3582" i="1"/>
  <c r="O3582" i="1" s="1"/>
  <c r="C3582" i="1"/>
  <c r="L3581" i="1"/>
  <c r="O3581" i="1" s="1"/>
  <c r="C3581" i="1"/>
  <c r="O3580" i="1"/>
  <c r="L3580" i="1"/>
  <c r="C3580" i="1"/>
  <c r="O3579" i="1"/>
  <c r="L3579" i="1"/>
  <c r="C3579" i="1"/>
  <c r="L3578" i="1"/>
  <c r="O3578" i="1" s="1"/>
  <c r="C3578" i="1"/>
  <c r="O3577" i="1"/>
  <c r="L3577" i="1"/>
  <c r="C3577" i="1"/>
  <c r="O3576" i="1"/>
  <c r="L3576" i="1"/>
  <c r="C3576" i="1"/>
  <c r="O3575" i="1"/>
  <c r="L3575" i="1"/>
  <c r="C3575" i="1"/>
  <c r="L3574" i="1"/>
  <c r="O3574" i="1" s="1"/>
  <c r="C3574" i="1"/>
  <c r="O3573" i="1"/>
  <c r="L3573" i="1"/>
  <c r="C3573" i="1"/>
  <c r="O3572" i="1"/>
  <c r="L3572" i="1"/>
  <c r="C3572" i="1"/>
  <c r="L3571" i="1"/>
  <c r="O3571" i="1" s="1"/>
  <c r="C3571" i="1"/>
  <c r="O3570" i="1"/>
  <c r="L3570" i="1"/>
  <c r="C3570" i="1"/>
  <c r="O3569" i="1"/>
  <c r="L3569" i="1"/>
  <c r="C3569" i="1"/>
  <c r="O3568" i="1"/>
  <c r="L3568" i="1"/>
  <c r="C3568" i="1"/>
  <c r="L3567" i="1"/>
  <c r="O3567" i="1" s="1"/>
  <c r="C3567" i="1"/>
  <c r="L3566" i="1"/>
  <c r="O3566" i="1" s="1"/>
  <c r="C3566" i="1"/>
  <c r="L3565" i="1"/>
  <c r="O3565" i="1" s="1"/>
  <c r="C3565" i="1"/>
  <c r="O3564" i="1"/>
  <c r="L3564" i="1"/>
  <c r="C3564" i="1"/>
  <c r="O3563" i="1"/>
  <c r="L3563" i="1"/>
  <c r="C3563" i="1"/>
  <c r="O3562" i="1"/>
  <c r="L3562" i="1"/>
  <c r="C3562" i="1"/>
  <c r="O3561" i="1"/>
  <c r="L3561" i="1"/>
  <c r="C3561" i="1"/>
  <c r="L3560" i="1"/>
  <c r="O3560" i="1" s="1"/>
  <c r="C3560" i="1"/>
  <c r="L3559" i="1"/>
  <c r="O3559" i="1" s="1"/>
  <c r="C3559" i="1"/>
  <c r="O3558" i="1"/>
  <c r="L3558" i="1"/>
  <c r="C3558" i="1"/>
  <c r="O3557" i="1"/>
  <c r="L3557" i="1"/>
  <c r="C3557" i="1"/>
  <c r="L3556" i="1"/>
  <c r="O3556" i="1" s="1"/>
  <c r="C3556" i="1"/>
  <c r="L3555" i="1"/>
  <c r="O3555" i="1" s="1"/>
  <c r="C3555" i="1"/>
  <c r="L3554" i="1"/>
  <c r="O3554" i="1" s="1"/>
  <c r="C3554" i="1"/>
  <c r="L3553" i="1"/>
  <c r="O3553" i="1" s="1"/>
  <c r="C3553" i="1"/>
  <c r="O3552" i="1"/>
  <c r="L3552" i="1"/>
  <c r="C3552" i="1"/>
  <c r="L3551" i="1"/>
  <c r="O3551" i="1" s="1"/>
  <c r="C3551" i="1"/>
  <c r="L3550" i="1"/>
  <c r="O3550" i="1" s="1"/>
  <c r="C3550" i="1"/>
  <c r="L3549" i="1"/>
  <c r="O3549" i="1" s="1"/>
  <c r="C3549" i="1"/>
  <c r="L3548" i="1"/>
  <c r="O3548" i="1" s="1"/>
  <c r="C3548" i="1"/>
  <c r="L3547" i="1"/>
  <c r="O3547" i="1" s="1"/>
  <c r="C3547" i="1"/>
  <c r="O3546" i="1"/>
  <c r="L3546" i="1"/>
  <c r="C3546" i="1"/>
  <c r="O3545" i="1"/>
  <c r="L3545" i="1"/>
  <c r="C3545" i="1"/>
  <c r="L3544" i="1"/>
  <c r="O3544" i="1" s="1"/>
  <c r="C3544" i="1"/>
  <c r="L3543" i="1"/>
  <c r="O3543" i="1" s="1"/>
  <c r="C3543" i="1"/>
  <c r="L3542" i="1"/>
  <c r="O3542" i="1" s="1"/>
  <c r="C3542" i="1"/>
  <c r="O3541" i="1"/>
  <c r="L3541" i="1"/>
  <c r="C3541" i="1"/>
  <c r="L3540" i="1"/>
  <c r="O3540" i="1" s="1"/>
  <c r="C3540" i="1"/>
  <c r="L3539" i="1"/>
  <c r="O3539" i="1" s="1"/>
  <c r="C3539" i="1"/>
  <c r="O3538" i="1"/>
  <c r="L3538" i="1"/>
  <c r="C3538" i="1"/>
  <c r="L3537" i="1"/>
  <c r="O3537" i="1" s="1"/>
  <c r="C3537" i="1"/>
  <c r="L3536" i="1"/>
  <c r="O3536" i="1" s="1"/>
  <c r="C3536" i="1"/>
  <c r="O3535" i="1"/>
  <c r="L3535" i="1"/>
  <c r="C3535" i="1"/>
  <c r="L3534" i="1"/>
  <c r="O3534" i="1" s="1"/>
  <c r="C3534" i="1"/>
  <c r="L3533" i="1"/>
  <c r="O3533" i="1" s="1"/>
  <c r="C3533" i="1"/>
  <c r="O3532" i="1"/>
  <c r="L3532" i="1"/>
  <c r="C3532" i="1"/>
  <c r="L3531" i="1"/>
  <c r="O3531" i="1" s="1"/>
  <c r="C3531" i="1"/>
  <c r="O3530" i="1"/>
  <c r="L3530" i="1"/>
  <c r="C3530" i="1"/>
  <c r="O3529" i="1"/>
  <c r="L3529" i="1"/>
  <c r="C3529" i="1"/>
  <c r="L3528" i="1"/>
  <c r="O3528" i="1" s="1"/>
  <c r="C3528" i="1"/>
  <c r="O3527" i="1"/>
  <c r="L3527" i="1"/>
  <c r="C3527" i="1"/>
  <c r="O3526" i="1"/>
  <c r="L3526" i="1"/>
  <c r="C3526" i="1"/>
  <c r="O3525" i="1"/>
  <c r="L3525" i="1"/>
  <c r="C3525" i="1"/>
  <c r="O3524" i="1"/>
  <c r="L3524" i="1"/>
  <c r="C3524" i="1"/>
  <c r="O3523" i="1"/>
  <c r="L3523" i="1"/>
  <c r="C3523" i="1"/>
  <c r="L3522" i="1"/>
  <c r="O3522" i="1" s="1"/>
  <c r="C3522" i="1"/>
  <c r="O3521" i="1"/>
  <c r="L3521" i="1"/>
  <c r="C3521" i="1"/>
  <c r="L3520" i="1"/>
  <c r="O3520" i="1" s="1"/>
  <c r="C3520" i="1"/>
  <c r="O3519" i="1"/>
  <c r="L3519" i="1"/>
  <c r="C3519" i="1"/>
  <c r="L3518" i="1"/>
  <c r="O3518" i="1" s="1"/>
  <c r="C3518" i="1"/>
  <c r="L3517" i="1"/>
  <c r="O3517" i="1" s="1"/>
  <c r="C3517" i="1"/>
  <c r="O3516" i="1"/>
  <c r="L3516" i="1"/>
  <c r="C3516" i="1"/>
  <c r="O3515" i="1"/>
  <c r="L3515" i="1"/>
  <c r="C3515" i="1"/>
  <c r="L3514" i="1"/>
  <c r="O3514" i="1" s="1"/>
  <c r="C3514" i="1"/>
  <c r="O3513" i="1"/>
  <c r="L3513" i="1"/>
  <c r="C3513" i="1"/>
  <c r="O3512" i="1"/>
  <c r="L3512" i="1"/>
  <c r="C3512" i="1"/>
  <c r="O3511" i="1"/>
  <c r="L3511" i="1"/>
  <c r="C3511" i="1"/>
  <c r="L3510" i="1"/>
  <c r="O3510" i="1" s="1"/>
  <c r="C3510" i="1"/>
  <c r="O3509" i="1"/>
  <c r="L3509" i="1"/>
  <c r="C3509" i="1"/>
  <c r="O3508" i="1"/>
  <c r="L3508" i="1"/>
  <c r="C3508" i="1"/>
  <c r="L3507" i="1"/>
  <c r="O3507" i="1" s="1"/>
  <c r="C3507" i="1"/>
  <c r="L3506" i="1"/>
  <c r="O3506" i="1" s="1"/>
  <c r="C3506" i="1"/>
  <c r="O3505" i="1"/>
  <c r="L3505" i="1"/>
  <c r="C3505" i="1"/>
  <c r="L3504" i="1"/>
  <c r="O3504" i="1" s="1"/>
  <c r="C3504" i="1"/>
  <c r="O3503" i="1"/>
  <c r="L3503" i="1"/>
  <c r="C3503" i="1"/>
  <c r="L3502" i="1"/>
  <c r="O3502" i="1" s="1"/>
  <c r="C3502" i="1"/>
  <c r="O3501" i="1"/>
  <c r="L3501" i="1"/>
  <c r="C3501" i="1"/>
  <c r="O3500" i="1"/>
  <c r="L3500" i="1"/>
  <c r="C3500" i="1"/>
  <c r="L3499" i="1"/>
  <c r="O3499" i="1" s="1"/>
  <c r="C3499" i="1"/>
  <c r="O3498" i="1"/>
  <c r="L3498" i="1"/>
  <c r="C3498" i="1"/>
  <c r="O3497" i="1"/>
  <c r="L3497" i="1"/>
  <c r="C3497" i="1"/>
  <c r="L3496" i="1"/>
  <c r="O3496" i="1" s="1"/>
  <c r="C3496" i="1"/>
  <c r="L3495" i="1"/>
  <c r="O3495" i="1" s="1"/>
  <c r="C3495" i="1"/>
  <c r="O3494" i="1"/>
  <c r="L3494" i="1"/>
  <c r="C3494" i="1"/>
  <c r="L3493" i="1"/>
  <c r="O3493" i="1" s="1"/>
  <c r="C3493" i="1"/>
  <c r="O3492" i="1"/>
  <c r="L3492" i="1"/>
  <c r="C3492" i="1"/>
  <c r="L3491" i="1"/>
  <c r="O3491" i="1" s="1"/>
  <c r="C3491" i="1"/>
  <c r="L3490" i="1"/>
  <c r="O3490" i="1" s="1"/>
  <c r="C3490" i="1"/>
  <c r="O3489" i="1"/>
  <c r="L3489" i="1"/>
  <c r="C3489" i="1"/>
  <c r="O3488" i="1"/>
  <c r="L3488" i="1"/>
  <c r="C3488" i="1"/>
  <c r="L3487" i="1"/>
  <c r="O3487" i="1" s="1"/>
  <c r="C3487" i="1"/>
  <c r="L3486" i="1"/>
  <c r="O3486" i="1" s="1"/>
  <c r="C3486" i="1"/>
  <c r="L3485" i="1"/>
  <c r="O3485" i="1" s="1"/>
  <c r="C3485" i="1"/>
  <c r="L3484" i="1"/>
  <c r="O3484" i="1" s="1"/>
  <c r="C3484" i="1"/>
  <c r="L3483" i="1"/>
  <c r="O3483" i="1" s="1"/>
  <c r="C3483" i="1"/>
  <c r="L3482" i="1"/>
  <c r="O3482" i="1" s="1"/>
  <c r="C3482" i="1"/>
  <c r="O3481" i="1"/>
  <c r="L3481" i="1"/>
  <c r="C3481" i="1"/>
  <c r="L3480" i="1"/>
  <c r="O3480" i="1" s="1"/>
  <c r="C3480" i="1"/>
  <c r="L3479" i="1"/>
  <c r="O3479" i="1" s="1"/>
  <c r="C3479" i="1"/>
  <c r="L3478" i="1"/>
  <c r="O3478" i="1" s="1"/>
  <c r="C3478" i="1"/>
  <c r="L3477" i="1"/>
  <c r="O3477" i="1" s="1"/>
  <c r="C3477" i="1"/>
  <c r="L3476" i="1"/>
  <c r="O3476" i="1" s="1"/>
  <c r="C3476" i="1"/>
  <c r="O3475" i="1"/>
  <c r="L3475" i="1"/>
  <c r="C3475" i="1"/>
  <c r="O3474" i="1"/>
  <c r="L3474" i="1"/>
  <c r="C3474" i="1"/>
  <c r="O3473" i="1"/>
  <c r="L3473" i="1"/>
  <c r="C3473" i="1"/>
  <c r="L3472" i="1"/>
  <c r="O3472" i="1" s="1"/>
  <c r="C3472" i="1"/>
  <c r="L3471" i="1"/>
  <c r="O3471" i="1" s="1"/>
  <c r="C3471" i="1"/>
  <c r="L3470" i="1"/>
  <c r="O3470" i="1" s="1"/>
  <c r="C3470" i="1"/>
  <c r="L3469" i="1"/>
  <c r="O3469" i="1" s="1"/>
  <c r="C3469" i="1"/>
  <c r="L3468" i="1"/>
  <c r="O3468" i="1" s="1"/>
  <c r="C3468" i="1"/>
  <c r="O3467" i="1"/>
  <c r="L3467" i="1"/>
  <c r="C3467" i="1"/>
  <c r="O3466" i="1"/>
  <c r="L3466" i="1"/>
  <c r="C3466" i="1"/>
  <c r="O3465" i="1"/>
  <c r="L3465" i="1"/>
  <c r="C3465" i="1"/>
  <c r="O3464" i="1"/>
  <c r="L3464" i="1"/>
  <c r="C3464" i="1"/>
  <c r="O3463" i="1"/>
  <c r="L3463" i="1"/>
  <c r="C3463" i="1"/>
  <c r="O3462" i="1"/>
  <c r="L3462" i="1"/>
  <c r="C3462" i="1"/>
  <c r="L3461" i="1"/>
  <c r="O3461" i="1" s="1"/>
  <c r="C3461" i="1"/>
  <c r="L3460" i="1"/>
  <c r="O3460" i="1" s="1"/>
  <c r="C3460" i="1"/>
  <c r="O3459" i="1"/>
  <c r="L3459" i="1"/>
  <c r="C3459" i="1"/>
  <c r="L3458" i="1"/>
  <c r="O3458" i="1" s="1"/>
  <c r="C3458" i="1"/>
  <c r="L3457" i="1"/>
  <c r="O3457" i="1" s="1"/>
  <c r="C3457" i="1"/>
  <c r="O3456" i="1"/>
  <c r="L3456" i="1"/>
  <c r="C3456" i="1"/>
  <c r="L3455" i="1"/>
  <c r="O3455" i="1" s="1"/>
  <c r="C3455" i="1"/>
  <c r="L3454" i="1"/>
  <c r="O3454" i="1" s="1"/>
  <c r="C3454" i="1"/>
  <c r="O3453" i="1"/>
  <c r="L3453" i="1"/>
  <c r="C3453" i="1"/>
  <c r="O3452" i="1"/>
  <c r="L3452" i="1"/>
  <c r="C3452" i="1"/>
  <c r="L3451" i="1"/>
  <c r="O3451" i="1" s="1"/>
  <c r="C3451" i="1"/>
  <c r="O3450" i="1"/>
  <c r="L3450" i="1"/>
  <c r="C3450" i="1"/>
  <c r="O3449" i="1"/>
  <c r="L3449" i="1"/>
  <c r="C3449" i="1"/>
  <c r="O3448" i="1"/>
  <c r="L3448" i="1"/>
  <c r="C3448" i="1"/>
  <c r="L3447" i="1"/>
  <c r="O3447" i="1" s="1"/>
  <c r="C3447" i="1"/>
  <c r="L3446" i="1"/>
  <c r="O3446" i="1" s="1"/>
  <c r="C3446" i="1"/>
  <c r="L3445" i="1"/>
  <c r="O3445" i="1" s="1"/>
  <c r="C3445" i="1"/>
  <c r="O3444" i="1"/>
  <c r="L3444" i="1"/>
  <c r="C3444" i="1"/>
  <c r="O3443" i="1"/>
  <c r="L3443" i="1"/>
  <c r="C3443" i="1"/>
  <c r="L3442" i="1"/>
  <c r="O3442" i="1" s="1"/>
  <c r="C3442" i="1"/>
  <c r="L3441" i="1"/>
  <c r="O3441" i="1" s="1"/>
  <c r="C3441" i="1"/>
  <c r="L3440" i="1"/>
  <c r="O3440" i="1" s="1"/>
  <c r="C3440" i="1"/>
  <c r="L3439" i="1"/>
  <c r="O3439" i="1" s="1"/>
  <c r="C3439" i="1"/>
  <c r="L3438" i="1"/>
  <c r="O3438" i="1" s="1"/>
  <c r="C3438" i="1"/>
  <c r="O3437" i="1"/>
  <c r="L3437" i="1"/>
  <c r="C3437" i="1"/>
  <c r="L3436" i="1"/>
  <c r="O3436" i="1" s="1"/>
  <c r="C3436" i="1"/>
  <c r="L3435" i="1"/>
  <c r="O3435" i="1" s="1"/>
  <c r="C3435" i="1"/>
  <c r="L3434" i="1"/>
  <c r="O3434" i="1" s="1"/>
  <c r="C3434" i="1"/>
  <c r="O3433" i="1"/>
  <c r="L3433" i="1"/>
  <c r="C3433" i="1"/>
  <c r="O3432" i="1"/>
  <c r="L3432" i="1"/>
  <c r="C3432" i="1"/>
  <c r="L3431" i="1"/>
  <c r="O3431" i="1" s="1"/>
  <c r="C3431" i="1"/>
  <c r="L3430" i="1"/>
  <c r="O3430" i="1" s="1"/>
  <c r="C3430" i="1"/>
  <c r="O3429" i="1"/>
  <c r="L3429" i="1"/>
  <c r="C3429" i="1"/>
  <c r="L3428" i="1"/>
  <c r="O3428" i="1" s="1"/>
  <c r="C3428" i="1"/>
  <c r="O3427" i="1"/>
  <c r="L3427" i="1"/>
  <c r="C3427" i="1"/>
  <c r="O3426" i="1"/>
  <c r="L3426" i="1"/>
  <c r="C3426" i="1"/>
  <c r="O3425" i="1"/>
  <c r="L3425" i="1"/>
  <c r="C3425" i="1"/>
  <c r="L3424" i="1"/>
  <c r="O3424" i="1" s="1"/>
  <c r="C3424" i="1"/>
  <c r="L3423" i="1"/>
  <c r="O3423" i="1" s="1"/>
  <c r="C3423" i="1"/>
  <c r="L3422" i="1"/>
  <c r="O3422" i="1" s="1"/>
  <c r="C3422" i="1"/>
  <c r="O3421" i="1"/>
  <c r="L3421" i="1"/>
  <c r="C3421" i="1"/>
  <c r="L3420" i="1"/>
  <c r="O3420" i="1" s="1"/>
  <c r="C3420" i="1"/>
  <c r="L3419" i="1"/>
  <c r="O3419" i="1" s="1"/>
  <c r="C3419" i="1"/>
  <c r="L3418" i="1"/>
  <c r="O3418" i="1" s="1"/>
  <c r="C3418" i="1"/>
  <c r="O3417" i="1"/>
  <c r="L3417" i="1"/>
  <c r="C3417" i="1"/>
  <c r="L3416" i="1"/>
  <c r="O3416" i="1" s="1"/>
  <c r="C3416" i="1"/>
  <c r="O3415" i="1"/>
  <c r="L3415" i="1"/>
  <c r="C3415" i="1"/>
  <c r="O3414" i="1"/>
  <c r="L3414" i="1"/>
  <c r="C3414" i="1"/>
  <c r="O3413" i="1"/>
  <c r="L3413" i="1"/>
  <c r="C3413" i="1"/>
  <c r="O3412" i="1"/>
  <c r="L3412" i="1"/>
  <c r="C3412" i="1"/>
  <c r="O3411" i="1"/>
  <c r="L3411" i="1"/>
  <c r="C3411" i="1"/>
  <c r="O3410" i="1"/>
  <c r="L3410" i="1"/>
  <c r="C3410" i="1"/>
  <c r="L3409" i="1"/>
  <c r="O3409" i="1" s="1"/>
  <c r="C3409" i="1"/>
  <c r="L3408" i="1"/>
  <c r="O3408" i="1" s="1"/>
  <c r="C3408" i="1"/>
  <c r="O3407" i="1"/>
  <c r="L3407" i="1"/>
  <c r="C3407" i="1"/>
  <c r="L3406" i="1"/>
  <c r="O3406" i="1" s="1"/>
  <c r="C3406" i="1"/>
  <c r="L3405" i="1"/>
  <c r="O3405" i="1" s="1"/>
  <c r="C3405" i="1"/>
  <c r="O3404" i="1"/>
  <c r="L3404" i="1"/>
  <c r="C3404" i="1"/>
  <c r="O3403" i="1"/>
  <c r="L3403" i="1"/>
  <c r="C3403" i="1"/>
  <c r="O3402" i="1"/>
  <c r="L3402" i="1"/>
  <c r="C3402" i="1"/>
  <c r="O3401" i="1"/>
  <c r="L3401" i="1"/>
  <c r="C3401" i="1"/>
  <c r="L3400" i="1"/>
  <c r="O3400" i="1" s="1"/>
  <c r="C3400" i="1"/>
  <c r="O3399" i="1"/>
  <c r="L3399" i="1"/>
  <c r="C3399" i="1"/>
  <c r="L3398" i="1"/>
  <c r="O3398" i="1" s="1"/>
  <c r="C3398" i="1"/>
  <c r="L3397" i="1"/>
  <c r="O3397" i="1" s="1"/>
  <c r="C3397" i="1"/>
  <c r="O3396" i="1"/>
  <c r="L3396" i="1"/>
  <c r="C3396" i="1"/>
  <c r="L3395" i="1"/>
  <c r="O3395" i="1" s="1"/>
  <c r="C3395" i="1"/>
  <c r="O3394" i="1"/>
  <c r="L3394" i="1"/>
  <c r="C3394" i="1"/>
  <c r="L3393" i="1"/>
  <c r="O3393" i="1" s="1"/>
  <c r="C3393" i="1"/>
  <c r="L3392" i="1"/>
  <c r="O3392" i="1" s="1"/>
  <c r="C3392" i="1"/>
  <c r="L3391" i="1"/>
  <c r="O3391" i="1" s="1"/>
  <c r="C3391" i="1"/>
  <c r="L3390" i="1"/>
  <c r="O3390" i="1" s="1"/>
  <c r="C3390" i="1"/>
  <c r="O3389" i="1"/>
  <c r="L3389" i="1"/>
  <c r="C3389" i="1"/>
  <c r="O3388" i="1"/>
  <c r="L3388" i="1"/>
  <c r="C3388" i="1"/>
  <c r="L3387" i="1"/>
  <c r="O3387" i="1" s="1"/>
  <c r="C3387" i="1"/>
  <c r="L3386" i="1"/>
  <c r="O3386" i="1" s="1"/>
  <c r="C3386" i="1"/>
  <c r="O3385" i="1"/>
  <c r="L3385" i="1"/>
  <c r="C3385" i="1"/>
  <c r="O3384" i="1"/>
  <c r="L3384" i="1"/>
  <c r="C3384" i="1"/>
  <c r="O3383" i="1"/>
  <c r="L3383" i="1"/>
  <c r="C3383" i="1"/>
  <c r="L3382" i="1"/>
  <c r="O3382" i="1" s="1"/>
  <c r="C3382" i="1"/>
  <c r="L3381" i="1"/>
  <c r="O3381" i="1" s="1"/>
  <c r="C3381" i="1"/>
  <c r="L3380" i="1"/>
  <c r="O3380" i="1" s="1"/>
  <c r="C3380" i="1"/>
  <c r="L3379" i="1"/>
  <c r="O3379" i="1" s="1"/>
  <c r="C3379" i="1"/>
  <c r="O3378" i="1"/>
  <c r="L3378" i="1"/>
  <c r="C3378" i="1"/>
  <c r="O3377" i="1"/>
  <c r="L3377" i="1"/>
  <c r="C3377" i="1"/>
  <c r="O3376" i="1"/>
  <c r="L3376" i="1"/>
  <c r="C3376" i="1"/>
  <c r="O3375" i="1"/>
  <c r="L3375" i="1"/>
  <c r="C3375" i="1"/>
  <c r="L3374" i="1"/>
  <c r="O3374" i="1" s="1"/>
  <c r="C3374" i="1"/>
  <c r="O3373" i="1"/>
  <c r="L3373" i="1"/>
  <c r="C3373" i="1"/>
  <c r="O3372" i="1"/>
  <c r="L3372" i="1"/>
  <c r="C3372" i="1"/>
  <c r="L3371" i="1"/>
  <c r="O3371" i="1" s="1"/>
  <c r="C3371" i="1"/>
  <c r="L3370" i="1"/>
  <c r="O3370" i="1" s="1"/>
  <c r="C3370" i="1"/>
  <c r="O3369" i="1"/>
  <c r="L3369" i="1"/>
  <c r="C3369" i="1"/>
  <c r="L3368" i="1"/>
  <c r="O3368" i="1" s="1"/>
  <c r="C3368" i="1"/>
  <c r="O3367" i="1"/>
  <c r="L3367" i="1"/>
  <c r="C3367" i="1"/>
  <c r="L3366" i="1"/>
  <c r="O3366" i="1" s="1"/>
  <c r="C3366" i="1"/>
  <c r="L3365" i="1"/>
  <c r="O3365" i="1" s="1"/>
  <c r="C3365" i="1"/>
  <c r="O3364" i="1"/>
  <c r="L3364" i="1"/>
  <c r="C3364" i="1"/>
  <c r="O3363" i="1"/>
  <c r="L3363" i="1"/>
  <c r="C3363" i="1"/>
  <c r="L3362" i="1"/>
  <c r="O3362" i="1" s="1"/>
  <c r="C3362" i="1"/>
  <c r="O3361" i="1"/>
  <c r="L3361" i="1"/>
  <c r="C3361" i="1"/>
  <c r="O3360" i="1"/>
  <c r="L3360" i="1"/>
  <c r="C3360" i="1"/>
  <c r="L3359" i="1"/>
  <c r="O3359" i="1" s="1"/>
  <c r="C3359" i="1"/>
  <c r="O3358" i="1"/>
  <c r="L3358" i="1"/>
  <c r="C3358" i="1"/>
  <c r="L3357" i="1"/>
  <c r="O3357" i="1" s="1"/>
  <c r="C3357" i="1"/>
  <c r="O3356" i="1"/>
  <c r="L3356" i="1"/>
  <c r="C3356" i="1"/>
  <c r="L3355" i="1"/>
  <c r="O3355" i="1" s="1"/>
  <c r="C3355" i="1"/>
  <c r="L3354" i="1"/>
  <c r="O3354" i="1" s="1"/>
  <c r="C3354" i="1"/>
  <c r="L3353" i="1"/>
  <c r="O3353" i="1" s="1"/>
  <c r="C3353" i="1"/>
  <c r="O3352" i="1"/>
  <c r="L3352" i="1"/>
  <c r="C3352" i="1"/>
  <c r="O3351" i="1"/>
  <c r="L3351" i="1"/>
  <c r="C3351" i="1"/>
  <c r="L3350" i="1"/>
  <c r="O3350" i="1" s="1"/>
  <c r="C3350" i="1"/>
  <c r="L3349" i="1"/>
  <c r="O3349" i="1" s="1"/>
  <c r="C3349" i="1"/>
  <c r="L3348" i="1"/>
  <c r="O3348" i="1" s="1"/>
  <c r="C3348" i="1"/>
  <c r="L3347" i="1"/>
  <c r="O3347" i="1" s="1"/>
  <c r="C3347" i="1"/>
  <c r="L3346" i="1"/>
  <c r="O3346" i="1" s="1"/>
  <c r="C3346" i="1"/>
  <c r="O3345" i="1"/>
  <c r="L3345" i="1"/>
  <c r="C3345" i="1"/>
  <c r="O3344" i="1"/>
  <c r="L3344" i="1"/>
  <c r="C3344" i="1"/>
  <c r="O3343" i="1"/>
  <c r="L3343" i="1"/>
  <c r="C3343" i="1"/>
  <c r="L3342" i="1"/>
  <c r="O3342" i="1" s="1"/>
  <c r="C3342" i="1"/>
  <c r="L3341" i="1"/>
  <c r="O3341" i="1" s="1"/>
  <c r="C3341" i="1"/>
  <c r="O3340" i="1"/>
  <c r="L3340" i="1"/>
  <c r="C3340" i="1"/>
  <c r="L3339" i="1"/>
  <c r="O3339" i="1" s="1"/>
  <c r="C3339" i="1"/>
  <c r="L3338" i="1"/>
  <c r="O3338" i="1" s="1"/>
  <c r="C3338" i="1"/>
  <c r="O3337" i="1"/>
  <c r="L3337" i="1"/>
  <c r="C3337" i="1"/>
  <c r="L3336" i="1"/>
  <c r="O3336" i="1" s="1"/>
  <c r="C3336" i="1"/>
  <c r="O3335" i="1"/>
  <c r="L3335" i="1"/>
  <c r="C3335" i="1"/>
  <c r="L3334" i="1"/>
  <c r="O3334" i="1" s="1"/>
  <c r="C3334" i="1"/>
  <c r="L3333" i="1"/>
  <c r="O3333" i="1" s="1"/>
  <c r="C3333" i="1"/>
  <c r="O3332" i="1"/>
  <c r="L3332" i="1"/>
  <c r="C3332" i="1"/>
  <c r="O3331" i="1"/>
  <c r="L3331" i="1"/>
  <c r="C3331" i="1"/>
  <c r="L3330" i="1"/>
  <c r="O3330" i="1" s="1"/>
  <c r="C3330" i="1"/>
  <c r="O3329" i="1"/>
  <c r="L3329" i="1"/>
  <c r="C3329" i="1"/>
  <c r="O3328" i="1"/>
  <c r="L3328" i="1"/>
  <c r="C3328" i="1"/>
  <c r="L3327" i="1"/>
  <c r="O3327" i="1" s="1"/>
  <c r="C3327" i="1"/>
  <c r="O3326" i="1"/>
  <c r="L3326" i="1"/>
  <c r="C3326" i="1"/>
  <c r="O3325" i="1"/>
  <c r="L3325" i="1"/>
  <c r="C3325" i="1"/>
  <c r="O3324" i="1"/>
  <c r="L3324" i="1"/>
  <c r="C3324" i="1"/>
  <c r="L3323" i="1"/>
  <c r="O3323" i="1" s="1"/>
  <c r="C3323" i="1"/>
  <c r="L3322" i="1"/>
  <c r="O3322" i="1" s="1"/>
  <c r="C3322" i="1"/>
  <c r="L3321" i="1"/>
  <c r="O3321" i="1" s="1"/>
  <c r="C3321" i="1"/>
  <c r="O3320" i="1"/>
  <c r="L3320" i="1"/>
  <c r="C3320" i="1"/>
  <c r="O3319" i="1"/>
  <c r="L3319" i="1"/>
  <c r="C3319" i="1"/>
  <c r="L3318" i="1"/>
  <c r="O3318" i="1" s="1"/>
  <c r="C3318" i="1"/>
  <c r="L3317" i="1"/>
  <c r="O3317" i="1" s="1"/>
  <c r="C3317" i="1"/>
  <c r="L3316" i="1"/>
  <c r="O3316" i="1" s="1"/>
  <c r="C3316" i="1"/>
  <c r="L3315" i="1"/>
  <c r="O3315" i="1" s="1"/>
  <c r="C3315" i="1"/>
  <c r="O3314" i="1"/>
  <c r="L3314" i="1"/>
  <c r="C3314" i="1"/>
  <c r="O3313" i="1"/>
  <c r="L3313" i="1"/>
  <c r="C3313" i="1"/>
  <c r="O3312" i="1"/>
  <c r="L3312" i="1"/>
  <c r="C3312" i="1"/>
  <c r="L3311" i="1"/>
  <c r="O3311" i="1" s="1"/>
  <c r="C3311" i="1"/>
  <c r="L3310" i="1"/>
  <c r="O3310" i="1" s="1"/>
  <c r="C3310" i="1"/>
  <c r="O3309" i="1"/>
  <c r="L3309" i="1"/>
  <c r="C3309" i="1"/>
  <c r="O3308" i="1"/>
  <c r="L3308" i="1"/>
  <c r="C3308" i="1"/>
  <c r="L3307" i="1"/>
  <c r="O3307" i="1" s="1"/>
  <c r="C3307" i="1"/>
  <c r="L3306" i="1"/>
  <c r="O3306" i="1" s="1"/>
  <c r="C3306" i="1"/>
  <c r="L3305" i="1"/>
  <c r="O3305" i="1" s="1"/>
  <c r="C3305" i="1"/>
  <c r="L3304" i="1"/>
  <c r="O3304" i="1" s="1"/>
  <c r="C3304" i="1"/>
  <c r="O3303" i="1"/>
  <c r="L3303" i="1"/>
  <c r="C3303" i="1"/>
  <c r="L3302" i="1"/>
  <c r="O3302" i="1" s="1"/>
  <c r="C3302" i="1"/>
  <c r="L3301" i="1"/>
  <c r="O3301" i="1" s="1"/>
  <c r="C3301" i="1"/>
  <c r="O3300" i="1"/>
  <c r="L3300" i="1"/>
  <c r="C3300" i="1"/>
  <c r="L3299" i="1"/>
  <c r="O3299" i="1" s="1"/>
  <c r="C3299" i="1"/>
  <c r="L3298" i="1"/>
  <c r="O3298" i="1" s="1"/>
  <c r="C3298" i="1"/>
  <c r="O3297" i="1"/>
  <c r="L3297" i="1"/>
  <c r="C3297" i="1"/>
  <c r="O3296" i="1"/>
  <c r="L3296" i="1"/>
  <c r="C3296" i="1"/>
  <c r="L3295" i="1"/>
  <c r="O3295" i="1" s="1"/>
  <c r="C3295" i="1"/>
  <c r="L3294" i="1"/>
  <c r="O3294" i="1" s="1"/>
  <c r="C3294" i="1"/>
  <c r="O3293" i="1"/>
  <c r="L3293" i="1"/>
  <c r="C3293" i="1"/>
  <c r="O3292" i="1"/>
  <c r="L3292" i="1"/>
  <c r="C3292" i="1"/>
  <c r="L3291" i="1"/>
  <c r="O3291" i="1" s="1"/>
  <c r="C3291" i="1"/>
  <c r="L3290" i="1"/>
  <c r="O3290" i="1" s="1"/>
  <c r="C3290" i="1"/>
  <c r="L3289" i="1"/>
  <c r="O3289" i="1" s="1"/>
  <c r="C3289" i="1"/>
  <c r="L3288" i="1"/>
  <c r="O3288" i="1" s="1"/>
  <c r="C3288" i="1"/>
  <c r="O3287" i="1"/>
  <c r="L3287" i="1"/>
  <c r="C3287" i="1"/>
  <c r="L3286" i="1"/>
  <c r="O3286" i="1" s="1"/>
  <c r="C3286" i="1"/>
  <c r="L3285" i="1"/>
  <c r="O3285" i="1" s="1"/>
  <c r="C3285" i="1"/>
  <c r="L3284" i="1"/>
  <c r="O3284" i="1" s="1"/>
  <c r="C3284" i="1"/>
  <c r="L3283" i="1"/>
  <c r="O3283" i="1" s="1"/>
  <c r="C3283" i="1"/>
  <c r="L3282" i="1"/>
  <c r="O3282" i="1" s="1"/>
  <c r="C3282" i="1"/>
  <c r="O3281" i="1"/>
  <c r="L3281" i="1"/>
  <c r="C3281" i="1"/>
  <c r="O3280" i="1"/>
  <c r="L3280" i="1"/>
  <c r="C3280" i="1"/>
  <c r="O3279" i="1"/>
  <c r="L3279" i="1"/>
  <c r="C3279" i="1"/>
  <c r="L3278" i="1"/>
  <c r="O3278" i="1" s="1"/>
  <c r="C3278" i="1"/>
  <c r="L3277" i="1"/>
  <c r="O3277" i="1" s="1"/>
  <c r="C3277" i="1"/>
  <c r="O3276" i="1"/>
  <c r="L3276" i="1"/>
  <c r="C3276" i="1"/>
  <c r="L3275" i="1"/>
  <c r="O3275" i="1" s="1"/>
  <c r="C3275" i="1"/>
  <c r="O3274" i="1"/>
  <c r="L3274" i="1"/>
  <c r="C3274" i="1"/>
  <c r="L3273" i="1"/>
  <c r="O3273" i="1" s="1"/>
  <c r="C3273" i="1"/>
  <c r="L3272" i="1"/>
  <c r="O3272" i="1" s="1"/>
  <c r="C3272" i="1"/>
  <c r="O3271" i="1"/>
  <c r="L3271" i="1"/>
  <c r="C3271" i="1"/>
  <c r="L3270" i="1"/>
  <c r="O3270" i="1" s="1"/>
  <c r="C3270" i="1"/>
  <c r="L3269" i="1"/>
  <c r="O3269" i="1" s="1"/>
  <c r="C3269" i="1"/>
  <c r="O3268" i="1"/>
  <c r="L3268" i="1"/>
  <c r="C3268" i="1"/>
  <c r="L3267" i="1"/>
  <c r="O3267" i="1" s="1"/>
  <c r="C3267" i="1"/>
  <c r="L3266" i="1"/>
  <c r="O3266" i="1" s="1"/>
  <c r="C3266" i="1"/>
  <c r="O3265" i="1"/>
  <c r="L3265" i="1"/>
  <c r="C3265" i="1"/>
  <c r="O3264" i="1"/>
  <c r="L3264" i="1"/>
  <c r="C3264" i="1"/>
  <c r="L3263" i="1"/>
  <c r="O3263" i="1" s="1"/>
  <c r="C3263" i="1"/>
  <c r="O3262" i="1"/>
  <c r="L3262" i="1"/>
  <c r="C3262" i="1"/>
  <c r="L3261" i="1"/>
  <c r="O3261" i="1" s="1"/>
  <c r="C3261" i="1"/>
  <c r="O3260" i="1"/>
  <c r="L3260" i="1"/>
  <c r="C3260" i="1"/>
  <c r="L3259" i="1"/>
  <c r="O3259" i="1" s="1"/>
  <c r="C3259" i="1"/>
  <c r="O3258" i="1"/>
  <c r="L3258" i="1"/>
  <c r="C3258" i="1"/>
  <c r="O3257" i="1"/>
  <c r="L3257" i="1"/>
  <c r="C3257" i="1"/>
  <c r="L3256" i="1"/>
  <c r="O3256" i="1" s="1"/>
  <c r="C3256" i="1"/>
  <c r="L3255" i="1"/>
  <c r="O3255" i="1" s="1"/>
  <c r="C3255" i="1"/>
  <c r="L3254" i="1"/>
  <c r="O3254" i="1" s="1"/>
  <c r="C3254" i="1"/>
  <c r="L3253" i="1"/>
  <c r="O3253" i="1" s="1"/>
  <c r="C3253" i="1"/>
  <c r="O3252" i="1"/>
  <c r="L3252" i="1"/>
  <c r="C3252" i="1"/>
  <c r="O3251" i="1"/>
  <c r="L3251" i="1"/>
  <c r="C3251" i="1"/>
  <c r="L3250" i="1"/>
  <c r="O3250" i="1" s="1"/>
  <c r="C3250" i="1"/>
  <c r="O3249" i="1"/>
  <c r="L3249" i="1"/>
  <c r="C3249" i="1"/>
  <c r="O3248" i="1"/>
  <c r="L3248" i="1"/>
  <c r="C3248" i="1"/>
  <c r="L3247" i="1"/>
  <c r="O3247" i="1" s="1"/>
  <c r="C3247" i="1"/>
  <c r="L3246" i="1"/>
  <c r="O3246" i="1" s="1"/>
  <c r="C3246" i="1"/>
  <c r="O3245" i="1"/>
  <c r="L3245" i="1"/>
  <c r="C3245" i="1"/>
  <c r="O3244" i="1"/>
  <c r="L3244" i="1"/>
  <c r="C3244" i="1"/>
  <c r="L3243" i="1"/>
  <c r="O3243" i="1" s="1"/>
  <c r="C3243" i="1"/>
  <c r="L3242" i="1"/>
  <c r="O3242" i="1" s="1"/>
  <c r="C3242" i="1"/>
  <c r="O3241" i="1"/>
  <c r="L3241" i="1"/>
  <c r="C3241" i="1"/>
  <c r="O3240" i="1"/>
  <c r="L3240" i="1"/>
  <c r="C3240" i="1"/>
  <c r="O3239" i="1"/>
  <c r="L3239" i="1"/>
  <c r="C3239" i="1"/>
  <c r="L3238" i="1"/>
  <c r="O3238" i="1" s="1"/>
  <c r="C3238" i="1"/>
  <c r="L3237" i="1"/>
  <c r="O3237" i="1" s="1"/>
  <c r="C3237" i="1"/>
  <c r="L3236" i="1"/>
  <c r="O3236" i="1" s="1"/>
  <c r="C3236" i="1"/>
  <c r="O3235" i="1"/>
  <c r="L3235" i="1"/>
  <c r="C3235" i="1"/>
  <c r="O3234" i="1"/>
  <c r="L3234" i="1"/>
  <c r="C3234" i="1"/>
  <c r="O3233" i="1"/>
  <c r="L3233" i="1"/>
  <c r="C3233" i="1"/>
  <c r="O3232" i="1"/>
  <c r="L3232" i="1"/>
  <c r="C3232" i="1"/>
  <c r="L3231" i="1"/>
  <c r="O3231" i="1" s="1"/>
  <c r="C3231" i="1"/>
  <c r="O3230" i="1"/>
  <c r="L3230" i="1"/>
  <c r="C3230" i="1"/>
  <c r="O3229" i="1"/>
  <c r="L3229" i="1"/>
  <c r="C3229" i="1"/>
  <c r="O3228" i="1"/>
  <c r="L3228" i="1"/>
  <c r="C3228" i="1"/>
  <c r="L3227" i="1"/>
  <c r="O3227" i="1" s="1"/>
  <c r="C3227" i="1"/>
  <c r="O3226" i="1"/>
  <c r="L3226" i="1"/>
  <c r="C3226" i="1"/>
  <c r="L3225" i="1"/>
  <c r="O3225" i="1" s="1"/>
  <c r="C3225" i="1"/>
  <c r="O3224" i="1"/>
  <c r="L3224" i="1"/>
  <c r="C3224" i="1"/>
  <c r="O3223" i="1"/>
  <c r="L3223" i="1"/>
  <c r="C3223" i="1"/>
  <c r="L3222" i="1"/>
  <c r="O3222" i="1" s="1"/>
  <c r="C3222" i="1"/>
  <c r="L3221" i="1"/>
  <c r="O3221" i="1" s="1"/>
  <c r="C3221" i="1"/>
  <c r="O3220" i="1"/>
  <c r="L3220" i="1"/>
  <c r="C3220" i="1"/>
  <c r="L3219" i="1"/>
  <c r="O3219" i="1" s="1"/>
  <c r="C3219" i="1"/>
  <c r="O3218" i="1"/>
  <c r="L3218" i="1"/>
  <c r="C3218" i="1"/>
  <c r="O3217" i="1"/>
  <c r="L3217" i="1"/>
  <c r="C3217" i="1"/>
  <c r="O3216" i="1"/>
  <c r="L3216" i="1"/>
  <c r="C3216" i="1"/>
  <c r="L3215" i="1"/>
  <c r="O3215" i="1" s="1"/>
  <c r="C3215" i="1"/>
  <c r="L3214" i="1"/>
  <c r="O3214" i="1" s="1"/>
  <c r="C3214" i="1"/>
  <c r="L3213" i="1"/>
  <c r="O3213" i="1" s="1"/>
  <c r="C3213" i="1"/>
  <c r="O3212" i="1"/>
  <c r="L3212" i="1"/>
  <c r="C3212" i="1"/>
  <c r="O3211" i="1"/>
  <c r="L3211" i="1"/>
  <c r="C3211" i="1"/>
  <c r="O3210" i="1"/>
  <c r="L3210" i="1"/>
  <c r="C3210" i="1"/>
  <c r="O3209" i="1"/>
  <c r="L3209" i="1"/>
  <c r="C3209" i="1"/>
  <c r="L3208" i="1"/>
  <c r="O3208" i="1" s="1"/>
  <c r="C3208" i="1"/>
  <c r="O3207" i="1"/>
  <c r="L3207" i="1"/>
  <c r="C3207" i="1"/>
  <c r="L3206" i="1"/>
  <c r="O3206" i="1" s="1"/>
  <c r="C3206" i="1"/>
  <c r="L3205" i="1"/>
  <c r="O3205" i="1" s="1"/>
  <c r="C3205" i="1"/>
  <c r="O3204" i="1"/>
  <c r="L3204" i="1"/>
  <c r="C3204" i="1"/>
  <c r="O3203" i="1"/>
  <c r="L3203" i="1"/>
  <c r="C3203" i="1"/>
  <c r="L3202" i="1"/>
  <c r="O3202" i="1" s="1"/>
  <c r="C3202" i="1"/>
  <c r="O3201" i="1"/>
  <c r="L3201" i="1"/>
  <c r="C3201" i="1"/>
  <c r="O3200" i="1"/>
  <c r="L3200" i="1"/>
  <c r="C3200" i="1"/>
  <c r="L3199" i="1"/>
  <c r="O3199" i="1" s="1"/>
  <c r="C3199" i="1"/>
  <c r="L3198" i="1"/>
  <c r="O3198" i="1" s="1"/>
  <c r="C3198" i="1"/>
  <c r="O3197" i="1"/>
  <c r="L3197" i="1"/>
  <c r="C3197" i="1"/>
  <c r="O3196" i="1"/>
  <c r="L3196" i="1"/>
  <c r="C3196" i="1"/>
  <c r="O3195" i="1"/>
  <c r="L3195" i="1"/>
  <c r="C3195" i="1"/>
  <c r="L3194" i="1"/>
  <c r="O3194" i="1" s="1"/>
  <c r="C3194" i="1"/>
  <c r="L3193" i="1"/>
  <c r="O3193" i="1" s="1"/>
  <c r="C3193" i="1"/>
  <c r="L3192" i="1"/>
  <c r="O3192" i="1" s="1"/>
  <c r="C3192" i="1"/>
  <c r="O3191" i="1"/>
  <c r="L3191" i="1"/>
  <c r="C3191" i="1"/>
  <c r="L3190" i="1"/>
  <c r="O3190" i="1" s="1"/>
  <c r="C3190" i="1"/>
  <c r="L3189" i="1"/>
  <c r="O3189" i="1" s="1"/>
  <c r="C3189" i="1"/>
  <c r="L3188" i="1"/>
  <c r="O3188" i="1" s="1"/>
  <c r="C3188" i="1"/>
  <c r="L3187" i="1"/>
  <c r="O3187" i="1" s="1"/>
  <c r="C3187" i="1"/>
  <c r="L3186" i="1"/>
  <c r="O3186" i="1" s="1"/>
  <c r="C3186" i="1"/>
  <c r="O3185" i="1"/>
  <c r="L3185" i="1"/>
  <c r="C3185" i="1"/>
  <c r="O3184" i="1"/>
  <c r="L3184" i="1"/>
  <c r="C3184" i="1"/>
  <c r="O3183" i="1"/>
  <c r="L3183" i="1"/>
  <c r="C3183" i="1"/>
  <c r="O3182" i="1"/>
  <c r="L3182" i="1"/>
  <c r="C3182" i="1"/>
  <c r="O3181" i="1"/>
  <c r="L3181" i="1"/>
  <c r="C3181" i="1"/>
  <c r="O3180" i="1"/>
  <c r="L3180" i="1"/>
  <c r="C3180" i="1"/>
  <c r="O3179" i="1"/>
  <c r="L3179" i="1"/>
  <c r="C3179" i="1"/>
  <c r="L3178" i="1"/>
  <c r="O3178" i="1" s="1"/>
  <c r="C3178" i="1"/>
  <c r="L3177" i="1"/>
  <c r="O3177" i="1" s="1"/>
  <c r="C3177" i="1"/>
  <c r="L3176" i="1"/>
  <c r="O3176" i="1" s="1"/>
  <c r="C3176" i="1"/>
  <c r="O3175" i="1"/>
  <c r="L3175" i="1"/>
  <c r="C3175" i="1"/>
  <c r="L3174" i="1"/>
  <c r="O3174" i="1" s="1"/>
  <c r="C3174" i="1"/>
  <c r="L3173" i="1"/>
  <c r="O3173" i="1" s="1"/>
  <c r="C3173" i="1"/>
  <c r="L3172" i="1"/>
  <c r="O3172" i="1" s="1"/>
  <c r="C3172" i="1"/>
  <c r="L3171" i="1"/>
  <c r="O3171" i="1" s="1"/>
  <c r="C3171" i="1"/>
  <c r="O3170" i="1"/>
  <c r="L3170" i="1"/>
  <c r="C3170" i="1"/>
  <c r="O3169" i="1"/>
  <c r="L3169" i="1"/>
  <c r="C3169" i="1"/>
  <c r="O3168" i="1"/>
  <c r="L3168" i="1"/>
  <c r="C3168" i="1"/>
  <c r="O3167" i="1"/>
  <c r="L3167" i="1"/>
  <c r="C3167" i="1"/>
  <c r="L3166" i="1"/>
  <c r="O3166" i="1" s="1"/>
  <c r="C3166" i="1"/>
  <c r="L3165" i="1"/>
  <c r="O3165" i="1" s="1"/>
  <c r="C3165" i="1"/>
  <c r="O3164" i="1"/>
  <c r="L3164" i="1"/>
  <c r="C3164" i="1"/>
  <c r="O3163" i="1"/>
  <c r="L3163" i="1"/>
  <c r="C3163" i="1"/>
  <c r="O3162" i="1"/>
  <c r="L3162" i="1"/>
  <c r="C3162" i="1"/>
  <c r="O3161" i="1"/>
  <c r="L3161" i="1"/>
  <c r="C3161" i="1"/>
  <c r="O3160" i="1"/>
  <c r="L3160" i="1"/>
  <c r="C3160" i="1"/>
  <c r="L3159" i="1"/>
  <c r="O3159" i="1" s="1"/>
  <c r="C3159" i="1"/>
  <c r="L3158" i="1"/>
  <c r="O3158" i="1" s="1"/>
  <c r="C3158" i="1"/>
  <c r="L3157" i="1"/>
  <c r="O3157" i="1" s="1"/>
  <c r="C3157" i="1"/>
  <c r="O3156" i="1"/>
  <c r="L3156" i="1"/>
  <c r="C3156" i="1"/>
  <c r="O3155" i="1"/>
  <c r="L3155" i="1"/>
  <c r="C3155" i="1"/>
  <c r="O3154" i="1"/>
  <c r="L3154" i="1"/>
  <c r="C3154" i="1"/>
  <c r="O3153" i="1"/>
  <c r="L3153" i="1"/>
  <c r="C3153" i="1"/>
  <c r="O3152" i="1"/>
  <c r="L3152" i="1"/>
  <c r="C3152" i="1"/>
  <c r="O3151" i="1"/>
  <c r="L3151" i="1"/>
  <c r="C3151" i="1"/>
  <c r="L3150" i="1"/>
  <c r="O3150" i="1" s="1"/>
  <c r="C3150" i="1"/>
  <c r="L3149" i="1"/>
  <c r="O3149" i="1" s="1"/>
  <c r="C3149" i="1"/>
  <c r="O3148" i="1"/>
  <c r="L3148" i="1"/>
  <c r="C3148" i="1"/>
  <c r="L3147" i="1"/>
  <c r="O3147" i="1" s="1"/>
  <c r="C3147" i="1"/>
  <c r="L3146" i="1"/>
  <c r="O3146" i="1" s="1"/>
  <c r="C3146" i="1"/>
  <c r="O3145" i="1"/>
  <c r="L3145" i="1"/>
  <c r="C3145" i="1"/>
  <c r="L3144" i="1"/>
  <c r="O3144" i="1" s="1"/>
  <c r="C3144" i="1"/>
  <c r="L3143" i="1"/>
  <c r="O3143" i="1" s="1"/>
  <c r="C3143" i="1"/>
  <c r="L3142" i="1"/>
  <c r="O3142" i="1" s="1"/>
  <c r="C3142" i="1"/>
  <c r="L3141" i="1"/>
  <c r="O3141" i="1" s="1"/>
  <c r="C3141" i="1"/>
  <c r="O3140" i="1"/>
  <c r="L3140" i="1"/>
  <c r="C3140" i="1"/>
  <c r="O3139" i="1"/>
  <c r="L3139" i="1"/>
  <c r="C3139" i="1"/>
  <c r="L3138" i="1"/>
  <c r="O3138" i="1" s="1"/>
  <c r="C3138" i="1"/>
  <c r="O3137" i="1"/>
  <c r="L3137" i="1"/>
  <c r="C3137" i="1"/>
  <c r="O3136" i="1"/>
  <c r="L3136" i="1"/>
  <c r="C3136" i="1"/>
  <c r="O3135" i="1"/>
  <c r="L3135" i="1"/>
  <c r="C3135" i="1"/>
  <c r="O3134" i="1"/>
  <c r="L3134" i="1"/>
  <c r="C3134" i="1"/>
  <c r="O3133" i="1"/>
  <c r="L3133" i="1"/>
  <c r="C3133" i="1"/>
  <c r="O3132" i="1"/>
  <c r="L3132" i="1"/>
  <c r="C3132" i="1"/>
  <c r="O3131" i="1"/>
  <c r="L3131" i="1"/>
  <c r="C3131" i="1"/>
  <c r="O3130" i="1"/>
  <c r="L3130" i="1"/>
  <c r="C3130" i="1"/>
  <c r="O3129" i="1"/>
  <c r="L3129" i="1"/>
  <c r="C3129" i="1"/>
  <c r="L3128" i="1"/>
  <c r="O3128" i="1" s="1"/>
  <c r="C3128" i="1"/>
  <c r="L3127" i="1"/>
  <c r="O3127" i="1" s="1"/>
  <c r="C3127" i="1"/>
  <c r="L3126" i="1"/>
  <c r="O3126" i="1" s="1"/>
  <c r="C3126" i="1"/>
  <c r="L3125" i="1"/>
  <c r="O3125" i="1" s="1"/>
  <c r="C3125" i="1"/>
  <c r="L3124" i="1"/>
  <c r="O3124" i="1" s="1"/>
  <c r="C3124" i="1"/>
  <c r="O3123" i="1"/>
  <c r="L3123" i="1"/>
  <c r="C3123" i="1"/>
  <c r="L3122" i="1"/>
  <c r="O3122" i="1" s="1"/>
  <c r="C3122" i="1"/>
  <c r="O3121" i="1"/>
  <c r="L3121" i="1"/>
  <c r="C3121" i="1"/>
  <c r="O3120" i="1"/>
  <c r="L3120" i="1"/>
  <c r="C3120" i="1"/>
  <c r="O3119" i="1"/>
  <c r="L3119" i="1"/>
  <c r="C3119" i="1"/>
  <c r="O3118" i="1"/>
  <c r="L3118" i="1"/>
  <c r="C3118" i="1"/>
  <c r="O3117" i="1"/>
  <c r="L3117" i="1"/>
  <c r="C3117" i="1"/>
  <c r="O3116" i="1"/>
  <c r="L3116" i="1"/>
  <c r="C3116" i="1"/>
  <c r="L3115" i="1"/>
  <c r="O3115" i="1" s="1"/>
  <c r="C3115" i="1"/>
  <c r="L3114" i="1"/>
  <c r="O3114" i="1" s="1"/>
  <c r="C3114" i="1"/>
  <c r="O3113" i="1"/>
  <c r="L3113" i="1"/>
  <c r="C3113" i="1"/>
  <c r="O3112" i="1"/>
  <c r="L3112" i="1"/>
  <c r="C3112" i="1"/>
  <c r="O3111" i="1"/>
  <c r="L3111" i="1"/>
  <c r="C3111" i="1"/>
  <c r="L3110" i="1"/>
  <c r="O3110" i="1" s="1"/>
  <c r="C3110" i="1"/>
  <c r="O3109" i="1"/>
  <c r="L3109" i="1"/>
  <c r="C3109" i="1"/>
  <c r="L3108" i="1"/>
  <c r="O3108" i="1" s="1"/>
  <c r="C3108" i="1"/>
  <c r="O3107" i="1"/>
  <c r="L3107" i="1"/>
  <c r="C3107" i="1"/>
  <c r="O3106" i="1"/>
  <c r="L3106" i="1"/>
  <c r="C3106" i="1"/>
  <c r="O3105" i="1"/>
  <c r="L3105" i="1"/>
  <c r="C3105" i="1"/>
  <c r="L3104" i="1"/>
  <c r="O3104" i="1" s="1"/>
  <c r="C3104" i="1"/>
  <c r="L3103" i="1"/>
  <c r="O3103" i="1" s="1"/>
  <c r="C3103" i="1"/>
  <c r="L3102" i="1"/>
  <c r="O3102" i="1" s="1"/>
  <c r="C3102" i="1"/>
  <c r="O3101" i="1"/>
  <c r="L3101" i="1"/>
  <c r="C3101" i="1"/>
  <c r="O3100" i="1"/>
  <c r="L3100" i="1"/>
  <c r="C3100" i="1"/>
  <c r="O3099" i="1"/>
  <c r="L3099" i="1"/>
  <c r="C3099" i="1"/>
  <c r="O3098" i="1"/>
  <c r="L3098" i="1"/>
  <c r="C3098" i="1"/>
  <c r="L3097" i="1"/>
  <c r="O3097" i="1" s="1"/>
  <c r="C3097" i="1"/>
  <c r="O3096" i="1"/>
  <c r="L3096" i="1"/>
  <c r="C3096" i="1"/>
  <c r="L3095" i="1"/>
  <c r="O3095" i="1" s="1"/>
  <c r="C3095" i="1"/>
  <c r="L3094" i="1"/>
  <c r="O3094" i="1" s="1"/>
  <c r="C3094" i="1"/>
  <c r="L3093" i="1"/>
  <c r="O3093" i="1" s="1"/>
  <c r="C3093" i="1"/>
  <c r="L3092" i="1"/>
  <c r="O3092" i="1" s="1"/>
  <c r="C3092" i="1"/>
  <c r="L3091" i="1"/>
  <c r="O3091" i="1" s="1"/>
  <c r="C3091" i="1"/>
  <c r="O3090" i="1"/>
  <c r="L3090" i="1"/>
  <c r="C3090" i="1"/>
  <c r="O3089" i="1"/>
  <c r="L3089" i="1"/>
  <c r="C3089" i="1"/>
  <c r="O3088" i="1"/>
  <c r="L3088" i="1"/>
  <c r="C3088" i="1"/>
  <c r="O3087" i="1"/>
  <c r="L3087" i="1"/>
  <c r="C3087" i="1"/>
  <c r="L3086" i="1"/>
  <c r="O3086" i="1" s="1"/>
  <c r="C3086" i="1"/>
  <c r="O3085" i="1"/>
  <c r="L3085" i="1"/>
  <c r="C3085" i="1"/>
  <c r="L3084" i="1"/>
  <c r="O3084" i="1" s="1"/>
  <c r="C3084" i="1"/>
  <c r="L3083" i="1"/>
  <c r="O3083" i="1" s="1"/>
  <c r="C3083" i="1"/>
  <c r="O3082" i="1"/>
  <c r="L3082" i="1"/>
  <c r="C3082" i="1"/>
  <c r="O3081" i="1"/>
  <c r="L3081" i="1"/>
  <c r="C3081" i="1"/>
  <c r="L3080" i="1"/>
  <c r="O3080" i="1" s="1"/>
  <c r="C3080" i="1"/>
  <c r="O3079" i="1"/>
  <c r="L3079" i="1"/>
  <c r="C3079" i="1"/>
  <c r="L3078" i="1"/>
  <c r="O3078" i="1" s="1"/>
  <c r="C3078" i="1"/>
  <c r="O3077" i="1"/>
  <c r="L3077" i="1"/>
  <c r="C3077" i="1"/>
  <c r="O3076" i="1"/>
  <c r="L3076" i="1"/>
  <c r="C3076" i="1"/>
  <c r="L3075" i="1"/>
  <c r="O3075" i="1" s="1"/>
  <c r="C3075" i="1"/>
  <c r="O3074" i="1"/>
  <c r="L3074" i="1"/>
  <c r="C3074" i="1"/>
  <c r="O3073" i="1"/>
  <c r="L3073" i="1"/>
  <c r="C3073" i="1"/>
  <c r="L3072" i="1"/>
  <c r="O3072" i="1" s="1"/>
  <c r="C3072" i="1"/>
  <c r="L3071" i="1"/>
  <c r="O3071" i="1" s="1"/>
  <c r="C3071" i="1"/>
  <c r="L3070" i="1"/>
  <c r="O3070" i="1" s="1"/>
  <c r="C3070" i="1"/>
  <c r="O3069" i="1"/>
  <c r="L3069" i="1"/>
  <c r="C3069" i="1"/>
  <c r="O3068" i="1"/>
  <c r="L3068" i="1"/>
  <c r="C3068" i="1"/>
  <c r="L3067" i="1"/>
  <c r="O3067" i="1" s="1"/>
  <c r="C3067" i="1"/>
  <c r="L3066" i="1"/>
  <c r="O3066" i="1" s="1"/>
  <c r="C3066" i="1"/>
  <c r="L3065" i="1"/>
  <c r="O3065" i="1" s="1"/>
  <c r="C3065" i="1"/>
  <c r="L3064" i="1"/>
  <c r="O3064" i="1" s="1"/>
  <c r="C3064" i="1"/>
  <c r="O3063" i="1"/>
  <c r="L3063" i="1"/>
  <c r="C3063" i="1"/>
  <c r="L3062" i="1"/>
  <c r="O3062" i="1" s="1"/>
  <c r="C3062" i="1"/>
  <c r="L3061" i="1"/>
  <c r="O3061" i="1" s="1"/>
  <c r="C3061" i="1"/>
  <c r="L3060" i="1"/>
  <c r="O3060" i="1" s="1"/>
  <c r="C3060" i="1"/>
  <c r="O3059" i="1"/>
  <c r="L3059" i="1"/>
  <c r="C3059" i="1"/>
  <c r="L3058" i="1"/>
  <c r="O3058" i="1" s="1"/>
  <c r="C3058" i="1"/>
  <c r="O3057" i="1"/>
  <c r="L3057" i="1"/>
  <c r="C3057" i="1"/>
  <c r="L3056" i="1"/>
  <c r="O3056" i="1" s="1"/>
  <c r="C3056" i="1"/>
  <c r="L3055" i="1"/>
  <c r="O3055" i="1" s="1"/>
  <c r="C3055" i="1"/>
  <c r="L3054" i="1"/>
  <c r="O3054" i="1" s="1"/>
  <c r="C3054" i="1"/>
  <c r="L3053" i="1"/>
  <c r="O3053" i="1" s="1"/>
  <c r="C3053" i="1"/>
  <c r="O3052" i="1"/>
  <c r="L3052" i="1"/>
  <c r="C3052" i="1"/>
  <c r="O3051" i="1"/>
  <c r="L3051" i="1"/>
  <c r="C3051" i="1"/>
  <c r="O3050" i="1"/>
  <c r="L3050" i="1"/>
  <c r="C3050" i="1"/>
  <c r="O3049" i="1"/>
  <c r="L3049" i="1"/>
  <c r="C3049" i="1"/>
  <c r="L3048" i="1"/>
  <c r="O3048" i="1" s="1"/>
  <c r="C3048" i="1"/>
  <c r="O3047" i="1"/>
  <c r="L3047" i="1"/>
  <c r="C3047" i="1"/>
  <c r="L3046" i="1"/>
  <c r="O3046" i="1" s="1"/>
  <c r="C3046" i="1"/>
  <c r="L3045" i="1"/>
  <c r="O3045" i="1" s="1"/>
  <c r="C3045" i="1"/>
  <c r="L3044" i="1"/>
  <c r="O3044" i="1" s="1"/>
  <c r="C3044" i="1"/>
  <c r="L3043" i="1"/>
  <c r="O3043" i="1" s="1"/>
  <c r="C3043" i="1"/>
  <c r="L3042" i="1"/>
  <c r="O3042" i="1" s="1"/>
  <c r="C3042" i="1"/>
  <c r="O3041" i="1"/>
  <c r="L3041" i="1"/>
  <c r="C3041" i="1"/>
  <c r="O3040" i="1"/>
  <c r="L3040" i="1"/>
  <c r="C3040" i="1"/>
  <c r="O3039" i="1"/>
  <c r="L3039" i="1"/>
  <c r="C3039" i="1"/>
  <c r="O3038" i="1"/>
  <c r="L3038" i="1"/>
  <c r="C3038" i="1"/>
  <c r="L3037" i="1"/>
  <c r="O3037" i="1" s="1"/>
  <c r="C3037" i="1"/>
  <c r="O3036" i="1"/>
  <c r="L3036" i="1"/>
  <c r="C3036" i="1"/>
  <c r="L3035" i="1"/>
  <c r="O3035" i="1" s="1"/>
  <c r="C3035" i="1"/>
  <c r="L3034" i="1"/>
  <c r="O3034" i="1" s="1"/>
  <c r="C3034" i="1"/>
  <c r="L3033" i="1"/>
  <c r="O3033" i="1" s="1"/>
  <c r="C3033" i="1"/>
  <c r="O3032" i="1"/>
  <c r="L3032" i="1"/>
  <c r="C3032" i="1"/>
  <c r="O3031" i="1"/>
  <c r="L3031" i="1"/>
  <c r="C3031" i="1"/>
  <c r="O3030" i="1"/>
  <c r="L3030" i="1"/>
  <c r="C3030" i="1"/>
  <c r="L3029" i="1"/>
  <c r="O3029" i="1" s="1"/>
  <c r="C3029" i="1"/>
  <c r="L3028" i="1"/>
  <c r="O3028" i="1" s="1"/>
  <c r="C3028" i="1"/>
  <c r="L3027" i="1"/>
  <c r="O3027" i="1" s="1"/>
  <c r="C3027" i="1"/>
  <c r="L3026" i="1"/>
  <c r="O3026" i="1" s="1"/>
  <c r="C3026" i="1"/>
  <c r="O3025" i="1"/>
  <c r="L3025" i="1"/>
  <c r="C3025" i="1"/>
  <c r="O3024" i="1"/>
  <c r="L3024" i="1"/>
  <c r="C3024" i="1"/>
  <c r="O3023" i="1"/>
  <c r="L3023" i="1"/>
  <c r="C3023" i="1"/>
  <c r="O3022" i="1"/>
  <c r="L3022" i="1"/>
  <c r="C3022" i="1"/>
  <c r="L3021" i="1"/>
  <c r="O3021" i="1" s="1"/>
  <c r="C3021" i="1"/>
  <c r="O3020" i="1"/>
  <c r="L3020" i="1"/>
  <c r="C3020" i="1"/>
  <c r="L3019" i="1"/>
  <c r="O3019" i="1" s="1"/>
  <c r="C3019" i="1"/>
  <c r="L3018" i="1"/>
  <c r="O3018" i="1" s="1"/>
  <c r="C3018" i="1"/>
  <c r="L3017" i="1"/>
  <c r="O3017" i="1" s="1"/>
  <c r="C3017" i="1"/>
  <c r="O3016" i="1"/>
  <c r="L3016" i="1"/>
  <c r="C3016" i="1"/>
  <c r="L3015" i="1"/>
  <c r="O3015" i="1" s="1"/>
  <c r="C3015" i="1"/>
  <c r="O3014" i="1"/>
  <c r="L3014" i="1"/>
  <c r="C3014" i="1"/>
  <c r="L3013" i="1"/>
  <c r="O3013" i="1" s="1"/>
  <c r="C3013" i="1"/>
  <c r="L3012" i="1"/>
  <c r="O3012" i="1" s="1"/>
  <c r="C3012" i="1"/>
  <c r="L3011" i="1"/>
  <c r="O3011" i="1" s="1"/>
  <c r="C3011" i="1"/>
  <c r="O3010" i="1"/>
  <c r="L3010" i="1"/>
  <c r="C3010" i="1"/>
  <c r="O3009" i="1"/>
  <c r="L3009" i="1"/>
  <c r="C3009" i="1"/>
  <c r="O3008" i="1"/>
  <c r="L3008" i="1"/>
  <c r="C3008" i="1"/>
  <c r="O3007" i="1"/>
  <c r="L3007" i="1"/>
  <c r="C3007" i="1"/>
  <c r="O3006" i="1"/>
  <c r="L3006" i="1"/>
  <c r="C3006" i="1"/>
  <c r="L3005" i="1"/>
  <c r="O3005" i="1" s="1"/>
  <c r="C3005" i="1"/>
  <c r="O3004" i="1"/>
  <c r="L3004" i="1"/>
  <c r="C3004" i="1"/>
  <c r="L3003" i="1"/>
  <c r="O3003" i="1" s="1"/>
  <c r="C3003" i="1"/>
  <c r="L3002" i="1"/>
  <c r="O3002" i="1" s="1"/>
  <c r="C3002" i="1"/>
  <c r="L3001" i="1"/>
  <c r="O3001" i="1" s="1"/>
  <c r="C3001" i="1"/>
  <c r="O3000" i="1"/>
  <c r="L3000" i="1"/>
  <c r="C3000" i="1"/>
  <c r="L2999" i="1"/>
  <c r="O2999" i="1" s="1"/>
  <c r="C2999" i="1"/>
  <c r="O2998" i="1"/>
  <c r="L2998" i="1"/>
  <c r="C2998" i="1"/>
  <c r="L2997" i="1"/>
  <c r="O2997" i="1" s="1"/>
  <c r="C2997" i="1"/>
  <c r="L2996" i="1"/>
  <c r="O2996" i="1" s="1"/>
  <c r="C2996" i="1"/>
  <c r="O2995" i="1"/>
  <c r="L2995" i="1"/>
  <c r="C2995" i="1"/>
  <c r="O2994" i="1"/>
  <c r="L2994" i="1"/>
  <c r="C2994" i="1"/>
  <c r="O2993" i="1"/>
  <c r="L2993" i="1"/>
  <c r="C2993" i="1"/>
  <c r="O2992" i="1"/>
  <c r="L2992" i="1"/>
  <c r="C2992" i="1"/>
  <c r="O2991" i="1"/>
  <c r="L2991" i="1"/>
  <c r="C2991" i="1"/>
  <c r="O2990" i="1"/>
  <c r="L2990" i="1"/>
  <c r="C2990" i="1"/>
  <c r="O2989" i="1"/>
  <c r="L2989" i="1"/>
  <c r="C2989" i="1"/>
  <c r="O2988" i="1"/>
  <c r="L2988" i="1"/>
  <c r="C2988" i="1"/>
  <c r="L2987" i="1"/>
  <c r="O2987" i="1" s="1"/>
  <c r="C2987" i="1"/>
  <c r="L2986" i="1"/>
  <c r="O2986" i="1" s="1"/>
  <c r="C2986" i="1"/>
  <c r="L2985" i="1"/>
  <c r="O2985" i="1" s="1"/>
  <c r="C2985" i="1"/>
  <c r="O2984" i="1"/>
  <c r="L2984" i="1"/>
  <c r="C2984" i="1"/>
  <c r="O2983" i="1"/>
  <c r="L2983" i="1"/>
  <c r="C2983" i="1"/>
  <c r="O2982" i="1"/>
  <c r="L2982" i="1"/>
  <c r="C2982" i="1"/>
  <c r="L2981" i="1"/>
  <c r="O2981" i="1" s="1"/>
  <c r="C2981" i="1"/>
  <c r="L2980" i="1"/>
  <c r="O2980" i="1" s="1"/>
  <c r="C2980" i="1"/>
  <c r="L2979" i="1"/>
  <c r="O2979" i="1" s="1"/>
  <c r="C2979" i="1"/>
  <c r="L2978" i="1"/>
  <c r="O2978" i="1" s="1"/>
  <c r="C2978" i="1"/>
  <c r="O2977" i="1"/>
  <c r="L2977" i="1"/>
  <c r="C2977" i="1"/>
  <c r="O2976" i="1"/>
  <c r="L2976" i="1"/>
  <c r="C2976" i="1"/>
  <c r="O2975" i="1"/>
  <c r="L2975" i="1"/>
  <c r="C2975" i="1"/>
  <c r="L2974" i="1"/>
  <c r="O2974" i="1" s="1"/>
  <c r="C2974" i="1"/>
  <c r="L2973" i="1"/>
  <c r="O2973" i="1" s="1"/>
  <c r="C2973" i="1"/>
  <c r="O2972" i="1"/>
  <c r="L2972" i="1"/>
  <c r="C2972" i="1"/>
  <c r="L2971" i="1"/>
  <c r="O2971" i="1" s="1"/>
  <c r="C2971" i="1"/>
  <c r="L2970" i="1"/>
  <c r="O2970" i="1" s="1"/>
  <c r="C2970" i="1"/>
  <c r="L2969" i="1"/>
  <c r="O2969" i="1" s="1"/>
  <c r="C2969" i="1"/>
  <c r="L2968" i="1"/>
  <c r="O2968" i="1" s="1"/>
  <c r="C2968" i="1"/>
  <c r="L2967" i="1"/>
  <c r="O2967" i="1" s="1"/>
  <c r="C2967" i="1"/>
  <c r="O2966" i="1"/>
  <c r="L2966" i="1"/>
  <c r="C2966" i="1"/>
  <c r="L2965" i="1"/>
  <c r="O2965" i="1" s="1"/>
  <c r="C2965" i="1"/>
  <c r="L2964" i="1"/>
  <c r="O2964" i="1" s="1"/>
  <c r="C2964" i="1"/>
  <c r="L2963" i="1"/>
  <c r="O2963" i="1" s="1"/>
  <c r="C2963" i="1"/>
  <c r="L2962" i="1"/>
  <c r="O2962" i="1" s="1"/>
  <c r="C2962" i="1"/>
  <c r="O2961" i="1"/>
  <c r="L2961" i="1"/>
  <c r="C2961" i="1"/>
  <c r="O2960" i="1"/>
  <c r="L2960" i="1"/>
  <c r="C2960" i="1"/>
  <c r="O2959" i="1"/>
  <c r="L2959" i="1"/>
  <c r="C2959" i="1"/>
  <c r="O2958" i="1"/>
  <c r="L2958" i="1"/>
  <c r="C2958" i="1"/>
  <c r="L2957" i="1"/>
  <c r="O2957" i="1" s="1"/>
  <c r="C2957" i="1"/>
  <c r="O2956" i="1"/>
  <c r="L2956" i="1"/>
  <c r="C2956" i="1"/>
  <c r="L2955" i="1"/>
  <c r="O2955" i="1" s="1"/>
  <c r="C2955" i="1"/>
  <c r="L2954" i="1"/>
  <c r="O2954" i="1" s="1"/>
  <c r="C2954" i="1"/>
  <c r="L2953" i="1"/>
  <c r="O2953" i="1" s="1"/>
  <c r="C2953" i="1"/>
  <c r="O2952" i="1"/>
  <c r="L2952" i="1"/>
  <c r="C2952" i="1"/>
  <c r="L2951" i="1"/>
  <c r="O2951" i="1" s="1"/>
  <c r="C2951" i="1"/>
  <c r="O2950" i="1"/>
  <c r="L2950" i="1"/>
  <c r="C2950" i="1"/>
  <c r="L2949" i="1"/>
  <c r="O2949" i="1" s="1"/>
  <c r="C2949" i="1"/>
  <c r="L2948" i="1"/>
  <c r="O2948" i="1" s="1"/>
  <c r="C2948" i="1"/>
  <c r="L2947" i="1"/>
  <c r="O2947" i="1" s="1"/>
  <c r="C2947" i="1"/>
  <c r="O2946" i="1"/>
  <c r="L2946" i="1"/>
  <c r="C2946" i="1"/>
  <c r="O2945" i="1"/>
  <c r="L2945" i="1"/>
  <c r="C2945" i="1"/>
  <c r="O2944" i="1"/>
  <c r="L2944" i="1"/>
  <c r="C2944" i="1"/>
  <c r="O2943" i="1"/>
  <c r="L2943" i="1"/>
  <c r="C2943" i="1"/>
  <c r="O2942" i="1"/>
  <c r="L2942" i="1"/>
  <c r="C2942" i="1"/>
  <c r="L2941" i="1"/>
  <c r="O2941" i="1" s="1"/>
  <c r="C2941" i="1"/>
  <c r="O2940" i="1"/>
  <c r="L2940" i="1"/>
  <c r="C2940" i="1"/>
  <c r="L2939" i="1"/>
  <c r="O2939" i="1" s="1"/>
  <c r="C2939" i="1"/>
  <c r="L2938" i="1"/>
  <c r="O2938" i="1" s="1"/>
  <c r="C2938" i="1"/>
  <c r="L2937" i="1"/>
  <c r="O2937" i="1" s="1"/>
  <c r="C2937" i="1"/>
  <c r="O2936" i="1"/>
  <c r="L2936" i="1"/>
  <c r="C2936" i="1"/>
  <c r="L2935" i="1"/>
  <c r="O2935" i="1" s="1"/>
  <c r="C2935" i="1"/>
  <c r="O2934" i="1"/>
  <c r="L2934" i="1"/>
  <c r="C2934" i="1"/>
  <c r="L2933" i="1"/>
  <c r="O2933" i="1" s="1"/>
  <c r="C2933" i="1"/>
  <c r="L2932" i="1"/>
  <c r="O2932" i="1" s="1"/>
  <c r="C2932" i="1"/>
  <c r="L2931" i="1"/>
  <c r="O2931" i="1" s="1"/>
  <c r="C2931" i="1"/>
  <c r="O2930" i="1"/>
  <c r="L2930" i="1"/>
  <c r="C2930" i="1"/>
  <c r="O2929" i="1"/>
  <c r="L2929" i="1"/>
  <c r="C2929" i="1"/>
  <c r="O2928" i="1"/>
  <c r="L2928" i="1"/>
  <c r="C2928" i="1"/>
  <c r="O2927" i="1"/>
  <c r="L2927" i="1"/>
  <c r="C2927" i="1"/>
  <c r="L2926" i="1"/>
  <c r="O2926" i="1" s="1"/>
  <c r="C2926" i="1"/>
  <c r="O2925" i="1"/>
  <c r="L2925" i="1"/>
  <c r="C2925" i="1"/>
  <c r="O2924" i="1"/>
  <c r="L2924" i="1"/>
  <c r="C2924" i="1"/>
  <c r="L2923" i="1"/>
  <c r="O2923" i="1" s="1"/>
  <c r="C2923" i="1"/>
  <c r="L2922" i="1"/>
  <c r="O2922" i="1" s="1"/>
  <c r="C2922" i="1"/>
  <c r="O2921" i="1"/>
  <c r="L2921" i="1"/>
  <c r="C2921" i="1"/>
  <c r="L2920" i="1"/>
  <c r="O2920" i="1" s="1"/>
  <c r="C2920" i="1"/>
  <c r="O2919" i="1"/>
  <c r="L2919" i="1"/>
  <c r="C2919" i="1"/>
  <c r="O2918" i="1"/>
  <c r="L2918" i="1"/>
  <c r="C2918" i="1"/>
  <c r="L2917" i="1"/>
  <c r="O2917" i="1" s="1"/>
  <c r="C2917" i="1"/>
  <c r="L2916" i="1"/>
  <c r="O2916" i="1" s="1"/>
  <c r="C2916" i="1"/>
  <c r="O2915" i="1"/>
  <c r="L2915" i="1"/>
  <c r="C2915" i="1"/>
  <c r="L2914" i="1"/>
  <c r="O2914" i="1" s="1"/>
  <c r="C2914" i="1"/>
  <c r="O2913" i="1"/>
  <c r="L2913" i="1"/>
  <c r="C2913" i="1"/>
  <c r="O2912" i="1"/>
  <c r="L2912" i="1"/>
  <c r="C2912" i="1"/>
  <c r="O2911" i="1"/>
  <c r="L2911" i="1"/>
  <c r="C2911" i="1"/>
  <c r="O2910" i="1"/>
  <c r="L2910" i="1"/>
  <c r="C2910" i="1"/>
  <c r="L2909" i="1"/>
  <c r="O2909" i="1" s="1"/>
  <c r="C2909" i="1"/>
  <c r="O2908" i="1"/>
  <c r="L2908" i="1"/>
  <c r="C2908" i="1"/>
  <c r="L2907" i="1"/>
  <c r="O2907" i="1" s="1"/>
  <c r="C2907" i="1"/>
  <c r="L2906" i="1"/>
  <c r="O2906" i="1" s="1"/>
  <c r="C2906" i="1"/>
  <c r="L2905" i="1"/>
  <c r="O2905" i="1" s="1"/>
  <c r="C2905" i="1"/>
  <c r="O2904" i="1"/>
  <c r="L2904" i="1"/>
  <c r="C2904" i="1"/>
  <c r="O2903" i="1"/>
  <c r="L2903" i="1"/>
  <c r="C2903" i="1"/>
  <c r="O2902" i="1"/>
  <c r="L2902" i="1"/>
  <c r="C2902" i="1"/>
  <c r="L2901" i="1"/>
  <c r="O2901" i="1" s="1"/>
  <c r="C2901" i="1"/>
  <c r="L2900" i="1"/>
  <c r="O2900" i="1" s="1"/>
  <c r="C2900" i="1"/>
  <c r="L2899" i="1"/>
  <c r="O2899" i="1" s="1"/>
  <c r="C2899" i="1"/>
  <c r="L2898" i="1"/>
  <c r="O2898" i="1" s="1"/>
  <c r="C2898" i="1"/>
  <c r="O2897" i="1"/>
  <c r="L2897" i="1"/>
  <c r="C2897" i="1"/>
  <c r="O2896" i="1"/>
  <c r="L2896" i="1"/>
  <c r="C2896" i="1"/>
  <c r="O2895" i="1"/>
  <c r="L2895" i="1"/>
  <c r="C2895" i="1"/>
  <c r="O2894" i="1"/>
  <c r="L2894" i="1"/>
  <c r="C2894" i="1"/>
  <c r="L2893" i="1"/>
  <c r="O2893" i="1" s="1"/>
  <c r="C2893" i="1"/>
  <c r="O2892" i="1"/>
  <c r="L2892" i="1"/>
  <c r="C2892" i="1"/>
  <c r="L2891" i="1"/>
  <c r="O2891" i="1" s="1"/>
  <c r="C2891" i="1"/>
  <c r="L2890" i="1"/>
  <c r="O2890" i="1" s="1"/>
  <c r="C2890" i="1"/>
  <c r="L2889" i="1"/>
  <c r="O2889" i="1" s="1"/>
  <c r="C2889" i="1"/>
  <c r="O2888" i="1"/>
  <c r="L2888" i="1"/>
  <c r="C2888" i="1"/>
  <c r="L2887" i="1"/>
  <c r="O2887" i="1" s="1"/>
  <c r="C2887" i="1"/>
  <c r="O2886" i="1"/>
  <c r="L2886" i="1"/>
  <c r="C2886" i="1"/>
  <c r="L2885" i="1"/>
  <c r="O2885" i="1" s="1"/>
  <c r="C2885" i="1"/>
  <c r="L2884" i="1"/>
  <c r="O2884" i="1" s="1"/>
  <c r="C2884" i="1"/>
  <c r="L2883" i="1"/>
  <c r="O2883" i="1" s="1"/>
  <c r="C2883" i="1"/>
  <c r="O2882" i="1"/>
  <c r="L2882" i="1"/>
  <c r="C2882" i="1"/>
  <c r="O2881" i="1"/>
  <c r="L2881" i="1"/>
  <c r="C2881" i="1"/>
  <c r="O2880" i="1"/>
  <c r="L2880" i="1"/>
  <c r="C2880" i="1"/>
  <c r="O2879" i="1"/>
  <c r="L2879" i="1"/>
  <c r="C2879" i="1"/>
  <c r="O2878" i="1"/>
  <c r="L2878" i="1"/>
  <c r="C2878" i="1"/>
  <c r="L2877" i="1"/>
  <c r="O2877" i="1" s="1"/>
  <c r="C2877" i="1"/>
  <c r="O2876" i="1"/>
  <c r="L2876" i="1"/>
  <c r="C2876" i="1"/>
  <c r="L2875" i="1"/>
  <c r="O2875" i="1" s="1"/>
  <c r="C2875" i="1"/>
  <c r="L2874" i="1"/>
  <c r="O2874" i="1" s="1"/>
  <c r="C2874" i="1"/>
  <c r="L2873" i="1"/>
  <c r="O2873" i="1" s="1"/>
  <c r="C2873" i="1"/>
  <c r="O2872" i="1"/>
  <c r="L2872" i="1"/>
  <c r="C2872" i="1"/>
  <c r="L2871" i="1"/>
  <c r="O2871" i="1" s="1"/>
  <c r="C2871" i="1"/>
  <c r="O2870" i="1"/>
  <c r="L2870" i="1"/>
  <c r="C2870" i="1"/>
  <c r="L2869" i="1"/>
  <c r="O2869" i="1" s="1"/>
  <c r="C2869" i="1"/>
  <c r="L2868" i="1"/>
  <c r="O2868" i="1" s="1"/>
  <c r="C2868" i="1"/>
  <c r="O2867" i="1"/>
  <c r="L2867" i="1"/>
  <c r="C2867" i="1"/>
  <c r="O2866" i="1"/>
  <c r="L2866" i="1"/>
  <c r="C2866" i="1"/>
  <c r="O2865" i="1"/>
  <c r="L2865" i="1"/>
  <c r="C2865" i="1"/>
  <c r="O2864" i="1"/>
  <c r="L2864" i="1"/>
  <c r="C2864" i="1"/>
  <c r="O2863" i="1"/>
  <c r="L2863" i="1"/>
  <c r="C2863" i="1"/>
  <c r="L2862" i="1"/>
  <c r="O2862" i="1" s="1"/>
  <c r="C2862" i="1"/>
  <c r="O2861" i="1"/>
  <c r="L2861" i="1"/>
  <c r="C2861" i="1"/>
  <c r="O2860" i="1"/>
  <c r="L2860" i="1"/>
  <c r="C2860" i="1"/>
  <c r="L2859" i="1"/>
  <c r="O2859" i="1" s="1"/>
  <c r="C2859" i="1"/>
  <c r="L2858" i="1"/>
  <c r="O2858" i="1" s="1"/>
  <c r="C2858" i="1"/>
  <c r="O2857" i="1"/>
  <c r="L2857" i="1"/>
  <c r="C2857" i="1"/>
  <c r="L2856" i="1"/>
  <c r="O2856" i="1" s="1"/>
  <c r="C2856" i="1"/>
  <c r="O2855" i="1"/>
  <c r="L2855" i="1"/>
  <c r="C2855" i="1"/>
  <c r="O2854" i="1"/>
  <c r="L2854" i="1"/>
  <c r="C2854" i="1"/>
  <c r="L2853" i="1"/>
  <c r="O2853" i="1" s="1"/>
  <c r="C2853" i="1"/>
  <c r="L2852" i="1"/>
  <c r="O2852" i="1" s="1"/>
  <c r="C2852" i="1"/>
  <c r="O2851" i="1"/>
  <c r="L2851" i="1"/>
  <c r="C2851" i="1"/>
  <c r="L2850" i="1"/>
  <c r="O2850" i="1" s="1"/>
  <c r="C2850" i="1"/>
  <c r="O2849" i="1"/>
  <c r="L2849" i="1"/>
  <c r="C2849" i="1"/>
  <c r="O2848" i="1"/>
  <c r="L2848" i="1"/>
  <c r="C2848" i="1"/>
  <c r="O2847" i="1"/>
  <c r="L2847" i="1"/>
  <c r="C2847" i="1"/>
  <c r="O2846" i="1"/>
  <c r="L2846" i="1"/>
  <c r="C2846" i="1"/>
  <c r="O2845" i="1"/>
  <c r="L2845" i="1"/>
  <c r="C2845" i="1"/>
  <c r="O2844" i="1"/>
  <c r="L2844" i="1"/>
  <c r="C2844" i="1"/>
  <c r="L2843" i="1"/>
  <c r="O2843" i="1" s="1"/>
  <c r="C2843" i="1"/>
  <c r="L2842" i="1"/>
  <c r="O2842" i="1" s="1"/>
  <c r="C2842" i="1"/>
  <c r="L2841" i="1"/>
  <c r="O2841" i="1" s="1"/>
  <c r="C2841" i="1"/>
  <c r="L2840" i="1"/>
  <c r="O2840" i="1" s="1"/>
  <c r="C2840" i="1"/>
  <c r="L2839" i="1"/>
  <c r="O2839" i="1" s="1"/>
  <c r="C2839" i="1"/>
  <c r="O2838" i="1"/>
  <c r="L2838" i="1"/>
  <c r="C2838" i="1"/>
  <c r="L2837" i="1"/>
  <c r="O2837" i="1" s="1"/>
  <c r="C2837" i="1"/>
  <c r="L2836" i="1"/>
  <c r="O2836" i="1" s="1"/>
  <c r="C2836" i="1"/>
  <c r="L2835" i="1"/>
  <c r="O2835" i="1" s="1"/>
  <c r="C2835" i="1"/>
  <c r="L2834" i="1"/>
  <c r="O2834" i="1" s="1"/>
  <c r="C2834" i="1"/>
  <c r="O2833" i="1"/>
  <c r="L2833" i="1"/>
  <c r="C2833" i="1"/>
  <c r="O2832" i="1"/>
  <c r="L2832" i="1"/>
  <c r="C2832" i="1"/>
  <c r="O2831" i="1"/>
  <c r="L2831" i="1"/>
  <c r="C2831" i="1"/>
  <c r="O2830" i="1"/>
  <c r="L2830" i="1"/>
  <c r="C2830" i="1"/>
  <c r="L2829" i="1"/>
  <c r="O2829" i="1" s="1"/>
  <c r="C2829" i="1"/>
  <c r="O2828" i="1"/>
  <c r="L2828" i="1"/>
  <c r="C2828" i="1"/>
  <c r="L2827" i="1"/>
  <c r="O2827" i="1" s="1"/>
  <c r="C2827" i="1"/>
  <c r="L2826" i="1"/>
  <c r="O2826" i="1" s="1"/>
  <c r="C2826" i="1"/>
  <c r="L2825" i="1"/>
  <c r="O2825" i="1" s="1"/>
  <c r="C2825" i="1"/>
  <c r="O2824" i="1"/>
  <c r="L2824" i="1"/>
  <c r="C2824" i="1"/>
  <c r="L2823" i="1"/>
  <c r="O2823" i="1" s="1"/>
  <c r="C2823" i="1"/>
  <c r="O2822" i="1"/>
  <c r="L2822" i="1"/>
  <c r="C2822" i="1"/>
  <c r="L2821" i="1"/>
  <c r="O2821" i="1" s="1"/>
  <c r="C2821" i="1"/>
  <c r="L2820" i="1"/>
  <c r="O2820" i="1" s="1"/>
  <c r="C2820" i="1"/>
  <c r="L2819" i="1"/>
  <c r="O2819" i="1" s="1"/>
  <c r="C2819" i="1"/>
  <c r="O2818" i="1"/>
  <c r="L2818" i="1"/>
  <c r="C2818" i="1"/>
  <c r="O2817" i="1"/>
  <c r="L2817" i="1"/>
  <c r="C2817" i="1"/>
  <c r="O2816" i="1"/>
  <c r="L2816" i="1"/>
  <c r="C2816" i="1"/>
  <c r="O2815" i="1"/>
  <c r="L2815" i="1"/>
  <c r="C2815" i="1"/>
  <c r="O2814" i="1"/>
  <c r="L2814" i="1"/>
  <c r="C2814" i="1"/>
  <c r="L2813" i="1"/>
  <c r="O2813" i="1" s="1"/>
  <c r="C2813" i="1"/>
  <c r="O2812" i="1"/>
  <c r="L2812" i="1"/>
  <c r="C2812" i="1"/>
  <c r="L2811" i="1"/>
  <c r="O2811" i="1" s="1"/>
  <c r="C2811" i="1"/>
  <c r="L2810" i="1"/>
  <c r="O2810" i="1" s="1"/>
  <c r="C2810" i="1"/>
  <c r="L2809" i="1"/>
  <c r="O2809" i="1" s="1"/>
  <c r="C2809" i="1"/>
  <c r="O2808" i="1"/>
  <c r="L2808" i="1"/>
  <c r="C2808" i="1"/>
  <c r="L2807" i="1"/>
  <c r="O2807" i="1" s="1"/>
  <c r="C2807" i="1"/>
  <c r="O2806" i="1"/>
  <c r="L2806" i="1"/>
  <c r="C2806" i="1"/>
  <c r="L2805" i="1"/>
  <c r="O2805" i="1" s="1"/>
  <c r="C2805" i="1"/>
  <c r="L2804" i="1"/>
  <c r="O2804" i="1" s="1"/>
  <c r="C2804" i="1"/>
  <c r="L2803" i="1"/>
  <c r="O2803" i="1" s="1"/>
  <c r="C2803" i="1"/>
  <c r="O2802" i="1"/>
  <c r="L2802" i="1"/>
  <c r="C2802" i="1"/>
  <c r="O2801" i="1"/>
  <c r="L2801" i="1"/>
  <c r="C2801" i="1"/>
  <c r="O2800" i="1"/>
  <c r="L2800" i="1"/>
  <c r="C2800" i="1"/>
  <c r="O2799" i="1"/>
  <c r="L2799" i="1"/>
  <c r="C2799" i="1"/>
  <c r="L2798" i="1"/>
  <c r="O2798" i="1" s="1"/>
  <c r="C2798" i="1"/>
  <c r="O2797" i="1"/>
  <c r="L2797" i="1"/>
  <c r="C2797" i="1"/>
  <c r="O2796" i="1"/>
  <c r="L2796" i="1"/>
  <c r="C2796" i="1"/>
  <c r="L2795" i="1"/>
  <c r="O2795" i="1" s="1"/>
  <c r="C2795" i="1"/>
  <c r="L2794" i="1"/>
  <c r="O2794" i="1" s="1"/>
  <c r="C2794" i="1"/>
  <c r="O2793" i="1"/>
  <c r="L2793" i="1"/>
  <c r="C2793" i="1"/>
  <c r="L2792" i="1"/>
  <c r="O2792" i="1" s="1"/>
  <c r="C2792" i="1"/>
  <c r="O2791" i="1"/>
  <c r="L2791" i="1"/>
  <c r="C2791" i="1"/>
  <c r="O2790" i="1"/>
  <c r="L2790" i="1"/>
  <c r="C2790" i="1"/>
  <c r="L2789" i="1"/>
  <c r="O2789" i="1" s="1"/>
  <c r="C2789" i="1"/>
  <c r="L2788" i="1"/>
  <c r="O2788" i="1" s="1"/>
  <c r="C2788" i="1"/>
  <c r="O2787" i="1"/>
  <c r="L2787" i="1"/>
  <c r="C2787" i="1"/>
  <c r="L2786" i="1"/>
  <c r="O2786" i="1" s="1"/>
  <c r="C2786" i="1"/>
  <c r="O2785" i="1"/>
  <c r="L2785" i="1"/>
  <c r="C2785" i="1"/>
  <c r="O2784" i="1"/>
  <c r="L2784" i="1"/>
  <c r="C2784" i="1"/>
  <c r="O2783" i="1"/>
  <c r="L2783" i="1"/>
  <c r="C2783" i="1"/>
  <c r="O2782" i="1"/>
  <c r="L2782" i="1"/>
  <c r="C2782" i="1"/>
  <c r="O2781" i="1"/>
  <c r="L2781" i="1"/>
  <c r="C2781" i="1"/>
  <c r="L2780" i="1"/>
  <c r="O2780" i="1" s="1"/>
  <c r="C2780" i="1"/>
  <c r="L2779" i="1"/>
  <c r="O2779" i="1" s="1"/>
  <c r="C2779" i="1"/>
  <c r="L2778" i="1"/>
  <c r="O2778" i="1" s="1"/>
  <c r="C2778" i="1"/>
  <c r="L2777" i="1"/>
  <c r="O2777" i="1" s="1"/>
  <c r="C2777" i="1"/>
  <c r="O2776" i="1"/>
  <c r="L2776" i="1"/>
  <c r="C2776" i="1"/>
  <c r="O2775" i="1"/>
  <c r="L2775" i="1"/>
  <c r="C2775" i="1"/>
  <c r="O2774" i="1"/>
  <c r="L2774" i="1"/>
  <c r="C2774" i="1"/>
  <c r="L2773" i="1"/>
  <c r="O2773" i="1" s="1"/>
  <c r="C2773" i="1"/>
  <c r="L2772" i="1"/>
  <c r="O2772" i="1" s="1"/>
  <c r="C2772" i="1"/>
  <c r="L2771" i="1"/>
  <c r="O2771" i="1" s="1"/>
  <c r="C2771" i="1"/>
  <c r="L2770" i="1"/>
  <c r="O2770" i="1" s="1"/>
  <c r="C2770" i="1"/>
  <c r="O2769" i="1"/>
  <c r="L2769" i="1"/>
  <c r="C2769" i="1"/>
  <c r="O2768" i="1"/>
  <c r="L2768" i="1"/>
  <c r="C2768" i="1"/>
  <c r="O2767" i="1"/>
  <c r="L2767" i="1"/>
  <c r="C2767" i="1"/>
  <c r="O2766" i="1"/>
  <c r="L2766" i="1"/>
  <c r="C2766" i="1"/>
  <c r="L2765" i="1"/>
  <c r="O2765" i="1" s="1"/>
  <c r="C2765" i="1"/>
  <c r="O2764" i="1"/>
  <c r="L2764" i="1"/>
  <c r="C2764" i="1"/>
  <c r="L2763" i="1"/>
  <c r="O2763" i="1" s="1"/>
  <c r="C2763" i="1"/>
  <c r="L2762" i="1"/>
  <c r="O2762" i="1" s="1"/>
  <c r="C2762" i="1"/>
  <c r="L2761" i="1"/>
  <c r="O2761" i="1" s="1"/>
  <c r="C2761" i="1"/>
  <c r="O2760" i="1"/>
  <c r="L2760" i="1"/>
  <c r="C2760" i="1"/>
  <c r="L2759" i="1"/>
  <c r="O2759" i="1" s="1"/>
  <c r="C2759" i="1"/>
  <c r="O2758" i="1"/>
  <c r="L2758" i="1"/>
  <c r="C2758" i="1"/>
  <c r="L2757" i="1"/>
  <c r="O2757" i="1" s="1"/>
  <c r="C2757" i="1"/>
  <c r="L2756" i="1"/>
  <c r="O2756" i="1" s="1"/>
  <c r="C2756" i="1"/>
  <c r="L2755" i="1"/>
  <c r="O2755" i="1" s="1"/>
  <c r="C2755" i="1"/>
  <c r="O2754" i="1"/>
  <c r="L2754" i="1"/>
  <c r="C2754" i="1"/>
  <c r="O2753" i="1"/>
  <c r="L2753" i="1"/>
  <c r="C2753" i="1"/>
  <c r="O2752" i="1"/>
  <c r="L2752" i="1"/>
  <c r="C2752" i="1"/>
  <c r="O2751" i="1"/>
  <c r="L2751" i="1"/>
  <c r="C2751" i="1"/>
  <c r="O2750" i="1"/>
  <c r="L2750" i="1"/>
  <c r="C2750" i="1"/>
  <c r="L2749" i="1"/>
  <c r="O2749" i="1" s="1"/>
  <c r="C2749" i="1"/>
  <c r="L2748" i="1"/>
  <c r="O2748" i="1" s="1"/>
  <c r="C2748" i="1"/>
  <c r="L2747" i="1"/>
  <c r="O2747" i="1" s="1"/>
  <c r="C2747" i="1"/>
  <c r="L2746" i="1"/>
  <c r="O2746" i="1" s="1"/>
  <c r="C2746" i="1"/>
  <c r="L2745" i="1"/>
  <c r="O2745" i="1" s="1"/>
  <c r="C2745" i="1"/>
  <c r="O2744" i="1"/>
  <c r="L2744" i="1"/>
  <c r="C2744" i="1"/>
  <c r="L2743" i="1"/>
  <c r="O2743" i="1" s="1"/>
  <c r="C2743" i="1"/>
  <c r="O2742" i="1"/>
  <c r="L2742" i="1"/>
  <c r="C2742" i="1"/>
  <c r="L2741" i="1"/>
  <c r="O2741" i="1" s="1"/>
  <c r="C2741" i="1"/>
  <c r="L2740" i="1"/>
  <c r="O2740" i="1" s="1"/>
  <c r="C2740" i="1"/>
  <c r="L2739" i="1"/>
  <c r="O2739" i="1" s="1"/>
  <c r="C2739" i="1"/>
  <c r="O2738" i="1"/>
  <c r="L2738" i="1"/>
  <c r="C2738" i="1"/>
  <c r="O2737" i="1"/>
  <c r="L2737" i="1"/>
  <c r="C2737" i="1"/>
  <c r="O2736" i="1"/>
  <c r="L2736" i="1"/>
  <c r="C2736" i="1"/>
  <c r="O2735" i="1"/>
  <c r="L2735" i="1"/>
  <c r="C2735" i="1"/>
  <c r="O2734" i="1"/>
  <c r="L2734" i="1"/>
  <c r="C2734" i="1"/>
  <c r="O2733" i="1"/>
  <c r="L2733" i="1"/>
  <c r="C2733" i="1"/>
  <c r="O2732" i="1"/>
  <c r="L2732" i="1"/>
  <c r="C2732" i="1"/>
  <c r="L2731" i="1"/>
  <c r="O2731" i="1" s="1"/>
  <c r="C2731" i="1"/>
  <c r="L2730" i="1"/>
  <c r="O2730" i="1" s="1"/>
  <c r="C2730" i="1"/>
  <c r="L2729" i="1"/>
  <c r="O2729" i="1" s="1"/>
  <c r="C2729" i="1"/>
  <c r="O2728" i="1"/>
  <c r="L2728" i="1"/>
  <c r="C2728" i="1"/>
  <c r="O2727" i="1"/>
  <c r="L2727" i="1"/>
  <c r="C2727" i="1"/>
  <c r="O2726" i="1"/>
  <c r="L2726" i="1"/>
  <c r="C2726" i="1"/>
  <c r="L2725" i="1"/>
  <c r="O2725" i="1" s="1"/>
  <c r="C2725" i="1"/>
  <c r="L2724" i="1"/>
  <c r="O2724" i="1" s="1"/>
  <c r="C2724" i="1"/>
  <c r="L2723" i="1"/>
  <c r="O2723" i="1" s="1"/>
  <c r="C2723" i="1"/>
  <c r="O2722" i="1"/>
  <c r="L2722" i="1"/>
  <c r="C2722" i="1"/>
  <c r="O2721" i="1"/>
  <c r="L2721" i="1"/>
  <c r="C2721" i="1"/>
  <c r="O2720" i="1"/>
  <c r="L2720" i="1"/>
  <c r="C2720" i="1"/>
  <c r="O2719" i="1"/>
  <c r="L2719" i="1"/>
  <c r="C2719" i="1"/>
  <c r="L2718" i="1"/>
  <c r="O2718" i="1" s="1"/>
  <c r="C2718" i="1"/>
  <c r="L2717" i="1"/>
  <c r="O2717" i="1" s="1"/>
  <c r="C2717" i="1"/>
  <c r="L2716" i="1"/>
  <c r="O2716" i="1" s="1"/>
  <c r="C2716" i="1"/>
  <c r="L2715" i="1"/>
  <c r="O2715" i="1" s="1"/>
  <c r="C2715" i="1"/>
  <c r="L2714" i="1"/>
  <c r="O2714" i="1" s="1"/>
  <c r="C2714" i="1"/>
  <c r="L2713" i="1"/>
  <c r="O2713" i="1" s="1"/>
  <c r="C2713" i="1"/>
  <c r="L2712" i="1"/>
  <c r="O2712" i="1" s="1"/>
  <c r="C2712" i="1"/>
  <c r="L2711" i="1"/>
  <c r="O2711" i="1" s="1"/>
  <c r="C2711" i="1"/>
  <c r="O2710" i="1"/>
  <c r="L2710" i="1"/>
  <c r="C2710" i="1"/>
  <c r="L2709" i="1"/>
  <c r="O2709" i="1" s="1"/>
  <c r="C2709" i="1"/>
  <c r="L2708" i="1"/>
  <c r="O2708" i="1" s="1"/>
  <c r="C2708" i="1"/>
  <c r="L2707" i="1"/>
  <c r="O2707" i="1" s="1"/>
  <c r="C2707" i="1"/>
  <c r="L2706" i="1"/>
  <c r="O2706" i="1" s="1"/>
  <c r="C2706" i="1"/>
  <c r="O2705" i="1"/>
  <c r="L2705" i="1"/>
  <c r="C2705" i="1"/>
  <c r="O2704" i="1"/>
  <c r="L2704" i="1"/>
  <c r="C2704" i="1"/>
  <c r="O2703" i="1"/>
  <c r="L2703" i="1"/>
  <c r="C2703" i="1"/>
  <c r="O2702" i="1"/>
  <c r="L2702" i="1"/>
  <c r="C2702" i="1"/>
  <c r="L2701" i="1"/>
  <c r="O2701" i="1" s="1"/>
  <c r="C2701" i="1"/>
  <c r="L2700" i="1"/>
  <c r="O2700" i="1" s="1"/>
  <c r="C2700" i="1"/>
  <c r="L2699" i="1"/>
  <c r="O2699" i="1" s="1"/>
  <c r="C2699" i="1"/>
  <c r="L2698" i="1"/>
  <c r="O2698" i="1" s="1"/>
  <c r="C2698" i="1"/>
  <c r="L2697" i="1"/>
  <c r="O2697" i="1" s="1"/>
  <c r="C2697" i="1"/>
  <c r="O2696" i="1"/>
  <c r="L2696" i="1"/>
  <c r="C2696" i="1"/>
  <c r="L2695" i="1"/>
  <c r="O2695" i="1" s="1"/>
  <c r="C2695" i="1"/>
  <c r="O2694" i="1"/>
  <c r="L2694" i="1"/>
  <c r="C2694" i="1"/>
  <c r="L2693" i="1"/>
  <c r="O2693" i="1" s="1"/>
  <c r="C2693" i="1"/>
  <c r="L2692" i="1"/>
  <c r="O2692" i="1" s="1"/>
  <c r="C2692" i="1"/>
  <c r="L2691" i="1"/>
  <c r="O2691" i="1" s="1"/>
  <c r="C2691" i="1"/>
  <c r="O2690" i="1"/>
  <c r="L2690" i="1"/>
  <c r="C2690" i="1"/>
  <c r="O2689" i="1"/>
  <c r="L2689" i="1"/>
  <c r="C2689" i="1"/>
  <c r="O2688" i="1"/>
  <c r="L2688" i="1"/>
  <c r="C2688" i="1"/>
  <c r="O2687" i="1"/>
  <c r="L2687" i="1"/>
  <c r="C2687" i="1"/>
  <c r="O2686" i="1"/>
  <c r="L2686" i="1"/>
  <c r="C2686" i="1"/>
  <c r="L2685" i="1"/>
  <c r="O2685" i="1" s="1"/>
  <c r="C2685" i="1"/>
  <c r="L2684" i="1"/>
  <c r="O2684" i="1" s="1"/>
  <c r="C2684" i="1"/>
  <c r="L2683" i="1"/>
  <c r="O2683" i="1" s="1"/>
  <c r="C2683" i="1"/>
  <c r="L2682" i="1"/>
  <c r="O2682" i="1" s="1"/>
  <c r="C2682" i="1"/>
  <c r="L2681" i="1"/>
  <c r="O2681" i="1" s="1"/>
  <c r="C2681" i="1"/>
  <c r="O2680" i="1"/>
  <c r="L2680" i="1"/>
  <c r="C2680" i="1"/>
  <c r="L2679" i="1"/>
  <c r="O2679" i="1" s="1"/>
  <c r="C2679" i="1"/>
  <c r="O2678" i="1"/>
  <c r="L2678" i="1"/>
  <c r="C2678" i="1"/>
  <c r="L2677" i="1"/>
  <c r="O2677" i="1" s="1"/>
  <c r="C2677" i="1"/>
  <c r="L2676" i="1"/>
  <c r="O2676" i="1" s="1"/>
  <c r="C2676" i="1"/>
  <c r="O2675" i="1"/>
  <c r="L2675" i="1"/>
  <c r="C2675" i="1"/>
  <c r="O2674" i="1"/>
  <c r="L2674" i="1"/>
  <c r="C2674" i="1"/>
  <c r="L2673" i="1"/>
  <c r="O2673" i="1" s="1"/>
  <c r="C2673" i="1"/>
  <c r="O2672" i="1"/>
  <c r="L2672" i="1"/>
  <c r="C2672" i="1"/>
  <c r="O2671" i="1"/>
  <c r="L2671" i="1"/>
  <c r="C2671" i="1"/>
  <c r="O2670" i="1"/>
  <c r="L2670" i="1"/>
  <c r="C2670" i="1"/>
  <c r="O2669" i="1"/>
  <c r="L2669" i="1"/>
  <c r="C2669" i="1"/>
  <c r="O2668" i="1"/>
  <c r="L2668" i="1"/>
  <c r="C2668" i="1"/>
  <c r="L2667" i="1"/>
  <c r="O2667" i="1" s="1"/>
  <c r="C2667" i="1"/>
  <c r="L2666" i="1"/>
  <c r="O2666" i="1" s="1"/>
  <c r="C2666" i="1"/>
  <c r="O2665" i="1"/>
  <c r="L2665" i="1"/>
  <c r="C2665" i="1"/>
  <c r="O2664" i="1"/>
  <c r="L2664" i="1"/>
  <c r="C2664" i="1"/>
  <c r="O2663" i="1"/>
  <c r="L2663" i="1"/>
  <c r="C2663" i="1"/>
  <c r="O2662" i="1"/>
  <c r="L2662" i="1"/>
  <c r="C2662" i="1"/>
  <c r="L2661" i="1"/>
  <c r="O2661" i="1" s="1"/>
  <c r="C2661" i="1"/>
  <c r="L2660" i="1"/>
  <c r="O2660" i="1" s="1"/>
  <c r="C2660" i="1"/>
  <c r="O2659" i="1"/>
  <c r="L2659" i="1"/>
  <c r="C2659" i="1"/>
  <c r="O2658" i="1"/>
  <c r="L2658" i="1"/>
  <c r="C2658" i="1"/>
  <c r="O2657" i="1"/>
  <c r="L2657" i="1"/>
  <c r="C2657" i="1"/>
  <c r="O2656" i="1"/>
  <c r="L2656" i="1"/>
  <c r="C2656" i="1"/>
  <c r="O2655" i="1"/>
  <c r="L2655" i="1"/>
  <c r="C2655" i="1"/>
  <c r="L2654" i="1"/>
  <c r="O2654" i="1" s="1"/>
  <c r="C2654" i="1"/>
  <c r="O2653" i="1"/>
  <c r="L2653" i="1"/>
  <c r="C2653" i="1"/>
  <c r="O2652" i="1"/>
  <c r="L2652" i="1"/>
  <c r="C2652" i="1"/>
  <c r="L2651" i="1"/>
  <c r="O2651" i="1" s="1"/>
  <c r="C2651" i="1"/>
  <c r="O2650" i="1"/>
  <c r="L2650" i="1"/>
  <c r="C2650" i="1"/>
  <c r="L2649" i="1"/>
  <c r="O2649" i="1" s="1"/>
  <c r="C2649" i="1"/>
  <c r="L2648" i="1"/>
  <c r="O2648" i="1" s="1"/>
  <c r="C2648" i="1"/>
  <c r="O2647" i="1"/>
  <c r="L2647" i="1"/>
  <c r="C2647" i="1"/>
  <c r="O2646" i="1"/>
  <c r="L2646" i="1"/>
  <c r="C2646" i="1"/>
  <c r="L2645" i="1"/>
  <c r="O2645" i="1" s="1"/>
  <c r="C2645" i="1"/>
  <c r="L2644" i="1"/>
  <c r="O2644" i="1" s="1"/>
  <c r="C2644" i="1"/>
  <c r="L2643" i="1"/>
  <c r="O2643" i="1" s="1"/>
  <c r="C2643" i="1"/>
  <c r="L2642" i="1"/>
  <c r="O2642" i="1" s="1"/>
  <c r="C2642" i="1"/>
  <c r="O2641" i="1"/>
  <c r="L2641" i="1"/>
  <c r="C2641" i="1"/>
  <c r="O2640" i="1"/>
  <c r="L2640" i="1"/>
  <c r="C2640" i="1"/>
  <c r="O2639" i="1"/>
  <c r="L2639" i="1"/>
  <c r="C2639" i="1"/>
  <c r="L2638" i="1"/>
  <c r="O2638" i="1" s="1"/>
  <c r="C2638" i="1"/>
  <c r="L2637" i="1"/>
  <c r="O2637" i="1" s="1"/>
  <c r="C2637" i="1"/>
  <c r="L2636" i="1"/>
  <c r="O2636" i="1" s="1"/>
  <c r="C2636" i="1"/>
  <c r="L2635" i="1"/>
  <c r="O2635" i="1" s="1"/>
  <c r="C2635" i="1"/>
  <c r="L2634" i="1"/>
  <c r="O2634" i="1" s="1"/>
  <c r="C2634" i="1"/>
  <c r="O2633" i="1"/>
  <c r="L2633" i="1"/>
  <c r="C2633" i="1"/>
  <c r="L2632" i="1"/>
  <c r="O2632" i="1" s="1"/>
  <c r="C2632" i="1"/>
  <c r="L2631" i="1"/>
  <c r="O2631" i="1" s="1"/>
  <c r="C2631" i="1"/>
  <c r="O2630" i="1"/>
  <c r="L2630" i="1"/>
  <c r="C2630" i="1"/>
  <c r="L2629" i="1"/>
  <c r="O2629" i="1" s="1"/>
  <c r="C2629" i="1"/>
  <c r="L2628" i="1"/>
  <c r="O2628" i="1" s="1"/>
  <c r="C2628" i="1"/>
  <c r="O2627" i="1"/>
  <c r="L2627" i="1"/>
  <c r="C2627" i="1"/>
  <c r="L2626" i="1"/>
  <c r="O2626" i="1" s="1"/>
  <c r="C2626" i="1"/>
  <c r="L2625" i="1"/>
  <c r="O2625" i="1" s="1"/>
  <c r="C2625" i="1"/>
  <c r="O2624" i="1"/>
  <c r="L2624" i="1"/>
  <c r="C2624" i="1"/>
  <c r="O2623" i="1"/>
  <c r="L2623" i="1"/>
  <c r="C2623" i="1"/>
  <c r="L2622" i="1"/>
  <c r="O2622" i="1" s="1"/>
  <c r="C2622" i="1"/>
  <c r="L2621" i="1"/>
  <c r="O2621" i="1" s="1"/>
  <c r="C2621" i="1"/>
  <c r="L2620" i="1"/>
  <c r="O2620" i="1" s="1"/>
  <c r="C2620" i="1"/>
  <c r="L2619" i="1"/>
  <c r="O2619" i="1" s="1"/>
  <c r="C2619" i="1"/>
  <c r="L2618" i="1"/>
  <c r="O2618" i="1" s="1"/>
  <c r="C2618" i="1"/>
  <c r="L2617" i="1"/>
  <c r="O2617" i="1" s="1"/>
  <c r="C2617" i="1"/>
  <c r="O2616" i="1"/>
  <c r="L2616" i="1"/>
  <c r="C2616" i="1"/>
  <c r="L2615" i="1"/>
  <c r="O2615" i="1" s="1"/>
  <c r="C2615" i="1"/>
  <c r="O2614" i="1"/>
  <c r="L2614" i="1"/>
  <c r="C2614" i="1"/>
  <c r="L2613" i="1"/>
  <c r="O2613" i="1" s="1"/>
  <c r="C2613" i="1"/>
  <c r="L2612" i="1"/>
  <c r="O2612" i="1" s="1"/>
  <c r="C2612" i="1"/>
  <c r="L2611" i="1"/>
  <c r="O2611" i="1" s="1"/>
  <c r="C2611" i="1"/>
  <c r="O2610" i="1"/>
  <c r="L2610" i="1"/>
  <c r="C2610" i="1"/>
  <c r="L2609" i="1"/>
  <c r="O2609" i="1" s="1"/>
  <c r="C2609" i="1"/>
  <c r="O2608" i="1"/>
  <c r="L2608" i="1"/>
  <c r="C2608" i="1"/>
  <c r="O2607" i="1"/>
  <c r="L2607" i="1"/>
  <c r="C2607" i="1"/>
  <c r="O2606" i="1"/>
  <c r="L2606" i="1"/>
  <c r="C2606" i="1"/>
  <c r="L2605" i="1"/>
  <c r="O2605" i="1" s="1"/>
  <c r="C2605" i="1"/>
  <c r="L2604" i="1"/>
  <c r="O2604" i="1" s="1"/>
  <c r="C2604" i="1"/>
  <c r="L2603" i="1"/>
  <c r="O2603" i="1" s="1"/>
  <c r="C2603" i="1"/>
  <c r="O2602" i="1"/>
  <c r="L2602" i="1"/>
  <c r="C2602" i="1"/>
  <c r="L2601" i="1"/>
  <c r="O2601" i="1" s="1"/>
  <c r="C2601" i="1"/>
  <c r="L2600" i="1"/>
  <c r="O2600" i="1" s="1"/>
  <c r="C2600" i="1"/>
  <c r="O2599" i="1"/>
  <c r="L2599" i="1"/>
  <c r="C2599" i="1"/>
  <c r="O2598" i="1"/>
  <c r="L2598" i="1"/>
  <c r="C2598" i="1"/>
  <c r="L2597" i="1"/>
  <c r="O2597" i="1" s="1"/>
  <c r="C2597" i="1"/>
  <c r="L2596" i="1"/>
  <c r="O2596" i="1" s="1"/>
  <c r="C2596" i="1"/>
  <c r="O2595" i="1"/>
  <c r="L2595" i="1"/>
  <c r="C2595" i="1"/>
  <c r="L2594" i="1"/>
  <c r="O2594" i="1" s="1"/>
  <c r="C2594" i="1"/>
  <c r="O2593" i="1"/>
  <c r="L2593" i="1"/>
  <c r="C2593" i="1"/>
  <c r="O2592" i="1"/>
  <c r="L2592" i="1"/>
  <c r="C2592" i="1"/>
  <c r="O2591" i="1"/>
  <c r="L2591" i="1"/>
  <c r="C2591" i="1"/>
  <c r="L2590" i="1"/>
  <c r="O2590" i="1" s="1"/>
  <c r="C2590" i="1"/>
  <c r="O2589" i="1"/>
  <c r="L2589" i="1"/>
  <c r="C2589" i="1"/>
  <c r="O2588" i="1"/>
  <c r="L2588" i="1"/>
  <c r="C2588" i="1"/>
  <c r="L2587" i="1"/>
  <c r="O2587" i="1" s="1"/>
  <c r="C2587" i="1"/>
  <c r="L2586" i="1"/>
  <c r="O2586" i="1" s="1"/>
  <c r="C2586" i="1"/>
  <c r="O2585" i="1"/>
  <c r="L2585" i="1"/>
  <c r="C2585" i="1"/>
  <c r="O2584" i="1"/>
  <c r="L2584" i="1"/>
  <c r="C2584" i="1"/>
  <c r="L2583" i="1"/>
  <c r="O2583" i="1" s="1"/>
  <c r="C2583" i="1"/>
  <c r="O2582" i="1"/>
  <c r="L2582" i="1"/>
  <c r="C2582" i="1"/>
  <c r="L2581" i="1"/>
  <c r="O2581" i="1" s="1"/>
  <c r="C2581" i="1"/>
  <c r="L2580" i="1"/>
  <c r="O2580" i="1" s="1"/>
  <c r="C2580" i="1"/>
  <c r="L2579" i="1"/>
  <c r="O2579" i="1" s="1"/>
  <c r="C2579" i="1"/>
  <c r="O2578" i="1"/>
  <c r="L2578" i="1"/>
  <c r="C2578" i="1"/>
  <c r="L2577" i="1"/>
  <c r="O2577" i="1" s="1"/>
  <c r="C2577" i="1"/>
  <c r="O2576" i="1"/>
  <c r="L2576" i="1"/>
  <c r="C2576" i="1"/>
  <c r="O2575" i="1"/>
  <c r="L2575" i="1"/>
  <c r="C2575" i="1"/>
  <c r="L2574" i="1"/>
  <c r="O2574" i="1" s="1"/>
  <c r="C2574" i="1"/>
  <c r="O2573" i="1"/>
  <c r="L2573" i="1"/>
  <c r="C2573" i="1"/>
  <c r="O2572" i="1"/>
  <c r="L2572" i="1"/>
  <c r="C2572" i="1"/>
  <c r="L2571" i="1"/>
  <c r="O2571" i="1" s="1"/>
  <c r="C2571" i="1"/>
  <c r="L2570" i="1"/>
  <c r="O2570" i="1" s="1"/>
  <c r="C2570" i="1"/>
  <c r="O2569" i="1"/>
  <c r="L2569" i="1"/>
  <c r="C2569" i="1"/>
  <c r="L2568" i="1"/>
  <c r="O2568" i="1" s="1"/>
  <c r="C2568" i="1"/>
  <c r="O2567" i="1"/>
  <c r="L2567" i="1"/>
  <c r="C2567" i="1"/>
  <c r="O2566" i="1"/>
  <c r="L2566" i="1"/>
  <c r="C2566" i="1"/>
  <c r="L2565" i="1"/>
  <c r="O2565" i="1" s="1"/>
  <c r="C2565" i="1"/>
  <c r="L2564" i="1"/>
  <c r="O2564" i="1" s="1"/>
  <c r="C2564" i="1"/>
  <c r="O2563" i="1"/>
  <c r="L2563" i="1"/>
  <c r="C2563" i="1"/>
  <c r="L2562" i="1"/>
  <c r="O2562" i="1" s="1"/>
  <c r="C2562" i="1"/>
  <c r="O2561" i="1"/>
  <c r="L2561" i="1"/>
  <c r="C2561" i="1"/>
  <c r="O2560" i="1"/>
  <c r="L2560" i="1"/>
  <c r="C2560" i="1"/>
  <c r="O2559" i="1"/>
  <c r="L2559" i="1"/>
  <c r="C2559" i="1"/>
  <c r="L2558" i="1"/>
  <c r="O2558" i="1" s="1"/>
  <c r="C2558" i="1"/>
  <c r="L2557" i="1"/>
  <c r="O2557" i="1" s="1"/>
  <c r="C2557" i="1"/>
  <c r="L2556" i="1"/>
  <c r="O2556" i="1" s="1"/>
  <c r="C2556" i="1"/>
  <c r="L2555" i="1"/>
  <c r="O2555" i="1" s="1"/>
  <c r="C2555" i="1"/>
  <c r="O2554" i="1"/>
  <c r="L2554" i="1"/>
  <c r="C2554" i="1"/>
  <c r="L2553" i="1"/>
  <c r="O2553" i="1" s="1"/>
  <c r="C2553" i="1"/>
  <c r="O2552" i="1"/>
  <c r="L2552" i="1"/>
  <c r="C2552" i="1"/>
  <c r="L2551" i="1"/>
  <c r="O2551" i="1" s="1"/>
  <c r="C2551" i="1"/>
  <c r="O2550" i="1"/>
  <c r="L2550" i="1"/>
  <c r="C2550" i="1"/>
  <c r="L2549" i="1"/>
  <c r="O2549" i="1" s="1"/>
  <c r="C2549" i="1"/>
  <c r="O2548" i="1"/>
  <c r="L2548" i="1"/>
  <c r="C2548" i="1"/>
  <c r="L2547" i="1"/>
  <c r="O2547" i="1" s="1"/>
  <c r="C2547" i="1"/>
  <c r="O2546" i="1"/>
  <c r="L2546" i="1"/>
  <c r="C2546" i="1"/>
  <c r="L2545" i="1"/>
  <c r="O2545" i="1" s="1"/>
  <c r="C2545" i="1"/>
  <c r="O2544" i="1"/>
  <c r="L2544" i="1"/>
  <c r="C2544" i="1"/>
  <c r="O2543" i="1"/>
  <c r="L2543" i="1"/>
  <c r="C2543" i="1"/>
  <c r="L2542" i="1"/>
  <c r="O2542" i="1" s="1"/>
  <c r="C2542" i="1"/>
  <c r="L2541" i="1"/>
  <c r="O2541" i="1" s="1"/>
  <c r="C2541" i="1"/>
  <c r="O2540" i="1"/>
  <c r="L2540" i="1"/>
  <c r="C2540" i="1"/>
  <c r="L2539" i="1"/>
  <c r="O2539" i="1" s="1"/>
  <c r="C2539" i="1"/>
  <c r="O2538" i="1"/>
  <c r="L2538" i="1"/>
  <c r="C2538" i="1"/>
  <c r="O2537" i="1"/>
  <c r="L2537" i="1"/>
  <c r="C2537" i="1"/>
  <c r="L2536" i="1"/>
  <c r="O2536" i="1" s="1"/>
  <c r="C2536" i="1"/>
  <c r="L2535" i="1"/>
  <c r="O2535" i="1" s="1"/>
  <c r="C2535" i="1"/>
  <c r="O2534" i="1"/>
  <c r="L2534" i="1"/>
  <c r="C2534" i="1"/>
  <c r="O2533" i="1"/>
  <c r="L2533" i="1"/>
  <c r="C2533" i="1"/>
  <c r="O2532" i="1"/>
  <c r="L2532" i="1"/>
  <c r="C2532" i="1"/>
  <c r="L2531" i="1"/>
  <c r="O2531" i="1" s="1"/>
  <c r="C2531" i="1"/>
  <c r="O2530" i="1"/>
  <c r="L2530" i="1"/>
  <c r="C2530" i="1"/>
  <c r="L2529" i="1"/>
  <c r="O2529" i="1" s="1"/>
  <c r="C2529" i="1"/>
  <c r="O2528" i="1"/>
  <c r="L2528" i="1"/>
  <c r="C2528" i="1"/>
  <c r="L2527" i="1"/>
  <c r="O2527" i="1" s="1"/>
  <c r="C2527" i="1"/>
  <c r="O2526" i="1"/>
  <c r="L2526" i="1"/>
  <c r="C2526" i="1"/>
  <c r="L2525" i="1"/>
  <c r="O2525" i="1" s="1"/>
  <c r="C2525" i="1"/>
  <c r="O2524" i="1"/>
  <c r="L2524" i="1"/>
  <c r="C2524" i="1"/>
  <c r="L2523" i="1"/>
  <c r="O2523" i="1" s="1"/>
  <c r="C2523" i="1"/>
  <c r="O2522" i="1"/>
  <c r="L2522" i="1"/>
  <c r="C2522" i="1"/>
  <c r="O2521" i="1"/>
  <c r="L2521" i="1"/>
  <c r="C2521" i="1"/>
  <c r="L2520" i="1"/>
  <c r="O2520" i="1" s="1"/>
  <c r="C2520" i="1"/>
  <c r="O2519" i="1"/>
  <c r="L2519" i="1"/>
  <c r="C2519" i="1"/>
  <c r="O2518" i="1"/>
  <c r="L2518" i="1"/>
  <c r="C2518" i="1"/>
  <c r="L2517" i="1"/>
  <c r="O2517" i="1" s="1"/>
  <c r="C2517" i="1"/>
  <c r="L2516" i="1"/>
  <c r="O2516" i="1" s="1"/>
  <c r="C2516" i="1"/>
  <c r="O2515" i="1"/>
  <c r="L2515" i="1"/>
  <c r="C2515" i="1"/>
  <c r="L2514" i="1"/>
  <c r="O2514" i="1" s="1"/>
  <c r="C2514" i="1"/>
  <c r="O2513" i="1"/>
  <c r="L2513" i="1"/>
  <c r="C2513" i="1"/>
  <c r="O2512" i="1"/>
  <c r="L2512" i="1"/>
  <c r="C2512" i="1"/>
  <c r="O2511" i="1"/>
  <c r="L2511" i="1"/>
  <c r="C2511" i="1"/>
  <c r="O2510" i="1"/>
  <c r="L2510" i="1"/>
  <c r="C2510" i="1"/>
  <c r="L2509" i="1"/>
  <c r="O2509" i="1" s="1"/>
  <c r="C2509" i="1"/>
  <c r="L2508" i="1"/>
  <c r="O2508" i="1" s="1"/>
  <c r="C2508" i="1"/>
  <c r="L2507" i="1"/>
  <c r="O2507" i="1" s="1"/>
  <c r="C2507" i="1"/>
  <c r="O2506" i="1"/>
  <c r="L2506" i="1"/>
  <c r="C2506" i="1"/>
  <c r="L2505" i="1"/>
  <c r="O2505" i="1" s="1"/>
  <c r="C2505" i="1"/>
  <c r="O2504" i="1"/>
  <c r="L2504" i="1"/>
  <c r="C2504" i="1"/>
  <c r="L2503" i="1"/>
  <c r="O2503" i="1" s="1"/>
  <c r="C2503" i="1"/>
  <c r="O2502" i="1"/>
  <c r="L2502" i="1"/>
  <c r="C2502" i="1"/>
  <c r="O2501" i="1"/>
  <c r="L2501" i="1"/>
  <c r="C2501" i="1"/>
  <c r="O2500" i="1"/>
  <c r="L2500" i="1"/>
  <c r="C2500" i="1"/>
  <c r="O2499" i="1"/>
  <c r="L2499" i="1"/>
  <c r="C2499" i="1"/>
  <c r="L2498" i="1"/>
  <c r="O2498" i="1" s="1"/>
  <c r="C2498" i="1"/>
  <c r="O2497" i="1"/>
  <c r="L2497" i="1"/>
  <c r="C2497" i="1"/>
  <c r="L2496" i="1"/>
  <c r="O2496" i="1" s="1"/>
  <c r="C2496" i="1"/>
  <c r="O2495" i="1"/>
  <c r="L2495" i="1"/>
  <c r="C2495" i="1"/>
  <c r="O2494" i="1"/>
  <c r="L2494" i="1"/>
  <c r="C2494" i="1"/>
  <c r="L2493" i="1"/>
  <c r="O2493" i="1" s="1"/>
  <c r="C2493" i="1"/>
  <c r="L2492" i="1"/>
  <c r="O2492" i="1" s="1"/>
  <c r="C2492" i="1"/>
  <c r="L2491" i="1"/>
  <c r="O2491" i="1" s="1"/>
  <c r="C2491" i="1"/>
  <c r="L2490" i="1"/>
  <c r="O2490" i="1" s="1"/>
  <c r="C2490" i="1"/>
  <c r="O2489" i="1"/>
  <c r="L2489" i="1"/>
  <c r="C2489" i="1"/>
  <c r="O2488" i="1"/>
  <c r="L2488" i="1"/>
  <c r="C2488" i="1"/>
  <c r="L2487" i="1"/>
  <c r="O2487" i="1" s="1"/>
  <c r="C2487" i="1"/>
  <c r="O2486" i="1"/>
  <c r="L2486" i="1"/>
  <c r="C2486" i="1"/>
  <c r="L2485" i="1"/>
  <c r="O2485" i="1" s="1"/>
  <c r="C2485" i="1"/>
  <c r="O2484" i="1"/>
  <c r="L2484" i="1"/>
  <c r="C2484" i="1"/>
  <c r="O2483" i="1"/>
  <c r="L2483" i="1"/>
  <c r="C2483" i="1"/>
  <c r="L2482" i="1"/>
  <c r="O2482" i="1" s="1"/>
  <c r="C2482" i="1"/>
  <c r="O2481" i="1"/>
  <c r="L2481" i="1"/>
  <c r="C2481" i="1"/>
  <c r="O2480" i="1"/>
  <c r="L2480" i="1"/>
  <c r="C2480" i="1"/>
  <c r="O2479" i="1"/>
  <c r="L2479" i="1"/>
  <c r="C2479" i="1"/>
  <c r="L2478" i="1"/>
  <c r="O2478" i="1" s="1"/>
  <c r="C2478" i="1"/>
  <c r="O2477" i="1"/>
  <c r="L2477" i="1"/>
  <c r="C2477" i="1"/>
  <c r="L2476" i="1"/>
  <c r="O2476" i="1" s="1"/>
  <c r="C2476" i="1"/>
  <c r="O2475" i="1"/>
  <c r="L2475" i="1"/>
  <c r="C2475" i="1"/>
  <c r="O2474" i="1"/>
  <c r="L2474" i="1"/>
  <c r="C2474" i="1"/>
  <c r="O2473" i="1"/>
  <c r="L2473" i="1"/>
  <c r="C2473" i="1"/>
  <c r="O2472" i="1"/>
  <c r="L2472" i="1"/>
  <c r="C2472" i="1"/>
  <c r="L2471" i="1"/>
  <c r="O2471" i="1" s="1"/>
  <c r="C2471" i="1"/>
  <c r="L2470" i="1"/>
  <c r="O2470" i="1" s="1"/>
  <c r="C2470" i="1"/>
  <c r="O2469" i="1"/>
  <c r="L2469" i="1"/>
  <c r="C2469" i="1"/>
  <c r="O2468" i="1"/>
  <c r="L2468" i="1"/>
  <c r="C2468" i="1"/>
  <c r="O2467" i="1"/>
  <c r="L2467" i="1"/>
  <c r="C2467" i="1"/>
  <c r="L2466" i="1"/>
  <c r="O2466" i="1" s="1"/>
  <c r="C2466" i="1"/>
  <c r="O2465" i="1"/>
  <c r="L2465" i="1"/>
  <c r="C2465" i="1"/>
  <c r="L2464" i="1"/>
  <c r="O2464" i="1" s="1"/>
  <c r="C2464" i="1"/>
  <c r="O2463" i="1"/>
  <c r="L2463" i="1"/>
  <c r="C2463" i="1"/>
  <c r="L2462" i="1"/>
  <c r="O2462" i="1" s="1"/>
  <c r="C2462" i="1"/>
  <c r="O2461" i="1"/>
  <c r="L2461" i="1"/>
  <c r="C2461" i="1"/>
  <c r="L2460" i="1"/>
  <c r="O2460" i="1" s="1"/>
  <c r="C2460" i="1"/>
  <c r="O2459" i="1"/>
  <c r="L2459" i="1"/>
  <c r="C2459" i="1"/>
  <c r="L2458" i="1"/>
  <c r="O2458" i="1" s="1"/>
  <c r="C2458" i="1"/>
  <c r="O2457" i="1"/>
  <c r="L2457" i="1"/>
  <c r="C2457" i="1"/>
  <c r="O2456" i="1"/>
  <c r="L2456" i="1"/>
  <c r="C2456" i="1"/>
  <c r="L2455" i="1"/>
  <c r="O2455" i="1" s="1"/>
  <c r="C2455" i="1"/>
  <c r="L2454" i="1"/>
  <c r="O2454" i="1" s="1"/>
  <c r="C2454" i="1"/>
  <c r="L2453" i="1"/>
  <c r="O2453" i="1" s="1"/>
  <c r="C2453" i="1"/>
  <c r="O2452" i="1"/>
  <c r="L2452" i="1"/>
  <c r="C2452" i="1"/>
  <c r="O2451" i="1"/>
  <c r="L2451" i="1"/>
  <c r="C2451" i="1"/>
  <c r="L2450" i="1"/>
  <c r="O2450" i="1" s="1"/>
  <c r="C2450" i="1"/>
  <c r="O2449" i="1"/>
  <c r="L2449" i="1"/>
  <c r="C2449" i="1"/>
  <c r="O2448" i="1"/>
  <c r="L2448" i="1"/>
  <c r="C2448" i="1"/>
  <c r="L2447" i="1"/>
  <c r="O2447" i="1" s="1"/>
  <c r="C2447" i="1"/>
  <c r="L2446" i="1"/>
  <c r="O2446" i="1" s="1"/>
  <c r="C2446" i="1"/>
  <c r="O2445" i="1"/>
  <c r="L2445" i="1"/>
  <c r="C2445" i="1"/>
  <c r="L2444" i="1"/>
  <c r="O2444" i="1" s="1"/>
  <c r="C2444" i="1"/>
  <c r="O2443" i="1"/>
  <c r="L2443" i="1"/>
  <c r="C2443" i="1"/>
  <c r="O2442" i="1"/>
  <c r="L2442" i="1"/>
  <c r="C2442" i="1"/>
  <c r="O2441" i="1"/>
  <c r="L2441" i="1"/>
  <c r="C2441" i="1"/>
  <c r="O2440" i="1"/>
  <c r="L2440" i="1"/>
  <c r="C2440" i="1"/>
  <c r="L2439" i="1"/>
  <c r="O2439" i="1" s="1"/>
  <c r="C2439" i="1"/>
  <c r="O2438" i="1"/>
  <c r="L2438" i="1"/>
  <c r="C2438" i="1"/>
  <c r="O2437" i="1"/>
  <c r="L2437" i="1"/>
  <c r="C2437" i="1"/>
  <c r="O2436" i="1"/>
  <c r="L2436" i="1"/>
  <c r="C2436" i="1"/>
  <c r="O2435" i="1"/>
  <c r="L2435" i="1"/>
  <c r="C2435" i="1"/>
  <c r="L2434" i="1"/>
  <c r="O2434" i="1" s="1"/>
  <c r="C2434" i="1"/>
  <c r="L2433" i="1"/>
  <c r="O2433" i="1" s="1"/>
  <c r="C2433" i="1"/>
  <c r="O2432" i="1"/>
  <c r="L2432" i="1"/>
  <c r="C2432" i="1"/>
  <c r="L2431" i="1"/>
  <c r="O2431" i="1" s="1"/>
  <c r="C2431" i="1"/>
  <c r="L2430" i="1"/>
  <c r="O2430" i="1" s="1"/>
  <c r="C2430" i="1"/>
  <c r="O2429" i="1"/>
  <c r="L2429" i="1"/>
  <c r="C2429" i="1"/>
  <c r="L2428" i="1"/>
  <c r="O2428" i="1" s="1"/>
  <c r="C2428" i="1"/>
  <c r="L2427" i="1"/>
  <c r="O2427" i="1" s="1"/>
  <c r="C2427" i="1"/>
  <c r="O2426" i="1"/>
  <c r="L2426" i="1"/>
  <c r="C2426" i="1"/>
  <c r="O2425" i="1"/>
  <c r="L2425" i="1"/>
  <c r="C2425" i="1"/>
  <c r="O2424" i="1"/>
  <c r="L2424" i="1"/>
  <c r="C2424" i="1"/>
  <c r="L2423" i="1"/>
  <c r="O2423" i="1" s="1"/>
  <c r="C2423" i="1"/>
  <c r="O2422" i="1"/>
  <c r="L2422" i="1"/>
  <c r="C2422" i="1"/>
  <c r="L2421" i="1"/>
  <c r="O2421" i="1" s="1"/>
  <c r="C2421" i="1"/>
  <c r="O2420" i="1"/>
  <c r="L2420" i="1"/>
  <c r="C2420" i="1"/>
  <c r="O2419" i="1"/>
  <c r="L2419" i="1"/>
  <c r="C2419" i="1"/>
  <c r="L2418" i="1"/>
  <c r="O2418" i="1" s="1"/>
  <c r="C2418" i="1"/>
  <c r="L2417" i="1"/>
  <c r="O2417" i="1" s="1"/>
  <c r="C2417" i="1"/>
  <c r="O2416" i="1"/>
  <c r="L2416" i="1"/>
  <c r="C2416" i="1"/>
  <c r="L2415" i="1"/>
  <c r="O2415" i="1" s="1"/>
  <c r="C2415" i="1"/>
  <c r="L2414" i="1"/>
  <c r="O2414" i="1" s="1"/>
  <c r="C2414" i="1"/>
  <c r="O2413" i="1"/>
  <c r="L2413" i="1"/>
  <c r="C2413" i="1"/>
  <c r="L2412" i="1"/>
  <c r="O2412" i="1" s="1"/>
  <c r="C2412" i="1"/>
  <c r="L2411" i="1"/>
  <c r="O2411" i="1" s="1"/>
  <c r="C2411" i="1"/>
  <c r="L2410" i="1"/>
  <c r="O2410" i="1" s="1"/>
  <c r="C2410" i="1"/>
  <c r="O2409" i="1"/>
  <c r="L2409" i="1"/>
  <c r="C2409" i="1"/>
  <c r="O2408" i="1"/>
  <c r="L2408" i="1"/>
  <c r="C2408" i="1"/>
  <c r="L2407" i="1"/>
  <c r="O2407" i="1" s="1"/>
  <c r="C2407" i="1"/>
  <c r="L2406" i="1"/>
  <c r="O2406" i="1" s="1"/>
  <c r="C2406" i="1"/>
  <c r="L2405" i="1"/>
  <c r="O2405" i="1" s="1"/>
  <c r="C2405" i="1"/>
  <c r="O2404" i="1"/>
  <c r="L2404" i="1"/>
  <c r="C2404" i="1"/>
  <c r="O2403" i="1"/>
  <c r="L2403" i="1"/>
  <c r="C2403" i="1"/>
  <c r="L2402" i="1"/>
  <c r="O2402" i="1" s="1"/>
  <c r="C2402" i="1"/>
  <c r="O2401" i="1"/>
  <c r="L2401" i="1"/>
  <c r="C2401" i="1"/>
  <c r="L2400" i="1"/>
  <c r="O2400" i="1" s="1"/>
  <c r="C2400" i="1"/>
  <c r="L2399" i="1"/>
  <c r="O2399" i="1" s="1"/>
  <c r="C2399" i="1"/>
  <c r="L2398" i="1"/>
  <c r="O2398" i="1" s="1"/>
  <c r="C2398" i="1"/>
  <c r="O2397" i="1"/>
  <c r="L2397" i="1"/>
  <c r="C2397" i="1"/>
  <c r="L2396" i="1"/>
  <c r="O2396" i="1" s="1"/>
  <c r="C2396" i="1"/>
  <c r="O2395" i="1"/>
  <c r="L2395" i="1"/>
  <c r="C2395" i="1"/>
  <c r="L2394" i="1"/>
  <c r="O2394" i="1" s="1"/>
  <c r="C2394" i="1"/>
  <c r="O2393" i="1"/>
  <c r="L2393" i="1"/>
  <c r="C2393" i="1"/>
  <c r="O2392" i="1"/>
  <c r="L2392" i="1"/>
  <c r="C2392" i="1"/>
  <c r="L2391" i="1"/>
  <c r="O2391" i="1" s="1"/>
  <c r="C2391" i="1"/>
  <c r="L2390" i="1"/>
  <c r="O2390" i="1" s="1"/>
  <c r="C2390" i="1"/>
  <c r="L2389" i="1"/>
  <c r="O2389" i="1" s="1"/>
  <c r="C2389" i="1"/>
  <c r="O2388" i="1"/>
  <c r="L2388" i="1"/>
  <c r="C2388" i="1"/>
  <c r="O2387" i="1"/>
  <c r="L2387" i="1"/>
  <c r="C2387" i="1"/>
  <c r="L2386" i="1"/>
  <c r="O2386" i="1" s="1"/>
  <c r="C2386" i="1"/>
  <c r="O2385" i="1"/>
  <c r="L2385" i="1"/>
  <c r="C2385" i="1"/>
  <c r="O2384" i="1"/>
  <c r="L2384" i="1"/>
  <c r="C2384" i="1"/>
  <c r="L2383" i="1"/>
  <c r="O2383" i="1" s="1"/>
  <c r="C2383" i="1"/>
  <c r="L2382" i="1"/>
  <c r="O2382" i="1" s="1"/>
  <c r="C2382" i="1"/>
  <c r="O2381" i="1"/>
  <c r="L2381" i="1"/>
  <c r="C2381" i="1"/>
  <c r="L2380" i="1"/>
  <c r="O2380" i="1" s="1"/>
  <c r="C2380" i="1"/>
  <c r="O2379" i="1"/>
  <c r="L2379" i="1"/>
  <c r="C2379" i="1"/>
  <c r="O2378" i="1"/>
  <c r="L2378" i="1"/>
  <c r="C2378" i="1"/>
  <c r="O2377" i="1"/>
  <c r="L2377" i="1"/>
  <c r="C2377" i="1"/>
  <c r="O2376" i="1"/>
  <c r="L2376" i="1"/>
  <c r="C2376" i="1"/>
  <c r="L2375" i="1"/>
  <c r="O2375" i="1" s="1"/>
  <c r="C2375" i="1"/>
  <c r="L2374" i="1"/>
  <c r="O2374" i="1" s="1"/>
  <c r="C2374" i="1"/>
  <c r="O2373" i="1"/>
  <c r="L2373" i="1"/>
  <c r="C2373" i="1"/>
  <c r="O2372" i="1"/>
  <c r="L2372" i="1"/>
  <c r="C2372" i="1"/>
  <c r="O2371" i="1"/>
  <c r="L2371" i="1"/>
  <c r="C2371" i="1"/>
  <c r="L2370" i="1"/>
  <c r="O2370" i="1" s="1"/>
  <c r="C2370" i="1"/>
  <c r="L2369" i="1"/>
  <c r="O2369" i="1" s="1"/>
  <c r="C2369" i="1"/>
  <c r="L2368" i="1"/>
  <c r="O2368" i="1" s="1"/>
  <c r="C2368" i="1"/>
  <c r="L2367" i="1"/>
  <c r="O2367" i="1" s="1"/>
  <c r="C2367" i="1"/>
  <c r="L2366" i="1"/>
  <c r="O2366" i="1" s="1"/>
  <c r="C2366" i="1"/>
  <c r="O2365" i="1"/>
  <c r="L2365" i="1"/>
  <c r="C2365" i="1"/>
  <c r="L2364" i="1"/>
  <c r="O2364" i="1" s="1"/>
  <c r="C2364" i="1"/>
  <c r="O2363" i="1"/>
  <c r="L2363" i="1"/>
  <c r="C2363" i="1"/>
  <c r="L2362" i="1"/>
  <c r="O2362" i="1" s="1"/>
  <c r="C2362" i="1"/>
  <c r="O2361" i="1"/>
  <c r="L2361" i="1"/>
  <c r="C2361" i="1"/>
  <c r="O2360" i="1"/>
  <c r="L2360" i="1"/>
  <c r="C2360" i="1"/>
  <c r="L2359" i="1"/>
  <c r="O2359" i="1" s="1"/>
  <c r="C2359" i="1"/>
  <c r="O2358" i="1"/>
  <c r="L2358" i="1"/>
  <c r="C2358" i="1"/>
  <c r="L2357" i="1"/>
  <c r="O2357" i="1" s="1"/>
  <c r="C2357" i="1"/>
  <c r="O2356" i="1"/>
  <c r="L2356" i="1"/>
  <c r="C2356" i="1"/>
  <c r="O2355" i="1"/>
  <c r="L2355" i="1"/>
  <c r="C2355" i="1"/>
  <c r="L2354" i="1"/>
  <c r="O2354" i="1" s="1"/>
  <c r="C2354" i="1"/>
  <c r="L2353" i="1"/>
  <c r="O2353" i="1" s="1"/>
  <c r="C2353" i="1"/>
  <c r="L2352" i="1"/>
  <c r="O2352" i="1" s="1"/>
  <c r="C2352" i="1"/>
  <c r="O2351" i="1"/>
  <c r="L2351" i="1"/>
  <c r="C2351" i="1"/>
  <c r="L2350" i="1"/>
  <c r="O2350" i="1" s="1"/>
  <c r="C2350" i="1"/>
  <c r="O2349" i="1"/>
  <c r="L2349" i="1"/>
  <c r="C2349" i="1"/>
  <c r="L2348" i="1"/>
  <c r="O2348" i="1" s="1"/>
  <c r="C2348" i="1"/>
  <c r="L2347" i="1"/>
  <c r="O2347" i="1" s="1"/>
  <c r="C2347" i="1"/>
  <c r="L2346" i="1"/>
  <c r="O2346" i="1" s="1"/>
  <c r="C2346" i="1"/>
  <c r="O2345" i="1"/>
  <c r="L2345" i="1"/>
  <c r="C2345" i="1"/>
  <c r="O2344" i="1"/>
  <c r="L2344" i="1"/>
  <c r="C2344" i="1"/>
  <c r="L2343" i="1"/>
  <c r="O2343" i="1" s="1"/>
  <c r="C2343" i="1"/>
  <c r="L2342" i="1"/>
  <c r="O2342" i="1" s="1"/>
  <c r="C2342" i="1"/>
  <c r="L2341" i="1"/>
  <c r="O2341" i="1" s="1"/>
  <c r="C2341" i="1"/>
  <c r="O2340" i="1"/>
  <c r="L2340" i="1"/>
  <c r="C2340" i="1"/>
  <c r="O2339" i="1"/>
  <c r="L2339" i="1"/>
  <c r="C2339" i="1"/>
  <c r="L2338" i="1"/>
  <c r="O2338" i="1" s="1"/>
  <c r="C2338" i="1"/>
  <c r="L2337" i="1"/>
  <c r="O2337" i="1" s="1"/>
  <c r="C2337" i="1"/>
  <c r="L2336" i="1"/>
  <c r="O2336" i="1" s="1"/>
  <c r="C2336" i="1"/>
  <c r="L2335" i="1"/>
  <c r="O2335" i="1" s="1"/>
  <c r="C2335" i="1"/>
  <c r="L2334" i="1"/>
  <c r="O2334" i="1" s="1"/>
  <c r="C2334" i="1"/>
  <c r="O2333" i="1"/>
  <c r="L2333" i="1"/>
  <c r="C2333" i="1"/>
  <c r="L2332" i="1"/>
  <c r="O2332" i="1" s="1"/>
  <c r="C2332" i="1"/>
  <c r="L2331" i="1"/>
  <c r="O2331" i="1" s="1"/>
  <c r="C2331" i="1"/>
  <c r="L2330" i="1"/>
  <c r="O2330" i="1" s="1"/>
  <c r="C2330" i="1"/>
  <c r="O2329" i="1"/>
  <c r="L2329" i="1"/>
  <c r="C2329" i="1"/>
  <c r="O2328" i="1"/>
  <c r="L2328" i="1"/>
  <c r="C2328" i="1"/>
  <c r="L2327" i="1"/>
  <c r="O2327" i="1" s="1"/>
  <c r="C2327" i="1"/>
  <c r="L2326" i="1"/>
  <c r="O2326" i="1" s="1"/>
  <c r="C2326" i="1"/>
  <c r="L2325" i="1"/>
  <c r="O2325" i="1" s="1"/>
  <c r="C2325" i="1"/>
  <c r="O2324" i="1"/>
  <c r="L2324" i="1"/>
  <c r="C2324" i="1"/>
  <c r="O2323" i="1"/>
  <c r="L2323" i="1"/>
  <c r="C2323" i="1"/>
  <c r="L2322" i="1"/>
  <c r="O2322" i="1" s="1"/>
  <c r="C2322" i="1"/>
  <c r="O2321" i="1"/>
  <c r="L2321" i="1"/>
  <c r="C2321" i="1"/>
  <c r="O2320" i="1"/>
  <c r="L2320" i="1"/>
  <c r="C2320" i="1"/>
  <c r="L2319" i="1"/>
  <c r="O2319" i="1" s="1"/>
  <c r="C2319" i="1"/>
  <c r="L2318" i="1"/>
  <c r="O2318" i="1" s="1"/>
  <c r="C2318" i="1"/>
  <c r="O2317" i="1"/>
  <c r="L2317" i="1"/>
  <c r="C2317" i="1"/>
  <c r="L2316" i="1"/>
  <c r="O2316" i="1" s="1"/>
  <c r="C2316" i="1"/>
  <c r="O2315" i="1"/>
  <c r="L2315" i="1"/>
  <c r="C2315" i="1"/>
  <c r="O2314" i="1"/>
  <c r="L2314" i="1"/>
  <c r="C2314" i="1"/>
  <c r="O2313" i="1"/>
  <c r="L2313" i="1"/>
  <c r="C2313" i="1"/>
  <c r="O2312" i="1"/>
  <c r="L2312" i="1"/>
  <c r="C2312" i="1"/>
  <c r="L2311" i="1"/>
  <c r="O2311" i="1" s="1"/>
  <c r="C2311" i="1"/>
  <c r="L2310" i="1"/>
  <c r="O2310" i="1" s="1"/>
  <c r="C2310" i="1"/>
  <c r="O2309" i="1"/>
  <c r="L2309" i="1"/>
  <c r="C2309" i="1"/>
  <c r="O2308" i="1"/>
  <c r="L2308" i="1"/>
  <c r="C2308" i="1"/>
  <c r="O2307" i="1"/>
  <c r="L2307" i="1"/>
  <c r="C2307" i="1"/>
  <c r="L2306" i="1"/>
  <c r="O2306" i="1" s="1"/>
  <c r="C2306" i="1"/>
  <c r="L2305" i="1"/>
  <c r="O2305" i="1" s="1"/>
  <c r="C2305" i="1"/>
  <c r="L2304" i="1"/>
  <c r="O2304" i="1" s="1"/>
  <c r="C2304" i="1"/>
  <c r="L2303" i="1"/>
  <c r="O2303" i="1" s="1"/>
  <c r="C2303" i="1"/>
  <c r="L2302" i="1"/>
  <c r="O2302" i="1" s="1"/>
  <c r="C2302" i="1"/>
  <c r="O2301" i="1"/>
  <c r="L2301" i="1"/>
  <c r="C2301" i="1"/>
  <c r="L2300" i="1"/>
  <c r="O2300" i="1" s="1"/>
  <c r="C2300" i="1"/>
  <c r="L2299" i="1"/>
  <c r="O2299" i="1" s="1"/>
  <c r="C2299" i="1"/>
  <c r="L2298" i="1"/>
  <c r="O2298" i="1" s="1"/>
  <c r="C2298" i="1"/>
  <c r="O2297" i="1"/>
  <c r="L2297" i="1"/>
  <c r="C2297" i="1"/>
  <c r="O2296" i="1"/>
  <c r="L2296" i="1"/>
  <c r="C2296" i="1"/>
  <c r="L2295" i="1"/>
  <c r="O2295" i="1" s="1"/>
  <c r="C2295" i="1"/>
  <c r="O2294" i="1"/>
  <c r="L2294" i="1"/>
  <c r="C2294" i="1"/>
  <c r="L2293" i="1"/>
  <c r="O2293" i="1" s="1"/>
  <c r="C2293" i="1"/>
  <c r="O2292" i="1"/>
  <c r="L2292" i="1"/>
  <c r="C2292" i="1"/>
  <c r="O2291" i="1"/>
  <c r="L2291" i="1"/>
  <c r="C2291" i="1"/>
  <c r="L2290" i="1"/>
  <c r="O2290" i="1" s="1"/>
  <c r="C2290" i="1"/>
  <c r="L2289" i="1"/>
  <c r="O2289" i="1" s="1"/>
  <c r="C2289" i="1"/>
  <c r="O2288" i="1"/>
  <c r="L2288" i="1"/>
  <c r="C2288" i="1"/>
  <c r="L2287" i="1"/>
  <c r="O2287" i="1" s="1"/>
  <c r="C2287" i="1"/>
  <c r="L2286" i="1"/>
  <c r="O2286" i="1" s="1"/>
  <c r="C2286" i="1"/>
  <c r="O2285" i="1"/>
  <c r="L2285" i="1"/>
  <c r="C2285" i="1"/>
  <c r="L2284" i="1"/>
  <c r="O2284" i="1" s="1"/>
  <c r="C2284" i="1"/>
  <c r="L2283" i="1"/>
  <c r="O2283" i="1" s="1"/>
  <c r="C2283" i="1"/>
  <c r="O2282" i="1"/>
  <c r="L2282" i="1"/>
  <c r="C2282" i="1"/>
  <c r="O2281" i="1"/>
  <c r="L2281" i="1"/>
  <c r="C2281" i="1"/>
  <c r="O2280" i="1"/>
  <c r="L2280" i="1"/>
  <c r="C2280" i="1"/>
  <c r="L2279" i="1"/>
  <c r="O2279" i="1" s="1"/>
  <c r="C2279" i="1"/>
  <c r="L2278" i="1"/>
  <c r="O2278" i="1" s="1"/>
  <c r="C2278" i="1"/>
  <c r="L2277" i="1"/>
  <c r="O2277" i="1" s="1"/>
  <c r="C2277" i="1"/>
  <c r="O2276" i="1"/>
  <c r="L2276" i="1"/>
  <c r="C2276" i="1"/>
  <c r="O2275" i="1"/>
  <c r="L2275" i="1"/>
  <c r="C2275" i="1"/>
  <c r="L2274" i="1"/>
  <c r="O2274" i="1" s="1"/>
  <c r="C2274" i="1"/>
  <c r="L2273" i="1"/>
  <c r="O2273" i="1" s="1"/>
  <c r="C2273" i="1"/>
  <c r="L2272" i="1"/>
  <c r="O2272" i="1" s="1"/>
  <c r="C2272" i="1"/>
  <c r="O2271" i="1"/>
  <c r="L2271" i="1"/>
  <c r="C2271" i="1"/>
  <c r="L2270" i="1"/>
  <c r="O2270" i="1" s="1"/>
  <c r="C2270" i="1"/>
  <c r="O2269" i="1"/>
  <c r="L2269" i="1"/>
  <c r="C2269" i="1"/>
  <c r="L2268" i="1"/>
  <c r="O2268" i="1" s="1"/>
  <c r="C2268" i="1"/>
  <c r="L2267" i="1"/>
  <c r="O2267" i="1" s="1"/>
  <c r="C2267" i="1"/>
  <c r="L2266" i="1"/>
  <c r="O2266" i="1" s="1"/>
  <c r="C2266" i="1"/>
  <c r="O2265" i="1"/>
  <c r="L2265" i="1"/>
  <c r="C2265" i="1"/>
  <c r="O2264" i="1"/>
  <c r="L2264" i="1"/>
  <c r="C2264" i="1"/>
  <c r="L2263" i="1"/>
  <c r="O2263" i="1" s="1"/>
  <c r="C2263" i="1"/>
  <c r="L2262" i="1"/>
  <c r="O2262" i="1" s="1"/>
  <c r="C2262" i="1"/>
  <c r="L2261" i="1"/>
  <c r="O2261" i="1" s="1"/>
  <c r="C2261" i="1"/>
  <c r="O2260" i="1"/>
  <c r="L2260" i="1"/>
  <c r="C2260" i="1"/>
  <c r="O2259" i="1"/>
  <c r="L2259" i="1"/>
  <c r="C2259" i="1"/>
  <c r="L2258" i="1"/>
  <c r="O2258" i="1" s="1"/>
  <c r="C2258" i="1"/>
  <c r="O2257" i="1"/>
  <c r="L2257" i="1"/>
  <c r="C2257" i="1"/>
  <c r="O2256" i="1"/>
  <c r="L2256" i="1"/>
  <c r="C2256" i="1"/>
  <c r="L2255" i="1"/>
  <c r="O2255" i="1" s="1"/>
  <c r="C2255" i="1"/>
  <c r="L2254" i="1"/>
  <c r="O2254" i="1" s="1"/>
  <c r="C2254" i="1"/>
  <c r="O2253" i="1"/>
  <c r="L2253" i="1"/>
  <c r="C2253" i="1"/>
  <c r="L2252" i="1"/>
  <c r="O2252" i="1" s="1"/>
  <c r="C2252" i="1"/>
  <c r="O2251" i="1"/>
  <c r="L2251" i="1"/>
  <c r="C2251" i="1"/>
  <c r="O2250" i="1"/>
  <c r="L2250" i="1"/>
  <c r="C2250" i="1"/>
  <c r="O2249" i="1"/>
  <c r="L2249" i="1"/>
  <c r="C2249" i="1"/>
  <c r="O2248" i="1"/>
  <c r="L2248" i="1"/>
  <c r="C2248" i="1"/>
  <c r="L2247" i="1"/>
  <c r="O2247" i="1" s="1"/>
  <c r="C2247" i="1"/>
  <c r="L2246" i="1"/>
  <c r="O2246" i="1" s="1"/>
  <c r="C2246" i="1"/>
  <c r="O2245" i="1"/>
  <c r="L2245" i="1"/>
  <c r="C2245" i="1"/>
  <c r="O2244" i="1"/>
  <c r="L2244" i="1"/>
  <c r="C2244" i="1"/>
  <c r="O2243" i="1"/>
  <c r="L2243" i="1"/>
  <c r="C2243" i="1"/>
  <c r="L2242" i="1"/>
  <c r="O2242" i="1" s="1"/>
  <c r="C2242" i="1"/>
  <c r="L2241" i="1"/>
  <c r="O2241" i="1" s="1"/>
  <c r="C2241" i="1"/>
  <c r="O2240" i="1"/>
  <c r="L2240" i="1"/>
  <c r="C2240" i="1"/>
  <c r="L2239" i="1"/>
  <c r="O2239" i="1" s="1"/>
  <c r="C2239" i="1"/>
  <c r="L2238" i="1"/>
  <c r="O2238" i="1" s="1"/>
  <c r="C2238" i="1"/>
  <c r="O2237" i="1"/>
  <c r="L2237" i="1"/>
  <c r="C2237" i="1"/>
  <c r="L2236" i="1"/>
  <c r="O2236" i="1" s="1"/>
  <c r="C2236" i="1"/>
  <c r="O2235" i="1"/>
  <c r="L2235" i="1"/>
  <c r="C2235" i="1"/>
  <c r="L2234" i="1"/>
  <c r="O2234" i="1" s="1"/>
  <c r="C2234" i="1"/>
  <c r="O2233" i="1"/>
  <c r="L2233" i="1"/>
  <c r="C2233" i="1"/>
  <c r="O2232" i="1"/>
  <c r="L2232" i="1"/>
  <c r="C2232" i="1"/>
  <c r="L2231" i="1"/>
  <c r="O2231" i="1" s="1"/>
  <c r="C2231" i="1"/>
  <c r="O2230" i="1"/>
  <c r="L2230" i="1"/>
  <c r="C2230" i="1"/>
  <c r="L2229" i="1"/>
  <c r="O2229" i="1" s="1"/>
  <c r="C2229" i="1"/>
  <c r="O2228" i="1"/>
  <c r="L2228" i="1"/>
  <c r="C2228" i="1"/>
  <c r="O2227" i="1"/>
  <c r="L2227" i="1"/>
  <c r="C2227" i="1"/>
  <c r="L2226" i="1"/>
  <c r="O2226" i="1" s="1"/>
  <c r="C2226" i="1"/>
  <c r="L2225" i="1"/>
  <c r="O2225" i="1" s="1"/>
  <c r="C2225" i="1"/>
  <c r="O2224" i="1"/>
  <c r="L2224" i="1"/>
  <c r="C2224" i="1"/>
  <c r="O2223" i="1"/>
  <c r="L2223" i="1"/>
  <c r="C2223" i="1"/>
  <c r="L2222" i="1"/>
  <c r="O2222" i="1" s="1"/>
  <c r="C2222" i="1"/>
  <c r="O2221" i="1"/>
  <c r="L2221" i="1"/>
  <c r="C2221" i="1"/>
  <c r="L2220" i="1"/>
  <c r="O2220" i="1" s="1"/>
  <c r="C2220" i="1"/>
  <c r="L2219" i="1"/>
  <c r="O2219" i="1" s="1"/>
  <c r="C2219" i="1"/>
  <c r="O2218" i="1"/>
  <c r="L2218" i="1"/>
  <c r="C2218" i="1"/>
  <c r="O2217" i="1"/>
  <c r="L2217" i="1"/>
  <c r="C2217" i="1"/>
  <c r="O2216" i="1"/>
  <c r="L2216" i="1"/>
  <c r="C2216" i="1"/>
  <c r="L2215" i="1"/>
  <c r="O2215" i="1" s="1"/>
  <c r="C2215" i="1"/>
  <c r="L2214" i="1"/>
  <c r="O2214" i="1" s="1"/>
  <c r="C2214" i="1"/>
  <c r="L2213" i="1"/>
  <c r="O2213" i="1" s="1"/>
  <c r="C2213" i="1"/>
  <c r="O2212" i="1"/>
  <c r="L2212" i="1"/>
  <c r="C2212" i="1"/>
  <c r="O2211" i="1"/>
  <c r="L2211" i="1"/>
  <c r="C2211" i="1"/>
  <c r="L2210" i="1"/>
  <c r="O2210" i="1" s="1"/>
  <c r="C2210" i="1"/>
  <c r="L2209" i="1"/>
  <c r="O2209" i="1" s="1"/>
  <c r="C2209" i="1"/>
  <c r="L2208" i="1"/>
  <c r="O2208" i="1" s="1"/>
  <c r="C2208" i="1"/>
  <c r="L2207" i="1"/>
  <c r="O2207" i="1" s="1"/>
  <c r="C2207" i="1"/>
  <c r="L2206" i="1"/>
  <c r="O2206" i="1" s="1"/>
  <c r="C2206" i="1"/>
  <c r="O2205" i="1"/>
  <c r="L2205" i="1"/>
  <c r="C2205" i="1"/>
  <c r="L2204" i="1"/>
  <c r="O2204" i="1" s="1"/>
  <c r="C2204" i="1"/>
  <c r="L2203" i="1"/>
  <c r="O2203" i="1" s="1"/>
  <c r="C2203" i="1"/>
  <c r="L2202" i="1"/>
  <c r="O2202" i="1" s="1"/>
  <c r="C2202" i="1"/>
  <c r="O2201" i="1"/>
  <c r="L2201" i="1"/>
  <c r="C2201" i="1"/>
  <c r="O2200" i="1"/>
  <c r="L2200" i="1"/>
  <c r="C2200" i="1"/>
  <c r="L2199" i="1"/>
  <c r="O2199" i="1" s="1"/>
  <c r="C2199" i="1"/>
  <c r="L2198" i="1"/>
  <c r="O2198" i="1" s="1"/>
  <c r="C2198" i="1"/>
  <c r="L2197" i="1"/>
  <c r="O2197" i="1" s="1"/>
  <c r="C2197" i="1"/>
  <c r="O2196" i="1"/>
  <c r="L2196" i="1"/>
  <c r="C2196" i="1"/>
  <c r="O2195" i="1"/>
  <c r="L2195" i="1"/>
  <c r="C2195" i="1"/>
  <c r="L2194" i="1"/>
  <c r="O2194" i="1" s="1"/>
  <c r="C2194" i="1"/>
  <c r="O2193" i="1"/>
  <c r="L2193" i="1"/>
  <c r="C2193" i="1"/>
  <c r="O2192" i="1"/>
  <c r="L2192" i="1"/>
  <c r="C2192" i="1"/>
  <c r="L2191" i="1"/>
  <c r="O2191" i="1" s="1"/>
  <c r="C2191" i="1"/>
  <c r="L2190" i="1"/>
  <c r="O2190" i="1" s="1"/>
  <c r="C2190" i="1"/>
  <c r="O2189" i="1"/>
  <c r="L2189" i="1"/>
  <c r="C2189" i="1"/>
  <c r="L2188" i="1"/>
  <c r="O2188" i="1" s="1"/>
  <c r="C2188" i="1"/>
  <c r="O2187" i="1"/>
  <c r="L2187" i="1"/>
  <c r="C2187" i="1"/>
  <c r="O2186" i="1"/>
  <c r="L2186" i="1"/>
  <c r="C2186" i="1"/>
  <c r="O2185" i="1"/>
  <c r="L2185" i="1"/>
  <c r="C2185" i="1"/>
  <c r="O2184" i="1"/>
  <c r="L2184" i="1"/>
  <c r="C2184" i="1"/>
  <c r="L2183" i="1"/>
  <c r="O2183" i="1" s="1"/>
  <c r="C2183" i="1"/>
  <c r="L2182" i="1"/>
  <c r="O2182" i="1" s="1"/>
  <c r="C2182" i="1"/>
  <c r="O2181" i="1"/>
  <c r="L2181" i="1"/>
  <c r="C2181" i="1"/>
  <c r="O2180" i="1"/>
  <c r="L2180" i="1"/>
  <c r="C2180" i="1"/>
  <c r="O2179" i="1"/>
  <c r="L2179" i="1"/>
  <c r="C2179" i="1"/>
  <c r="L2178" i="1"/>
  <c r="O2178" i="1" s="1"/>
  <c r="C2178" i="1"/>
  <c r="L2177" i="1"/>
  <c r="O2177" i="1" s="1"/>
  <c r="C2177" i="1"/>
  <c r="L2176" i="1"/>
  <c r="O2176" i="1" s="1"/>
  <c r="C2176" i="1"/>
  <c r="L2175" i="1"/>
  <c r="O2175" i="1" s="1"/>
  <c r="C2175" i="1"/>
  <c r="L2174" i="1"/>
  <c r="O2174" i="1" s="1"/>
  <c r="C2174" i="1"/>
  <c r="O2173" i="1"/>
  <c r="L2173" i="1"/>
  <c r="C2173" i="1"/>
  <c r="L2172" i="1"/>
  <c r="O2172" i="1" s="1"/>
  <c r="C2172" i="1"/>
  <c r="L2171" i="1"/>
  <c r="O2171" i="1" s="1"/>
  <c r="C2171" i="1"/>
  <c r="L2170" i="1"/>
  <c r="O2170" i="1" s="1"/>
  <c r="C2170" i="1"/>
  <c r="O2169" i="1"/>
  <c r="L2169" i="1"/>
  <c r="C2169" i="1"/>
  <c r="O2168" i="1"/>
  <c r="L2168" i="1"/>
  <c r="C2168" i="1"/>
  <c r="L2167" i="1"/>
  <c r="O2167" i="1" s="1"/>
  <c r="C2167" i="1"/>
  <c r="L2166" i="1"/>
  <c r="O2166" i="1" s="1"/>
  <c r="C2166" i="1"/>
  <c r="L2165" i="1"/>
  <c r="O2165" i="1" s="1"/>
  <c r="C2165" i="1"/>
  <c r="O2164" i="1"/>
  <c r="L2164" i="1"/>
  <c r="C2164" i="1"/>
  <c r="O2163" i="1"/>
  <c r="L2163" i="1"/>
  <c r="C2163" i="1"/>
  <c r="L2162" i="1"/>
  <c r="O2162" i="1" s="1"/>
  <c r="C2162" i="1"/>
  <c r="L2161" i="1"/>
  <c r="O2161" i="1" s="1"/>
  <c r="C2161" i="1"/>
  <c r="L2160" i="1"/>
  <c r="O2160" i="1" s="1"/>
  <c r="C2160" i="1"/>
  <c r="L2159" i="1"/>
  <c r="O2159" i="1" s="1"/>
  <c r="C2159" i="1"/>
  <c r="L2158" i="1"/>
  <c r="O2158" i="1" s="1"/>
  <c r="C2158" i="1"/>
  <c r="O2157" i="1"/>
  <c r="L2157" i="1"/>
  <c r="C2157" i="1"/>
  <c r="L2156" i="1"/>
  <c r="O2156" i="1" s="1"/>
  <c r="C2156" i="1"/>
  <c r="L2155" i="1"/>
  <c r="O2155" i="1" s="1"/>
  <c r="C2155" i="1"/>
  <c r="L2154" i="1"/>
  <c r="O2154" i="1" s="1"/>
  <c r="C2154" i="1"/>
  <c r="O2153" i="1"/>
  <c r="L2153" i="1"/>
  <c r="C2153" i="1"/>
  <c r="O2152" i="1"/>
  <c r="L2152" i="1"/>
  <c r="C2152" i="1"/>
  <c r="L2151" i="1"/>
  <c r="O2151" i="1" s="1"/>
  <c r="C2151" i="1"/>
  <c r="L2150" i="1"/>
  <c r="O2150" i="1" s="1"/>
  <c r="C2150" i="1"/>
  <c r="L2149" i="1"/>
  <c r="O2149" i="1" s="1"/>
  <c r="C2149" i="1"/>
  <c r="O2148" i="1"/>
  <c r="L2148" i="1"/>
  <c r="C2148" i="1"/>
  <c r="O2147" i="1"/>
  <c r="L2147" i="1"/>
  <c r="C2147" i="1"/>
  <c r="L2146" i="1"/>
  <c r="O2146" i="1" s="1"/>
  <c r="C2146" i="1"/>
  <c r="L2145" i="1"/>
  <c r="O2145" i="1" s="1"/>
  <c r="C2145" i="1"/>
  <c r="L2144" i="1"/>
  <c r="O2144" i="1" s="1"/>
  <c r="C2144" i="1"/>
  <c r="O2143" i="1"/>
  <c r="L2143" i="1"/>
  <c r="C2143" i="1"/>
  <c r="L2142" i="1"/>
  <c r="O2142" i="1" s="1"/>
  <c r="C2142" i="1"/>
  <c r="O2141" i="1"/>
  <c r="L2141" i="1"/>
  <c r="C2141" i="1"/>
  <c r="L2140" i="1"/>
  <c r="O2140" i="1" s="1"/>
  <c r="C2140" i="1"/>
  <c r="L2139" i="1"/>
  <c r="O2139" i="1" s="1"/>
  <c r="C2139" i="1"/>
  <c r="L2138" i="1"/>
  <c r="O2138" i="1" s="1"/>
  <c r="C2138" i="1"/>
  <c r="O2137" i="1"/>
  <c r="L2137" i="1"/>
  <c r="C2137" i="1"/>
  <c r="O2136" i="1"/>
  <c r="L2136" i="1"/>
  <c r="C2136" i="1"/>
  <c r="L2135" i="1"/>
  <c r="O2135" i="1" s="1"/>
  <c r="C2135" i="1"/>
  <c r="L2134" i="1"/>
  <c r="O2134" i="1" s="1"/>
  <c r="C2134" i="1"/>
  <c r="O2133" i="1"/>
  <c r="L2133" i="1"/>
  <c r="C2133" i="1"/>
  <c r="O2132" i="1"/>
  <c r="L2132" i="1"/>
  <c r="C2132" i="1"/>
  <c r="O2131" i="1"/>
  <c r="L2131" i="1"/>
  <c r="C2131" i="1"/>
  <c r="L2130" i="1"/>
  <c r="O2130" i="1" s="1"/>
  <c r="C2130" i="1"/>
  <c r="O2129" i="1"/>
  <c r="L2129" i="1"/>
  <c r="C2129" i="1"/>
  <c r="O2128" i="1"/>
  <c r="L2128" i="1"/>
  <c r="C2128" i="1"/>
  <c r="L2127" i="1"/>
  <c r="O2127" i="1" s="1"/>
  <c r="C2127" i="1"/>
  <c r="L2126" i="1"/>
  <c r="O2126" i="1" s="1"/>
  <c r="C2126" i="1"/>
  <c r="O2125" i="1"/>
  <c r="L2125" i="1"/>
  <c r="C2125" i="1"/>
  <c r="L2124" i="1"/>
  <c r="O2124" i="1" s="1"/>
  <c r="C2124" i="1"/>
  <c r="O2123" i="1"/>
  <c r="L2123" i="1"/>
  <c r="C2123" i="1"/>
  <c r="O2122" i="1"/>
  <c r="L2122" i="1"/>
  <c r="C2122" i="1"/>
  <c r="O2121" i="1"/>
  <c r="L2121" i="1"/>
  <c r="C2121" i="1"/>
  <c r="O2120" i="1"/>
  <c r="L2120" i="1"/>
  <c r="C2120" i="1"/>
  <c r="L2119" i="1"/>
  <c r="O2119" i="1" s="1"/>
  <c r="C2119" i="1"/>
  <c r="O2118" i="1"/>
  <c r="L2118" i="1"/>
  <c r="C2118" i="1"/>
  <c r="O2117" i="1"/>
  <c r="L2117" i="1"/>
  <c r="C2117" i="1"/>
  <c r="O2116" i="1"/>
  <c r="L2116" i="1"/>
  <c r="C2116" i="1"/>
  <c r="O2115" i="1"/>
  <c r="L2115" i="1"/>
  <c r="C2115" i="1"/>
  <c r="L2114" i="1"/>
  <c r="O2114" i="1" s="1"/>
  <c r="C2114" i="1"/>
  <c r="O2113" i="1"/>
  <c r="L2113" i="1"/>
  <c r="C2113" i="1"/>
  <c r="L2112" i="1"/>
  <c r="O2112" i="1" s="1"/>
  <c r="C2112" i="1"/>
  <c r="L2111" i="1"/>
  <c r="O2111" i="1" s="1"/>
  <c r="C2111" i="1"/>
  <c r="L2110" i="1"/>
  <c r="O2110" i="1" s="1"/>
  <c r="C2110" i="1"/>
  <c r="O2109" i="1"/>
  <c r="L2109" i="1"/>
  <c r="C2109" i="1"/>
  <c r="L2108" i="1"/>
  <c r="O2108" i="1" s="1"/>
  <c r="C2108" i="1"/>
  <c r="O2107" i="1"/>
  <c r="L2107" i="1"/>
  <c r="C2107" i="1"/>
  <c r="O2106" i="1"/>
  <c r="L2106" i="1"/>
  <c r="C2106" i="1"/>
  <c r="O2105" i="1"/>
  <c r="L2105" i="1"/>
  <c r="C2105" i="1"/>
  <c r="O2104" i="1"/>
  <c r="L2104" i="1"/>
  <c r="C2104" i="1"/>
  <c r="L2103" i="1"/>
  <c r="O2103" i="1" s="1"/>
  <c r="C2103" i="1"/>
  <c r="L2102" i="1"/>
  <c r="O2102" i="1" s="1"/>
  <c r="C2102" i="1"/>
  <c r="O2101" i="1"/>
  <c r="L2101" i="1"/>
  <c r="C2101" i="1"/>
  <c r="O2100" i="1"/>
  <c r="L2100" i="1"/>
  <c r="C2100" i="1"/>
  <c r="O2099" i="1"/>
  <c r="L2099" i="1"/>
  <c r="C2099" i="1"/>
  <c r="L2098" i="1"/>
  <c r="O2098" i="1" s="1"/>
  <c r="C2098" i="1"/>
  <c r="L2097" i="1"/>
  <c r="O2097" i="1" s="1"/>
  <c r="C2097" i="1"/>
  <c r="L2096" i="1"/>
  <c r="O2096" i="1" s="1"/>
  <c r="C2096" i="1"/>
  <c r="L2095" i="1"/>
  <c r="O2095" i="1" s="1"/>
  <c r="C2095" i="1"/>
  <c r="L2094" i="1"/>
  <c r="O2094" i="1" s="1"/>
  <c r="C2094" i="1"/>
  <c r="O2093" i="1"/>
  <c r="L2093" i="1"/>
  <c r="C2093" i="1"/>
  <c r="L2092" i="1"/>
  <c r="O2092" i="1" s="1"/>
  <c r="C2092" i="1"/>
  <c r="L2091" i="1"/>
  <c r="O2091" i="1" s="1"/>
  <c r="C2091" i="1"/>
  <c r="L2090" i="1"/>
  <c r="O2090" i="1" s="1"/>
  <c r="C2090" i="1"/>
  <c r="O2089" i="1"/>
  <c r="L2089" i="1"/>
  <c r="C2089" i="1"/>
  <c r="O2088" i="1"/>
  <c r="L2088" i="1"/>
  <c r="C2088" i="1"/>
  <c r="L2087" i="1"/>
  <c r="O2087" i="1" s="1"/>
  <c r="C2087" i="1"/>
  <c r="L2086" i="1"/>
  <c r="O2086" i="1" s="1"/>
  <c r="C2086" i="1"/>
  <c r="L2085" i="1"/>
  <c r="O2085" i="1" s="1"/>
  <c r="C2085" i="1"/>
  <c r="O2084" i="1"/>
  <c r="L2084" i="1"/>
  <c r="C2084" i="1"/>
  <c r="O2083" i="1"/>
  <c r="L2083" i="1"/>
  <c r="C2083" i="1"/>
  <c r="L2082" i="1"/>
  <c r="O2082" i="1" s="1"/>
  <c r="C2082" i="1"/>
  <c r="L2081" i="1"/>
  <c r="O2081" i="1" s="1"/>
  <c r="C2081" i="1"/>
  <c r="L2080" i="1"/>
  <c r="O2080" i="1" s="1"/>
  <c r="C2080" i="1"/>
  <c r="L2079" i="1"/>
  <c r="O2079" i="1" s="1"/>
  <c r="C2079" i="1"/>
  <c r="L2078" i="1"/>
  <c r="O2078" i="1" s="1"/>
  <c r="C2078" i="1"/>
  <c r="O2077" i="1"/>
  <c r="L2077" i="1"/>
  <c r="C2077" i="1"/>
  <c r="L2076" i="1"/>
  <c r="O2076" i="1" s="1"/>
  <c r="C2076" i="1"/>
  <c r="L2075" i="1"/>
  <c r="O2075" i="1" s="1"/>
  <c r="C2075" i="1"/>
  <c r="L2074" i="1"/>
  <c r="O2074" i="1" s="1"/>
  <c r="C2074" i="1"/>
  <c r="O2073" i="1"/>
  <c r="L2073" i="1"/>
  <c r="C2073" i="1"/>
  <c r="O2072" i="1"/>
  <c r="L2072" i="1"/>
  <c r="C2072" i="1"/>
  <c r="L2071" i="1"/>
  <c r="O2071" i="1" s="1"/>
  <c r="C2071" i="1"/>
  <c r="L2070" i="1"/>
  <c r="O2070" i="1" s="1"/>
  <c r="C2070" i="1"/>
  <c r="O2069" i="1"/>
  <c r="L2069" i="1"/>
  <c r="C2069" i="1"/>
  <c r="O2068" i="1"/>
  <c r="L2068" i="1"/>
  <c r="C2068" i="1"/>
  <c r="O2067" i="1"/>
  <c r="L2067" i="1"/>
  <c r="C2067" i="1"/>
  <c r="L2066" i="1"/>
  <c r="O2066" i="1" s="1"/>
  <c r="C2066" i="1"/>
  <c r="O2065" i="1"/>
  <c r="L2065" i="1"/>
  <c r="C2065" i="1"/>
  <c r="O2064" i="1"/>
  <c r="L2064" i="1"/>
  <c r="C2064" i="1"/>
  <c r="L2063" i="1"/>
  <c r="O2063" i="1" s="1"/>
  <c r="C2063" i="1"/>
  <c r="L2062" i="1"/>
  <c r="O2062" i="1" s="1"/>
  <c r="C2062" i="1"/>
  <c r="O2061" i="1"/>
  <c r="L2061" i="1"/>
  <c r="C2061" i="1"/>
  <c r="L2060" i="1"/>
  <c r="O2060" i="1" s="1"/>
  <c r="C2060" i="1"/>
  <c r="O2059" i="1"/>
  <c r="L2059" i="1"/>
  <c r="C2059" i="1"/>
  <c r="L2058" i="1"/>
  <c r="O2058" i="1" s="1"/>
  <c r="C2058" i="1"/>
  <c r="O2057" i="1"/>
  <c r="L2057" i="1"/>
  <c r="C2057" i="1"/>
  <c r="O2056" i="1"/>
  <c r="L2056" i="1"/>
  <c r="C2056" i="1"/>
  <c r="L2055" i="1"/>
  <c r="O2055" i="1" s="1"/>
  <c r="C2055" i="1"/>
  <c r="L2054" i="1"/>
  <c r="O2054" i="1" s="1"/>
  <c r="C2054" i="1"/>
  <c r="L2053" i="1"/>
  <c r="O2053" i="1" s="1"/>
  <c r="C2053" i="1"/>
  <c r="O2052" i="1"/>
  <c r="L2052" i="1"/>
  <c r="C2052" i="1"/>
  <c r="O2051" i="1"/>
  <c r="L2051" i="1"/>
  <c r="C2051" i="1"/>
  <c r="L2050" i="1"/>
  <c r="O2050" i="1" s="1"/>
  <c r="C2050" i="1"/>
  <c r="O2049" i="1"/>
  <c r="L2049" i="1"/>
  <c r="C2049" i="1"/>
  <c r="O2048" i="1"/>
  <c r="L2048" i="1"/>
  <c r="C2048" i="1"/>
  <c r="O2047" i="1"/>
  <c r="L2047" i="1"/>
  <c r="C2047" i="1"/>
  <c r="L2046" i="1"/>
  <c r="O2046" i="1" s="1"/>
  <c r="C2046" i="1"/>
  <c r="O2045" i="1"/>
  <c r="L2045" i="1"/>
  <c r="C2045" i="1"/>
  <c r="O2044" i="1"/>
  <c r="L2044" i="1"/>
  <c r="C2044" i="1"/>
  <c r="L2043" i="1"/>
  <c r="O2043" i="1" s="1"/>
  <c r="C2043" i="1"/>
  <c r="O2042" i="1"/>
  <c r="L2042" i="1"/>
  <c r="C2042" i="1"/>
  <c r="O2041" i="1"/>
  <c r="L2041" i="1"/>
  <c r="C2041" i="1"/>
  <c r="O2040" i="1"/>
  <c r="L2040" i="1"/>
  <c r="C2040" i="1"/>
  <c r="O2039" i="1"/>
  <c r="L2039" i="1"/>
  <c r="C2039" i="1"/>
  <c r="O2038" i="1"/>
  <c r="L2038" i="1"/>
  <c r="C2038" i="1"/>
  <c r="O2037" i="1"/>
  <c r="L2037" i="1"/>
  <c r="C2037" i="1"/>
  <c r="O2036" i="1"/>
  <c r="L2036" i="1"/>
  <c r="C2036" i="1"/>
  <c r="O2035" i="1"/>
  <c r="L2035" i="1"/>
  <c r="C2035" i="1"/>
  <c r="L2034" i="1"/>
  <c r="O2034" i="1" s="1"/>
  <c r="C2034" i="1"/>
  <c r="O2033" i="1"/>
  <c r="L2033" i="1"/>
  <c r="C2033" i="1"/>
  <c r="L2032" i="1"/>
  <c r="O2032" i="1" s="1"/>
  <c r="C2032" i="1"/>
  <c r="O2031" i="1"/>
  <c r="L2031" i="1"/>
  <c r="C2031" i="1"/>
  <c r="L2030" i="1"/>
  <c r="O2030" i="1" s="1"/>
  <c r="C2030" i="1"/>
  <c r="O2029" i="1"/>
  <c r="L2029" i="1"/>
  <c r="C2029" i="1"/>
  <c r="L2028" i="1"/>
  <c r="O2028" i="1" s="1"/>
  <c r="C2028" i="1"/>
  <c r="L2027" i="1"/>
  <c r="O2027" i="1" s="1"/>
  <c r="C2027" i="1"/>
  <c r="O2026" i="1"/>
  <c r="L2026" i="1"/>
  <c r="C2026" i="1"/>
  <c r="O2025" i="1"/>
  <c r="L2025" i="1"/>
  <c r="C2025" i="1"/>
  <c r="O2024" i="1"/>
  <c r="L2024" i="1"/>
  <c r="C2024" i="1"/>
  <c r="O2023" i="1"/>
  <c r="L2023" i="1"/>
  <c r="C2023" i="1"/>
  <c r="O2022" i="1"/>
  <c r="L2022" i="1"/>
  <c r="C2022" i="1"/>
  <c r="O2021" i="1"/>
  <c r="L2021" i="1"/>
  <c r="C2021" i="1"/>
  <c r="O2020" i="1"/>
  <c r="L2020" i="1"/>
  <c r="C2020" i="1"/>
  <c r="O2019" i="1"/>
  <c r="L2019" i="1"/>
  <c r="C2019" i="1"/>
  <c r="L2018" i="1"/>
  <c r="O2018" i="1" s="1"/>
  <c r="C2018" i="1"/>
  <c r="L2017" i="1"/>
  <c r="O2017" i="1" s="1"/>
  <c r="C2017" i="1"/>
  <c r="L2016" i="1"/>
  <c r="O2016" i="1" s="1"/>
  <c r="C2016" i="1"/>
  <c r="L2015" i="1"/>
  <c r="O2015" i="1" s="1"/>
  <c r="C2015" i="1"/>
  <c r="L2014" i="1"/>
  <c r="O2014" i="1" s="1"/>
  <c r="C2014" i="1"/>
  <c r="O2013" i="1"/>
  <c r="L2013" i="1"/>
  <c r="C2013" i="1"/>
  <c r="L2012" i="1"/>
  <c r="O2012" i="1" s="1"/>
  <c r="C2012" i="1"/>
  <c r="L2011" i="1"/>
  <c r="O2011" i="1" s="1"/>
  <c r="C2011" i="1"/>
  <c r="L2010" i="1"/>
  <c r="O2010" i="1" s="1"/>
  <c r="C2010" i="1"/>
  <c r="O2009" i="1"/>
  <c r="L2009" i="1"/>
  <c r="C2009" i="1"/>
  <c r="O2008" i="1"/>
  <c r="L2008" i="1"/>
  <c r="C2008" i="1"/>
  <c r="L2007" i="1"/>
  <c r="O2007" i="1" s="1"/>
  <c r="C2007" i="1"/>
  <c r="L2006" i="1"/>
  <c r="O2006" i="1" s="1"/>
  <c r="C2006" i="1"/>
  <c r="O2005" i="1"/>
  <c r="L2005" i="1"/>
  <c r="C2005" i="1"/>
  <c r="O2004" i="1"/>
  <c r="L2004" i="1"/>
  <c r="C2004" i="1"/>
  <c r="O2003" i="1"/>
  <c r="L2003" i="1"/>
  <c r="C2003" i="1"/>
  <c r="L2002" i="1"/>
  <c r="O2002" i="1" s="1"/>
  <c r="C2002" i="1"/>
  <c r="L2001" i="1"/>
  <c r="O2001" i="1" s="1"/>
  <c r="C2001" i="1"/>
  <c r="L2000" i="1"/>
  <c r="O2000" i="1" s="1"/>
  <c r="C2000" i="1"/>
  <c r="O1999" i="1"/>
  <c r="L1999" i="1"/>
  <c r="C1999" i="1"/>
  <c r="L1998" i="1"/>
  <c r="O1998" i="1" s="1"/>
  <c r="C1998" i="1"/>
  <c r="O1997" i="1"/>
  <c r="L1997" i="1"/>
  <c r="C1997" i="1"/>
  <c r="L1996" i="1"/>
  <c r="O1996" i="1" s="1"/>
  <c r="C1996" i="1"/>
  <c r="O1995" i="1"/>
  <c r="L1995" i="1"/>
  <c r="C1995" i="1"/>
  <c r="L1994" i="1"/>
  <c r="O1994" i="1" s="1"/>
  <c r="C1994" i="1"/>
  <c r="O1993" i="1"/>
  <c r="L1993" i="1"/>
  <c r="C1993" i="1"/>
  <c r="O1992" i="1"/>
  <c r="L1992" i="1"/>
  <c r="C1992" i="1"/>
  <c r="L1991" i="1"/>
  <c r="O1991" i="1" s="1"/>
  <c r="C1991" i="1"/>
  <c r="L1990" i="1"/>
  <c r="O1990" i="1" s="1"/>
  <c r="C1990" i="1"/>
  <c r="L1989" i="1"/>
  <c r="O1989" i="1" s="1"/>
  <c r="C1989" i="1"/>
  <c r="L1988" i="1"/>
  <c r="O1988" i="1" s="1"/>
  <c r="C1988" i="1"/>
  <c r="O1987" i="1"/>
  <c r="L1987" i="1"/>
  <c r="C1987" i="1"/>
  <c r="L1986" i="1"/>
  <c r="O1986" i="1" s="1"/>
  <c r="C1986" i="1"/>
  <c r="L1985" i="1"/>
  <c r="O1985" i="1" s="1"/>
  <c r="C1985" i="1"/>
  <c r="O1984" i="1"/>
  <c r="L1984" i="1"/>
  <c r="C1984" i="1"/>
  <c r="L1983" i="1"/>
  <c r="O1983" i="1" s="1"/>
  <c r="C1983" i="1"/>
  <c r="L1982" i="1"/>
  <c r="O1982" i="1" s="1"/>
  <c r="C1982" i="1"/>
  <c r="O1981" i="1"/>
  <c r="L1981" i="1"/>
  <c r="C1981" i="1"/>
  <c r="O1980" i="1"/>
  <c r="L1980" i="1"/>
  <c r="C1980" i="1"/>
  <c r="L1979" i="1"/>
  <c r="O1979" i="1" s="1"/>
  <c r="C1979" i="1"/>
  <c r="O1978" i="1"/>
  <c r="L1978" i="1"/>
  <c r="C1978" i="1"/>
  <c r="O1977" i="1"/>
  <c r="L1977" i="1"/>
  <c r="C1977" i="1"/>
  <c r="O1976" i="1"/>
  <c r="L1976" i="1"/>
  <c r="C1976" i="1"/>
  <c r="L1975" i="1"/>
  <c r="O1975" i="1" s="1"/>
  <c r="C1975" i="1"/>
  <c r="L1974" i="1"/>
  <c r="O1974" i="1" s="1"/>
  <c r="C1974" i="1"/>
  <c r="L1973" i="1"/>
  <c r="O1973" i="1" s="1"/>
  <c r="C1973" i="1"/>
  <c r="O1972" i="1"/>
  <c r="L1972" i="1"/>
  <c r="C1972" i="1"/>
  <c r="L1971" i="1"/>
  <c r="O1971" i="1" s="1"/>
  <c r="C1971" i="1"/>
  <c r="L1970" i="1"/>
  <c r="O1970" i="1" s="1"/>
  <c r="C1970" i="1"/>
  <c r="O1969" i="1"/>
  <c r="L1969" i="1"/>
  <c r="C1969" i="1"/>
  <c r="L1968" i="1"/>
  <c r="O1968" i="1" s="1"/>
  <c r="C1968" i="1"/>
  <c r="L1967" i="1"/>
  <c r="O1967" i="1" s="1"/>
  <c r="C1967" i="1"/>
  <c r="L1966" i="1"/>
  <c r="O1966" i="1" s="1"/>
  <c r="C1966" i="1"/>
  <c r="O1965" i="1"/>
  <c r="L1965" i="1"/>
  <c r="C1965" i="1"/>
  <c r="O1964" i="1"/>
  <c r="L1964" i="1"/>
  <c r="C1964" i="1"/>
  <c r="L1963" i="1"/>
  <c r="O1963" i="1" s="1"/>
  <c r="C1963" i="1"/>
  <c r="L1962" i="1"/>
  <c r="O1962" i="1" s="1"/>
  <c r="C1962" i="1"/>
  <c r="O1961" i="1"/>
  <c r="L1961" i="1"/>
  <c r="C1961" i="1"/>
  <c r="O1960" i="1"/>
  <c r="L1960" i="1"/>
  <c r="C1960" i="1"/>
  <c r="O1959" i="1"/>
  <c r="L1959" i="1"/>
  <c r="C1959" i="1"/>
  <c r="O1958" i="1"/>
  <c r="L1958" i="1"/>
  <c r="C1958" i="1"/>
  <c r="L1957" i="1"/>
  <c r="O1957" i="1" s="1"/>
  <c r="C1957" i="1"/>
  <c r="L1956" i="1"/>
  <c r="O1956" i="1" s="1"/>
  <c r="C1956" i="1"/>
  <c r="L1955" i="1"/>
  <c r="O1955" i="1" s="1"/>
  <c r="C1955" i="1"/>
  <c r="L1954" i="1"/>
  <c r="O1954" i="1" s="1"/>
  <c r="C1954" i="1"/>
  <c r="O1953" i="1"/>
  <c r="L1953" i="1"/>
  <c r="C1953" i="1"/>
  <c r="L1952" i="1"/>
  <c r="O1952" i="1" s="1"/>
  <c r="C1952" i="1"/>
  <c r="L1951" i="1"/>
  <c r="O1951" i="1" s="1"/>
  <c r="C1951" i="1"/>
  <c r="L1950" i="1"/>
  <c r="O1950" i="1" s="1"/>
  <c r="C1950" i="1"/>
  <c r="O1949" i="1"/>
  <c r="L1949" i="1"/>
  <c r="C1949" i="1"/>
  <c r="L1948" i="1"/>
  <c r="O1948" i="1" s="1"/>
  <c r="C1948" i="1"/>
  <c r="L1947" i="1"/>
  <c r="O1947" i="1" s="1"/>
  <c r="C1947" i="1"/>
  <c r="O1946" i="1"/>
  <c r="L1946" i="1"/>
  <c r="C1946" i="1"/>
  <c r="O1945" i="1"/>
  <c r="L1945" i="1"/>
  <c r="C1945" i="1"/>
  <c r="O1944" i="1"/>
  <c r="L1944" i="1"/>
  <c r="C1944" i="1"/>
  <c r="L1943" i="1"/>
  <c r="O1943" i="1" s="1"/>
  <c r="C1943" i="1"/>
  <c r="O1942" i="1"/>
  <c r="L1942" i="1"/>
  <c r="C1942" i="1"/>
  <c r="L1941" i="1"/>
  <c r="O1941" i="1" s="1"/>
  <c r="C1941" i="1"/>
  <c r="L1940" i="1"/>
  <c r="O1940" i="1" s="1"/>
  <c r="C1940" i="1"/>
  <c r="L1939" i="1"/>
  <c r="O1939" i="1" s="1"/>
  <c r="C1939" i="1"/>
  <c r="L1938" i="1"/>
  <c r="O1938" i="1" s="1"/>
  <c r="C1938" i="1"/>
  <c r="L1937" i="1"/>
  <c r="O1937" i="1" s="1"/>
  <c r="C1937" i="1"/>
  <c r="L1936" i="1"/>
  <c r="O1936" i="1" s="1"/>
  <c r="C1936" i="1"/>
  <c r="L1935" i="1"/>
  <c r="O1935" i="1" s="1"/>
  <c r="C1935" i="1"/>
  <c r="L1934" i="1"/>
  <c r="O1934" i="1" s="1"/>
  <c r="C1934" i="1"/>
  <c r="O1933" i="1"/>
  <c r="L1933" i="1"/>
  <c r="C1933" i="1"/>
  <c r="O1932" i="1"/>
  <c r="L1932" i="1"/>
  <c r="C1932" i="1"/>
  <c r="O1931" i="1"/>
  <c r="L1931" i="1"/>
  <c r="C1931" i="1"/>
  <c r="O1930" i="1"/>
  <c r="L1930" i="1"/>
  <c r="C1930" i="1"/>
  <c r="O1929" i="1"/>
  <c r="L1929" i="1"/>
  <c r="C1929" i="1"/>
  <c r="O1928" i="1"/>
  <c r="L1928" i="1"/>
  <c r="C1928" i="1"/>
  <c r="L1927" i="1"/>
  <c r="O1927" i="1" s="1"/>
  <c r="C1927" i="1"/>
  <c r="O1926" i="1"/>
  <c r="L1926" i="1"/>
  <c r="C1926" i="1"/>
  <c r="L1925" i="1"/>
  <c r="O1925" i="1" s="1"/>
  <c r="C1925" i="1"/>
  <c r="O1924" i="1"/>
  <c r="L1924" i="1"/>
  <c r="C1924" i="1"/>
  <c r="L1923" i="1"/>
  <c r="O1923" i="1" s="1"/>
  <c r="C1923" i="1"/>
  <c r="L1922" i="1"/>
  <c r="O1922" i="1" s="1"/>
  <c r="C1922" i="1"/>
  <c r="L1921" i="1"/>
  <c r="O1921" i="1" s="1"/>
  <c r="C1921" i="1"/>
  <c r="O1920" i="1"/>
  <c r="L1920" i="1"/>
  <c r="C1920" i="1"/>
  <c r="O1919" i="1"/>
  <c r="L1919" i="1"/>
  <c r="C1919" i="1"/>
  <c r="L1918" i="1"/>
  <c r="O1918" i="1" s="1"/>
  <c r="C1918" i="1"/>
  <c r="O1917" i="1"/>
  <c r="L1917" i="1"/>
  <c r="C1917" i="1"/>
  <c r="O1916" i="1"/>
  <c r="L1916" i="1"/>
  <c r="C1916" i="1"/>
  <c r="O1915" i="1"/>
  <c r="L1915" i="1"/>
  <c r="C1915" i="1"/>
  <c r="O1914" i="1"/>
  <c r="L1914" i="1"/>
  <c r="C1914" i="1"/>
  <c r="O1913" i="1"/>
  <c r="L1913" i="1"/>
  <c r="C1913" i="1"/>
  <c r="O1912" i="1"/>
  <c r="L1912" i="1"/>
  <c r="C1912" i="1"/>
  <c r="O1911" i="1"/>
  <c r="L1911" i="1"/>
  <c r="C1911" i="1"/>
  <c r="L1910" i="1"/>
  <c r="O1910" i="1" s="1"/>
  <c r="C1910" i="1"/>
  <c r="O1909" i="1"/>
  <c r="L1909" i="1"/>
  <c r="C1909" i="1"/>
  <c r="O1908" i="1"/>
  <c r="L1908" i="1"/>
  <c r="C1908" i="1"/>
  <c r="L1907" i="1"/>
  <c r="O1907" i="1" s="1"/>
  <c r="C1907" i="1"/>
  <c r="L1906" i="1"/>
  <c r="O1906" i="1" s="1"/>
  <c r="C1906" i="1"/>
  <c r="L1905" i="1"/>
  <c r="O1905" i="1" s="1"/>
  <c r="C1905" i="1"/>
  <c r="L1904" i="1"/>
  <c r="O1904" i="1" s="1"/>
  <c r="C1904" i="1"/>
  <c r="O1903" i="1"/>
  <c r="L1903" i="1"/>
  <c r="C1903" i="1"/>
  <c r="L1902" i="1"/>
  <c r="O1902" i="1" s="1"/>
  <c r="C1902" i="1"/>
  <c r="O1901" i="1"/>
  <c r="L1901" i="1"/>
  <c r="C1901" i="1"/>
  <c r="L1900" i="1"/>
  <c r="O1900" i="1" s="1"/>
  <c r="C1900" i="1"/>
  <c r="O1899" i="1"/>
  <c r="L1899" i="1"/>
  <c r="C1899" i="1"/>
  <c r="O1898" i="1"/>
  <c r="L1898" i="1"/>
  <c r="C1898" i="1"/>
  <c r="O1897" i="1"/>
  <c r="L1897" i="1"/>
  <c r="C1897" i="1"/>
  <c r="O1896" i="1"/>
  <c r="L1896" i="1"/>
  <c r="C1896" i="1"/>
  <c r="L1895" i="1"/>
  <c r="O1895" i="1" s="1"/>
  <c r="C1895" i="1"/>
  <c r="L1894" i="1"/>
  <c r="O1894" i="1" s="1"/>
  <c r="C1894" i="1"/>
  <c r="L1893" i="1"/>
  <c r="O1893" i="1" s="1"/>
  <c r="C1893" i="1"/>
  <c r="O1892" i="1"/>
  <c r="L1892" i="1"/>
  <c r="C1892" i="1"/>
  <c r="L1891" i="1"/>
  <c r="O1891" i="1" s="1"/>
  <c r="C1891" i="1"/>
  <c r="L1890" i="1"/>
  <c r="O1890" i="1" s="1"/>
  <c r="C1890" i="1"/>
  <c r="L1889" i="1"/>
  <c r="O1889" i="1" s="1"/>
  <c r="C1889" i="1"/>
  <c r="L1888" i="1"/>
  <c r="O1888" i="1" s="1"/>
  <c r="C1888" i="1"/>
  <c r="L1887" i="1"/>
  <c r="O1887" i="1" s="1"/>
  <c r="C1887" i="1"/>
  <c r="L1886" i="1"/>
  <c r="O1886" i="1" s="1"/>
  <c r="C1886" i="1"/>
  <c r="O1885" i="1"/>
  <c r="L1885" i="1"/>
  <c r="C1885" i="1"/>
  <c r="L1884" i="1"/>
  <c r="O1884" i="1" s="1"/>
  <c r="C1884" i="1"/>
  <c r="L1883" i="1"/>
  <c r="O1883" i="1" s="1"/>
  <c r="C1883" i="1"/>
  <c r="L1882" i="1"/>
  <c r="O1882" i="1" s="1"/>
  <c r="C1882" i="1"/>
  <c r="O1881" i="1"/>
  <c r="L1881" i="1"/>
  <c r="C1881" i="1"/>
  <c r="O1880" i="1"/>
  <c r="L1880" i="1"/>
  <c r="C1880" i="1"/>
  <c r="L1879" i="1"/>
  <c r="O1879" i="1" s="1"/>
  <c r="C1879" i="1"/>
  <c r="O1878" i="1"/>
  <c r="L1878" i="1"/>
  <c r="C1878" i="1"/>
  <c r="L1877" i="1"/>
  <c r="O1877" i="1" s="1"/>
  <c r="C1877" i="1"/>
  <c r="O1876" i="1"/>
  <c r="L1876" i="1"/>
  <c r="C1876" i="1"/>
  <c r="L1875" i="1"/>
  <c r="O1875" i="1" s="1"/>
  <c r="C1875" i="1"/>
  <c r="L1874" i="1"/>
  <c r="O1874" i="1" s="1"/>
  <c r="C1874" i="1"/>
  <c r="L1873" i="1"/>
  <c r="O1873" i="1" s="1"/>
  <c r="C1873" i="1"/>
  <c r="O1872" i="1"/>
  <c r="L1872" i="1"/>
  <c r="C1872" i="1"/>
  <c r="L1871" i="1"/>
  <c r="O1871" i="1" s="1"/>
  <c r="C1871" i="1"/>
  <c r="L1870" i="1"/>
  <c r="O1870" i="1" s="1"/>
  <c r="C1870" i="1"/>
  <c r="O1869" i="1"/>
  <c r="L1869" i="1"/>
  <c r="C1869" i="1"/>
  <c r="L1868" i="1"/>
  <c r="O1868" i="1" s="1"/>
  <c r="C1868" i="1"/>
  <c r="L1867" i="1"/>
  <c r="O1867" i="1" s="1"/>
  <c r="C1867" i="1"/>
  <c r="L1866" i="1"/>
  <c r="O1866" i="1" s="1"/>
  <c r="C1866" i="1"/>
  <c r="O1865" i="1"/>
  <c r="L1865" i="1"/>
  <c r="C1865" i="1"/>
  <c r="O1864" i="1"/>
  <c r="L1864" i="1"/>
  <c r="C1864" i="1"/>
  <c r="L1863" i="1"/>
  <c r="O1863" i="1" s="1"/>
  <c r="C1863" i="1"/>
  <c r="L1862" i="1"/>
  <c r="O1862" i="1" s="1"/>
  <c r="C1862" i="1"/>
  <c r="L1861" i="1"/>
  <c r="O1861" i="1" s="1"/>
  <c r="C1861" i="1"/>
  <c r="L1860" i="1"/>
  <c r="O1860" i="1" s="1"/>
  <c r="C1860" i="1"/>
  <c r="O1859" i="1"/>
  <c r="L1859" i="1"/>
  <c r="C1859" i="1"/>
  <c r="L1858" i="1"/>
  <c r="O1858" i="1" s="1"/>
  <c r="C1858" i="1"/>
  <c r="L1857" i="1"/>
  <c r="O1857" i="1" s="1"/>
  <c r="C1857" i="1"/>
  <c r="O1856" i="1"/>
  <c r="L1856" i="1"/>
  <c r="C1856" i="1"/>
  <c r="L1855" i="1"/>
  <c r="O1855" i="1" s="1"/>
  <c r="C1855" i="1"/>
  <c r="L1854" i="1"/>
  <c r="O1854" i="1" s="1"/>
  <c r="C1854" i="1"/>
  <c r="O1853" i="1"/>
  <c r="L1853" i="1"/>
  <c r="C1853" i="1"/>
  <c r="O1852" i="1"/>
  <c r="L1852" i="1"/>
  <c r="C1852" i="1"/>
  <c r="L1851" i="1"/>
  <c r="O1851" i="1" s="1"/>
  <c r="C1851" i="1"/>
  <c r="O1850" i="1"/>
  <c r="L1850" i="1"/>
  <c r="C1850" i="1"/>
  <c r="O1849" i="1"/>
  <c r="L1849" i="1"/>
  <c r="C1849" i="1"/>
  <c r="L1848" i="1"/>
  <c r="O1848" i="1" s="1"/>
  <c r="C1848" i="1"/>
  <c r="L1847" i="1"/>
  <c r="O1847" i="1" s="1"/>
  <c r="C1847" i="1"/>
  <c r="L1846" i="1"/>
  <c r="O1846" i="1" s="1"/>
  <c r="C1846" i="1"/>
  <c r="O1845" i="1"/>
  <c r="L1845" i="1"/>
  <c r="C1845" i="1"/>
  <c r="O1844" i="1"/>
  <c r="L1844" i="1"/>
  <c r="C1844" i="1"/>
  <c r="L1843" i="1"/>
  <c r="O1843" i="1" s="1"/>
  <c r="C1843" i="1"/>
  <c r="L1842" i="1"/>
  <c r="O1842" i="1" s="1"/>
  <c r="C1842" i="1"/>
  <c r="O1841" i="1"/>
  <c r="L1841" i="1"/>
  <c r="C1841" i="1"/>
  <c r="L1840" i="1"/>
  <c r="O1840" i="1" s="1"/>
  <c r="C1840" i="1"/>
  <c r="O1839" i="1"/>
  <c r="L1839" i="1"/>
  <c r="C1839" i="1"/>
  <c r="L1838" i="1"/>
  <c r="O1838" i="1" s="1"/>
  <c r="C1838" i="1"/>
  <c r="O1837" i="1"/>
  <c r="L1837" i="1"/>
  <c r="C1837" i="1"/>
  <c r="O1836" i="1"/>
  <c r="L1836" i="1"/>
  <c r="C1836" i="1"/>
  <c r="L1835" i="1"/>
  <c r="O1835" i="1" s="1"/>
  <c r="C1835" i="1"/>
  <c r="L1834" i="1"/>
  <c r="O1834" i="1" s="1"/>
  <c r="C1834" i="1"/>
  <c r="O1833" i="1"/>
  <c r="L1833" i="1"/>
  <c r="C1833" i="1"/>
  <c r="L1832" i="1"/>
  <c r="O1832" i="1" s="1"/>
  <c r="C1832" i="1"/>
  <c r="O1831" i="1"/>
  <c r="L1831" i="1"/>
  <c r="C1831" i="1"/>
  <c r="O1830" i="1"/>
  <c r="L1830" i="1"/>
  <c r="C1830" i="1"/>
  <c r="L1829" i="1"/>
  <c r="O1829" i="1" s="1"/>
  <c r="C1829" i="1"/>
  <c r="L1828" i="1"/>
  <c r="O1828" i="1" s="1"/>
  <c r="C1828" i="1"/>
  <c r="O1827" i="1"/>
  <c r="L1827" i="1"/>
  <c r="C1827" i="1"/>
  <c r="O1826" i="1"/>
  <c r="L1826" i="1"/>
  <c r="C1826" i="1"/>
  <c r="O1825" i="1"/>
  <c r="L1825" i="1"/>
  <c r="C1825" i="1"/>
  <c r="O1824" i="1"/>
  <c r="L1824" i="1"/>
  <c r="C1824" i="1"/>
  <c r="L1823" i="1"/>
  <c r="O1823" i="1" s="1"/>
  <c r="C1823" i="1"/>
  <c r="L1822" i="1"/>
  <c r="O1822" i="1" s="1"/>
  <c r="C1822" i="1"/>
  <c r="O1821" i="1"/>
  <c r="L1821" i="1"/>
  <c r="C1821" i="1"/>
  <c r="O1820" i="1"/>
  <c r="L1820" i="1"/>
  <c r="C1820" i="1"/>
  <c r="O1819" i="1"/>
  <c r="L1819" i="1"/>
  <c r="C1819" i="1"/>
  <c r="L1818" i="1"/>
  <c r="O1818" i="1" s="1"/>
  <c r="C1818" i="1"/>
  <c r="O1817" i="1"/>
  <c r="L1817" i="1"/>
  <c r="C1817" i="1"/>
  <c r="O1816" i="1"/>
  <c r="L1816" i="1"/>
  <c r="C1816" i="1"/>
  <c r="L1815" i="1"/>
  <c r="O1815" i="1" s="1"/>
  <c r="C1815" i="1"/>
  <c r="O1814" i="1"/>
  <c r="L1814" i="1"/>
  <c r="C1814" i="1"/>
  <c r="O1813" i="1"/>
  <c r="L1813" i="1"/>
  <c r="C1813" i="1"/>
  <c r="O1812" i="1"/>
  <c r="L1812" i="1"/>
  <c r="C1812" i="1"/>
  <c r="L1811" i="1"/>
  <c r="O1811" i="1" s="1"/>
  <c r="C1811" i="1"/>
  <c r="O1810" i="1"/>
  <c r="L1810" i="1"/>
  <c r="C1810" i="1"/>
  <c r="O1809" i="1"/>
  <c r="L1809" i="1"/>
  <c r="C1809" i="1"/>
  <c r="L1808" i="1"/>
  <c r="O1808" i="1" s="1"/>
  <c r="C1808" i="1"/>
  <c r="L1807" i="1"/>
  <c r="O1807" i="1" s="1"/>
  <c r="C1807" i="1"/>
  <c r="L1806" i="1"/>
  <c r="O1806" i="1" s="1"/>
  <c r="C1806" i="1"/>
  <c r="L1805" i="1"/>
  <c r="O1805" i="1" s="1"/>
  <c r="C1805" i="1"/>
  <c r="O1804" i="1"/>
  <c r="L1804" i="1"/>
  <c r="C1804" i="1"/>
  <c r="O1803" i="1"/>
  <c r="L1803" i="1"/>
  <c r="C1803" i="1"/>
  <c r="O1802" i="1"/>
  <c r="L1802" i="1"/>
  <c r="C1802" i="1"/>
  <c r="O1801" i="1"/>
  <c r="L1801" i="1"/>
  <c r="C1801" i="1"/>
  <c r="L1800" i="1"/>
  <c r="O1800" i="1" s="1"/>
  <c r="C1800" i="1"/>
  <c r="O1799" i="1"/>
  <c r="L1799" i="1"/>
  <c r="C1799" i="1"/>
  <c r="O1798" i="1"/>
  <c r="L1798" i="1"/>
  <c r="C1798" i="1"/>
  <c r="L1797" i="1"/>
  <c r="O1797" i="1" s="1"/>
  <c r="C1797" i="1"/>
  <c r="L1796" i="1"/>
  <c r="O1796" i="1" s="1"/>
  <c r="C1796" i="1"/>
  <c r="L1795" i="1"/>
  <c r="O1795" i="1" s="1"/>
  <c r="C1795" i="1"/>
  <c r="L1794" i="1"/>
  <c r="O1794" i="1" s="1"/>
  <c r="C1794" i="1"/>
  <c r="O1793" i="1"/>
  <c r="L1793" i="1"/>
  <c r="C1793" i="1"/>
  <c r="O1792" i="1"/>
  <c r="L1792" i="1"/>
  <c r="C1792" i="1"/>
  <c r="L1791" i="1"/>
  <c r="O1791" i="1" s="1"/>
  <c r="C1791" i="1"/>
  <c r="L1790" i="1"/>
  <c r="O1790" i="1" s="1"/>
  <c r="C1790" i="1"/>
  <c r="O1789" i="1"/>
  <c r="L1789" i="1"/>
  <c r="C1789" i="1"/>
  <c r="L1788" i="1"/>
  <c r="O1788" i="1" s="1"/>
  <c r="C1788" i="1"/>
  <c r="O1787" i="1"/>
  <c r="L1787" i="1"/>
  <c r="C1787" i="1"/>
  <c r="L1786" i="1"/>
  <c r="O1786" i="1" s="1"/>
  <c r="C1786" i="1"/>
  <c r="O1785" i="1"/>
  <c r="L1785" i="1"/>
  <c r="C1785" i="1"/>
  <c r="L1784" i="1"/>
  <c r="O1784" i="1" s="1"/>
  <c r="C1784" i="1"/>
  <c r="L1783" i="1"/>
  <c r="O1783" i="1" s="1"/>
  <c r="C1783" i="1"/>
  <c r="O1782" i="1"/>
  <c r="L1782" i="1"/>
  <c r="C1782" i="1"/>
  <c r="O1781" i="1"/>
  <c r="L1781" i="1"/>
  <c r="C1781" i="1"/>
  <c r="L1780" i="1"/>
  <c r="O1780" i="1" s="1"/>
  <c r="C1780" i="1"/>
  <c r="O1779" i="1"/>
  <c r="L1779" i="1"/>
  <c r="C1779" i="1"/>
  <c r="L1778" i="1"/>
  <c r="O1778" i="1" s="1"/>
  <c r="C1778" i="1"/>
  <c r="L1777" i="1"/>
  <c r="O1777" i="1" s="1"/>
  <c r="C1777" i="1"/>
  <c r="O1776" i="1"/>
  <c r="L1776" i="1"/>
  <c r="C1776" i="1"/>
  <c r="O1775" i="1"/>
  <c r="L1775" i="1"/>
  <c r="C1775" i="1"/>
  <c r="L1774" i="1"/>
  <c r="O1774" i="1" s="1"/>
  <c r="C1774" i="1"/>
  <c r="L1773" i="1"/>
  <c r="O1773" i="1" s="1"/>
  <c r="C1773" i="1"/>
  <c r="L1772" i="1"/>
  <c r="O1772" i="1" s="1"/>
  <c r="C1772" i="1"/>
  <c r="O1771" i="1"/>
  <c r="L1771" i="1"/>
  <c r="C1771" i="1"/>
  <c r="O1770" i="1"/>
  <c r="L1770" i="1"/>
  <c r="C1770" i="1"/>
  <c r="L1769" i="1"/>
  <c r="O1769" i="1" s="1"/>
  <c r="C1769" i="1"/>
  <c r="L1768" i="1"/>
  <c r="O1768" i="1" s="1"/>
  <c r="C1768" i="1"/>
  <c r="L1767" i="1"/>
  <c r="O1767" i="1" s="1"/>
  <c r="C1767" i="1"/>
  <c r="L1766" i="1"/>
  <c r="O1766" i="1" s="1"/>
  <c r="C1766" i="1"/>
  <c r="O1765" i="1"/>
  <c r="L1765" i="1"/>
  <c r="C1765" i="1"/>
  <c r="O1764" i="1"/>
  <c r="L1764" i="1"/>
  <c r="C1764" i="1"/>
  <c r="O1763" i="1"/>
  <c r="L1763" i="1"/>
  <c r="C1763" i="1"/>
  <c r="L1762" i="1"/>
  <c r="O1762" i="1" s="1"/>
  <c r="C1762" i="1"/>
  <c r="L1761" i="1"/>
  <c r="O1761" i="1" s="1"/>
  <c r="C1761" i="1"/>
  <c r="O1760" i="1"/>
  <c r="L1760" i="1"/>
  <c r="C1760" i="1"/>
  <c r="L1759" i="1"/>
  <c r="O1759" i="1" s="1"/>
  <c r="C1759" i="1"/>
  <c r="L1758" i="1"/>
  <c r="O1758" i="1" s="1"/>
  <c r="C1758" i="1"/>
  <c r="O1757" i="1"/>
  <c r="L1757" i="1"/>
  <c r="C1757" i="1"/>
  <c r="L1756" i="1"/>
  <c r="O1756" i="1" s="1"/>
  <c r="C1756" i="1"/>
  <c r="O1755" i="1"/>
  <c r="L1755" i="1"/>
  <c r="C1755" i="1"/>
  <c r="O1754" i="1"/>
  <c r="L1754" i="1"/>
  <c r="C1754" i="1"/>
  <c r="L1753" i="1"/>
  <c r="O1753" i="1" s="1"/>
  <c r="C1753" i="1"/>
  <c r="O1752" i="1"/>
  <c r="L1752" i="1"/>
  <c r="C1752" i="1"/>
  <c r="L1751" i="1"/>
  <c r="O1751" i="1" s="1"/>
  <c r="C1751" i="1"/>
  <c r="L1750" i="1"/>
  <c r="O1750" i="1" s="1"/>
  <c r="C1750" i="1"/>
  <c r="O1749" i="1"/>
  <c r="L1749" i="1"/>
  <c r="C1749" i="1"/>
  <c r="O1748" i="1"/>
  <c r="L1748" i="1"/>
  <c r="C1748" i="1"/>
  <c r="O1747" i="1"/>
  <c r="L1747" i="1"/>
  <c r="C1747" i="1"/>
  <c r="O1746" i="1"/>
  <c r="L1746" i="1"/>
  <c r="C1746" i="1"/>
  <c r="L1745" i="1"/>
  <c r="O1745" i="1" s="1"/>
  <c r="C1745" i="1"/>
  <c r="O1744" i="1"/>
  <c r="L1744" i="1"/>
  <c r="C1744" i="1"/>
  <c r="L1743" i="1"/>
  <c r="O1743" i="1" s="1"/>
  <c r="C1743" i="1"/>
  <c r="L1742" i="1"/>
  <c r="O1742" i="1" s="1"/>
  <c r="C1742" i="1"/>
  <c r="O1741" i="1"/>
  <c r="L1741" i="1"/>
  <c r="C1741" i="1"/>
  <c r="O1740" i="1"/>
  <c r="L1740" i="1"/>
  <c r="C1740" i="1"/>
  <c r="O1739" i="1"/>
  <c r="L1739" i="1"/>
  <c r="C1739" i="1"/>
  <c r="O1738" i="1"/>
  <c r="L1738" i="1"/>
  <c r="C1738" i="1"/>
  <c r="L1737" i="1"/>
  <c r="O1737" i="1" s="1"/>
  <c r="C1737" i="1"/>
  <c r="L1736" i="1"/>
  <c r="O1736" i="1" s="1"/>
  <c r="C1736" i="1"/>
  <c r="O1735" i="1"/>
  <c r="L1735" i="1"/>
  <c r="C1735" i="1"/>
  <c r="L1734" i="1"/>
  <c r="O1734" i="1" s="1"/>
  <c r="C1734" i="1"/>
  <c r="O1733" i="1"/>
  <c r="L1733" i="1"/>
  <c r="C1733" i="1"/>
  <c r="O1732" i="1"/>
  <c r="L1732" i="1"/>
  <c r="C1732" i="1"/>
  <c r="L1731" i="1"/>
  <c r="O1731" i="1" s="1"/>
  <c r="C1731" i="1"/>
  <c r="O1730" i="1"/>
  <c r="L1730" i="1"/>
  <c r="C1730" i="1"/>
  <c r="O1729" i="1"/>
  <c r="L1729" i="1"/>
  <c r="C1729" i="1"/>
  <c r="O1728" i="1"/>
  <c r="L1728" i="1"/>
  <c r="C1728" i="1"/>
  <c r="L1727" i="1"/>
  <c r="O1727" i="1" s="1"/>
  <c r="C1727" i="1"/>
  <c r="L1726" i="1"/>
  <c r="O1726" i="1" s="1"/>
  <c r="C1726" i="1"/>
  <c r="L1725" i="1"/>
  <c r="O1725" i="1" s="1"/>
  <c r="C1725" i="1"/>
  <c r="O1724" i="1"/>
  <c r="L1724" i="1"/>
  <c r="C1724" i="1"/>
  <c r="O1723" i="1"/>
  <c r="L1723" i="1"/>
  <c r="C1723" i="1"/>
  <c r="O1722" i="1"/>
  <c r="L1722" i="1"/>
  <c r="C1722" i="1"/>
  <c r="L1721" i="1"/>
  <c r="O1721" i="1" s="1"/>
  <c r="C1721" i="1"/>
  <c r="O1720" i="1"/>
  <c r="L1720" i="1"/>
  <c r="C1720" i="1"/>
  <c r="L1719" i="1"/>
  <c r="O1719" i="1" s="1"/>
  <c r="C1719" i="1"/>
  <c r="O1718" i="1"/>
  <c r="L1718" i="1"/>
  <c r="C1718" i="1"/>
  <c r="O1717" i="1"/>
  <c r="L1717" i="1"/>
  <c r="C1717" i="1"/>
  <c r="O1716" i="1"/>
  <c r="L1716" i="1"/>
  <c r="C1716" i="1"/>
  <c r="O1715" i="1"/>
  <c r="L1715" i="1"/>
  <c r="C1715" i="1"/>
  <c r="L1714" i="1"/>
  <c r="O1714" i="1" s="1"/>
  <c r="C1714" i="1"/>
  <c r="O1713" i="1"/>
  <c r="L1713" i="1"/>
  <c r="C1713" i="1"/>
  <c r="O1712" i="1"/>
  <c r="L1712" i="1"/>
  <c r="C1712" i="1"/>
  <c r="L1711" i="1"/>
  <c r="O1711" i="1" s="1"/>
  <c r="C1711" i="1"/>
  <c r="L1710" i="1"/>
  <c r="O1710" i="1" s="1"/>
  <c r="C1710" i="1"/>
  <c r="O1709" i="1"/>
  <c r="L1709" i="1"/>
  <c r="C1709" i="1"/>
  <c r="L1708" i="1"/>
  <c r="O1708" i="1" s="1"/>
  <c r="C1708" i="1"/>
  <c r="O1707" i="1"/>
  <c r="L1707" i="1"/>
  <c r="C1707" i="1"/>
  <c r="O1706" i="1"/>
  <c r="L1706" i="1"/>
  <c r="C1706" i="1"/>
  <c r="L1705" i="1"/>
  <c r="O1705" i="1" s="1"/>
  <c r="C1705" i="1"/>
  <c r="L1704" i="1"/>
  <c r="O1704" i="1" s="1"/>
  <c r="C1704" i="1"/>
  <c r="O1703" i="1"/>
  <c r="L1703" i="1"/>
  <c r="C1703" i="1"/>
  <c r="L1702" i="1"/>
  <c r="O1702" i="1" s="1"/>
  <c r="C1702" i="1"/>
  <c r="O1701" i="1"/>
  <c r="L1701" i="1"/>
  <c r="C1701" i="1"/>
  <c r="O1700" i="1"/>
  <c r="L1700" i="1"/>
  <c r="C1700" i="1"/>
  <c r="L1699" i="1"/>
  <c r="O1699" i="1" s="1"/>
  <c r="C1699" i="1"/>
  <c r="O1698" i="1"/>
  <c r="L1698" i="1"/>
  <c r="C1698" i="1"/>
  <c r="L1697" i="1"/>
  <c r="O1697" i="1" s="1"/>
  <c r="C1697" i="1"/>
  <c r="O1696" i="1"/>
  <c r="L1696" i="1"/>
  <c r="C1696" i="1"/>
  <c r="L1695" i="1"/>
  <c r="O1695" i="1" s="1"/>
  <c r="C1695" i="1"/>
  <c r="L1694" i="1"/>
  <c r="O1694" i="1" s="1"/>
  <c r="C1694" i="1"/>
  <c r="L1693" i="1"/>
  <c r="O1693" i="1" s="1"/>
  <c r="C1693" i="1"/>
  <c r="L1692" i="1"/>
  <c r="O1692" i="1" s="1"/>
  <c r="C1692" i="1"/>
  <c r="O1691" i="1"/>
  <c r="L1691" i="1"/>
  <c r="C1691" i="1"/>
  <c r="O1690" i="1"/>
  <c r="L1690" i="1"/>
  <c r="C1690" i="1"/>
  <c r="L1689" i="1"/>
  <c r="O1689" i="1" s="1"/>
  <c r="C1689" i="1"/>
  <c r="O1688" i="1"/>
  <c r="L1688" i="1"/>
  <c r="C1688" i="1"/>
  <c r="L1687" i="1"/>
  <c r="O1687" i="1" s="1"/>
  <c r="C1687" i="1"/>
  <c r="O1686" i="1"/>
  <c r="L1686" i="1"/>
  <c r="C1686" i="1"/>
  <c r="O1685" i="1"/>
  <c r="L1685" i="1"/>
  <c r="C1685" i="1"/>
  <c r="O1684" i="1"/>
  <c r="L1684" i="1"/>
  <c r="C1684" i="1"/>
  <c r="L1683" i="1"/>
  <c r="O1683" i="1" s="1"/>
  <c r="C1683" i="1"/>
  <c r="L1682" i="1"/>
  <c r="O1682" i="1" s="1"/>
  <c r="C1682" i="1"/>
  <c r="L1681" i="1"/>
  <c r="O1681" i="1" s="1"/>
  <c r="C1681" i="1"/>
  <c r="O1680" i="1"/>
  <c r="L1680" i="1"/>
  <c r="C1680" i="1"/>
  <c r="L1679" i="1"/>
  <c r="O1679" i="1" s="1"/>
  <c r="C1679" i="1"/>
  <c r="L1678" i="1"/>
  <c r="O1678" i="1" s="1"/>
  <c r="C1678" i="1"/>
  <c r="L1677" i="1"/>
  <c r="O1677" i="1" s="1"/>
  <c r="C1677" i="1"/>
  <c r="L1676" i="1"/>
  <c r="O1676" i="1" s="1"/>
  <c r="C1676" i="1"/>
  <c r="O1675" i="1"/>
  <c r="L1675" i="1"/>
  <c r="C1675" i="1"/>
  <c r="O1674" i="1"/>
  <c r="L1674" i="1"/>
  <c r="C1674" i="1"/>
  <c r="L1673" i="1"/>
  <c r="O1673" i="1" s="1"/>
  <c r="C1673" i="1"/>
  <c r="L1672" i="1"/>
  <c r="O1672" i="1" s="1"/>
  <c r="C1672" i="1"/>
  <c r="O1671" i="1"/>
  <c r="L1671" i="1"/>
  <c r="C1671" i="1"/>
  <c r="L1670" i="1"/>
  <c r="O1670" i="1" s="1"/>
  <c r="C1670" i="1"/>
  <c r="O1669" i="1"/>
  <c r="L1669" i="1"/>
  <c r="C1669" i="1"/>
  <c r="O1668" i="1"/>
  <c r="L1668" i="1"/>
  <c r="C1668" i="1"/>
  <c r="O1667" i="1"/>
  <c r="L1667" i="1"/>
  <c r="C1667" i="1"/>
  <c r="L1666" i="1"/>
  <c r="O1666" i="1" s="1"/>
  <c r="C1666" i="1"/>
  <c r="L1665" i="1"/>
  <c r="O1665" i="1" s="1"/>
  <c r="C1665" i="1"/>
  <c r="O1664" i="1"/>
  <c r="L1664" i="1"/>
  <c r="C1664" i="1"/>
  <c r="L1663" i="1"/>
  <c r="O1663" i="1" s="1"/>
  <c r="C1663" i="1"/>
  <c r="L1662" i="1"/>
  <c r="O1662" i="1" s="1"/>
  <c r="C1662" i="1"/>
  <c r="O1661" i="1"/>
  <c r="L1661" i="1"/>
  <c r="C1661" i="1"/>
  <c r="L1660" i="1"/>
  <c r="O1660" i="1" s="1"/>
  <c r="C1660" i="1"/>
  <c r="O1659" i="1"/>
  <c r="L1659" i="1"/>
  <c r="C1659" i="1"/>
  <c r="O1658" i="1"/>
  <c r="L1658" i="1"/>
  <c r="C1658" i="1"/>
  <c r="L1657" i="1"/>
  <c r="O1657" i="1" s="1"/>
  <c r="C1657" i="1"/>
  <c r="O1656" i="1"/>
  <c r="L1656" i="1"/>
  <c r="C1656" i="1"/>
  <c r="L1655" i="1"/>
  <c r="O1655" i="1" s="1"/>
  <c r="C1655" i="1"/>
  <c r="O1654" i="1"/>
  <c r="L1654" i="1"/>
  <c r="C1654" i="1"/>
  <c r="O1653" i="1"/>
  <c r="L1653" i="1"/>
  <c r="C1653" i="1"/>
  <c r="O1652" i="1"/>
  <c r="L1652" i="1"/>
  <c r="C1652" i="1"/>
  <c r="O1651" i="1"/>
  <c r="L1651" i="1"/>
  <c r="C1651" i="1"/>
  <c r="O1650" i="1"/>
  <c r="L1650" i="1"/>
  <c r="C1650" i="1"/>
  <c r="L1649" i="1"/>
  <c r="O1649" i="1" s="1"/>
  <c r="C1649" i="1"/>
  <c r="O1648" i="1"/>
  <c r="L1648" i="1"/>
  <c r="C1648" i="1"/>
  <c r="L1647" i="1"/>
  <c r="O1647" i="1" s="1"/>
  <c r="C1647" i="1"/>
  <c r="L1646" i="1"/>
  <c r="O1646" i="1" s="1"/>
  <c r="C1646" i="1"/>
  <c r="L1645" i="1"/>
  <c r="O1645" i="1" s="1"/>
  <c r="C1645" i="1"/>
  <c r="O1644" i="1"/>
  <c r="L1644" i="1"/>
  <c r="C1644" i="1"/>
  <c r="O1643" i="1"/>
  <c r="L1643" i="1"/>
  <c r="C1643" i="1"/>
  <c r="O1642" i="1"/>
  <c r="L1642" i="1"/>
  <c r="C1642" i="1"/>
  <c r="L1641" i="1"/>
  <c r="O1641" i="1" s="1"/>
  <c r="C1641" i="1"/>
  <c r="L1640" i="1"/>
  <c r="O1640" i="1" s="1"/>
  <c r="C1640" i="1"/>
  <c r="L1639" i="1"/>
  <c r="O1639" i="1" s="1"/>
  <c r="C1639" i="1"/>
  <c r="L1638" i="1"/>
  <c r="O1638" i="1" s="1"/>
  <c r="C1638" i="1"/>
  <c r="O1637" i="1"/>
  <c r="L1637" i="1"/>
  <c r="C1637" i="1"/>
  <c r="O1636" i="1"/>
  <c r="L1636" i="1"/>
  <c r="C1636" i="1"/>
  <c r="L1635" i="1"/>
  <c r="O1635" i="1" s="1"/>
  <c r="C1635" i="1"/>
  <c r="L1634" i="1"/>
  <c r="O1634" i="1" s="1"/>
  <c r="C1634" i="1"/>
  <c r="O1633" i="1"/>
  <c r="L1633" i="1"/>
  <c r="C1633" i="1"/>
  <c r="O1632" i="1"/>
  <c r="L1632" i="1"/>
  <c r="C1632" i="1"/>
  <c r="L1631" i="1"/>
  <c r="O1631" i="1" s="1"/>
  <c r="C1631" i="1"/>
  <c r="L1630" i="1"/>
  <c r="O1630" i="1" s="1"/>
  <c r="C1630" i="1"/>
  <c r="L1629" i="1"/>
  <c r="O1629" i="1" s="1"/>
  <c r="C1629" i="1"/>
  <c r="L1628" i="1"/>
  <c r="O1628" i="1" s="1"/>
  <c r="C1628" i="1"/>
  <c r="O1627" i="1"/>
  <c r="L1627" i="1"/>
  <c r="C1627" i="1"/>
  <c r="O1626" i="1"/>
  <c r="L1626" i="1"/>
  <c r="C1626" i="1"/>
  <c r="L1625" i="1"/>
  <c r="O1625" i="1" s="1"/>
  <c r="C1625" i="1"/>
  <c r="L1624" i="1"/>
  <c r="O1624" i="1" s="1"/>
  <c r="C1624" i="1"/>
  <c r="L1623" i="1"/>
  <c r="O1623" i="1" s="1"/>
  <c r="C1623" i="1"/>
  <c r="L1622" i="1"/>
  <c r="O1622" i="1" s="1"/>
  <c r="C1622" i="1"/>
  <c r="O1621" i="1"/>
  <c r="L1621" i="1"/>
  <c r="C1621" i="1"/>
  <c r="O1620" i="1"/>
  <c r="L1620" i="1"/>
  <c r="C1620" i="1"/>
  <c r="O1619" i="1"/>
  <c r="L1619" i="1"/>
  <c r="C1619" i="1"/>
  <c r="L1618" i="1"/>
  <c r="O1618" i="1" s="1"/>
  <c r="C1618" i="1"/>
  <c r="L1617" i="1"/>
  <c r="O1617" i="1" s="1"/>
  <c r="C1617" i="1"/>
  <c r="O1616" i="1"/>
  <c r="L1616" i="1"/>
  <c r="C1616" i="1"/>
  <c r="L1615" i="1"/>
  <c r="O1615" i="1" s="1"/>
  <c r="C1615" i="1"/>
  <c r="L1614" i="1"/>
  <c r="O1614" i="1" s="1"/>
  <c r="C1614" i="1"/>
  <c r="O1613" i="1"/>
  <c r="L1613" i="1"/>
  <c r="C1613" i="1"/>
  <c r="L1612" i="1"/>
  <c r="O1612" i="1" s="1"/>
  <c r="C1612" i="1"/>
  <c r="O1611" i="1"/>
  <c r="L1611" i="1"/>
  <c r="C1611" i="1"/>
  <c r="O1610" i="1"/>
  <c r="L1610" i="1"/>
  <c r="C1610" i="1"/>
  <c r="L1609" i="1"/>
  <c r="O1609" i="1" s="1"/>
  <c r="C1609" i="1"/>
  <c r="L1608" i="1"/>
  <c r="O1608" i="1" s="1"/>
  <c r="C1608" i="1"/>
  <c r="O1607" i="1"/>
  <c r="L1607" i="1"/>
  <c r="C1607" i="1"/>
  <c r="L1606" i="1"/>
  <c r="O1606" i="1" s="1"/>
  <c r="C1606" i="1"/>
  <c r="O1605" i="1"/>
  <c r="L1605" i="1"/>
  <c r="C1605" i="1"/>
  <c r="O1604" i="1"/>
  <c r="L1604" i="1"/>
  <c r="C1604" i="1"/>
  <c r="O1603" i="1"/>
  <c r="L1603" i="1"/>
  <c r="C1603" i="1"/>
  <c r="O1602" i="1"/>
  <c r="L1602" i="1"/>
  <c r="C1602" i="1"/>
  <c r="L1601" i="1"/>
  <c r="O1601" i="1" s="1"/>
  <c r="C1601" i="1"/>
  <c r="O1600" i="1"/>
  <c r="L1600" i="1"/>
  <c r="C1600" i="1"/>
  <c r="L1599" i="1"/>
  <c r="O1599" i="1" s="1"/>
  <c r="C1599" i="1"/>
  <c r="L1598" i="1"/>
  <c r="O1598" i="1" s="1"/>
  <c r="C1598" i="1"/>
  <c r="O1597" i="1"/>
  <c r="L1597" i="1"/>
  <c r="C1597" i="1"/>
  <c r="O1596" i="1"/>
  <c r="L1596" i="1"/>
  <c r="C1596" i="1"/>
  <c r="O1595" i="1"/>
  <c r="L1595" i="1"/>
  <c r="C1595" i="1"/>
  <c r="O1594" i="1"/>
  <c r="L1594" i="1"/>
  <c r="C1594" i="1"/>
  <c r="L1593" i="1"/>
  <c r="O1593" i="1" s="1"/>
  <c r="C1593" i="1"/>
  <c r="O1592" i="1"/>
  <c r="L1592" i="1"/>
  <c r="C1592" i="1"/>
  <c r="L1591" i="1"/>
  <c r="O1591" i="1" s="1"/>
  <c r="C1591" i="1"/>
  <c r="O1590" i="1"/>
  <c r="L1590" i="1"/>
  <c r="C1590" i="1"/>
  <c r="O1589" i="1"/>
  <c r="L1589" i="1"/>
  <c r="C1589" i="1"/>
  <c r="O1588" i="1"/>
  <c r="L1588" i="1"/>
  <c r="C1588" i="1"/>
  <c r="L1587" i="1"/>
  <c r="O1587" i="1" s="1"/>
  <c r="C1587" i="1"/>
  <c r="O1586" i="1"/>
  <c r="L1586" i="1"/>
  <c r="C1586" i="1"/>
  <c r="L1585" i="1"/>
  <c r="O1585" i="1" s="1"/>
  <c r="C1585" i="1"/>
  <c r="O1584" i="1"/>
  <c r="L1584" i="1"/>
  <c r="C1584" i="1"/>
  <c r="L1583" i="1"/>
  <c r="O1583" i="1" s="1"/>
  <c r="C1583" i="1"/>
  <c r="L1582" i="1"/>
  <c r="O1582" i="1" s="1"/>
  <c r="C1582" i="1"/>
  <c r="L1581" i="1"/>
  <c r="O1581" i="1" s="1"/>
  <c r="C1581" i="1"/>
  <c r="O1580" i="1"/>
  <c r="L1580" i="1"/>
  <c r="C1580" i="1"/>
  <c r="O1579" i="1"/>
  <c r="L1579" i="1"/>
  <c r="C1579" i="1"/>
  <c r="O1578" i="1"/>
  <c r="L1578" i="1"/>
  <c r="C1578" i="1"/>
  <c r="L1577" i="1"/>
  <c r="O1577" i="1" s="1"/>
  <c r="C1577" i="1"/>
  <c r="O1576" i="1"/>
  <c r="L1576" i="1"/>
  <c r="C1576" i="1"/>
  <c r="O1575" i="1"/>
  <c r="L1575" i="1"/>
  <c r="C1575" i="1"/>
  <c r="L1574" i="1"/>
  <c r="O1574" i="1" s="1"/>
  <c r="C1574" i="1"/>
  <c r="O1573" i="1"/>
  <c r="L1573" i="1"/>
  <c r="C1573" i="1"/>
  <c r="O1572" i="1"/>
  <c r="L1572" i="1"/>
  <c r="C1572" i="1"/>
  <c r="L1571" i="1"/>
  <c r="O1571" i="1" s="1"/>
  <c r="C1571" i="1"/>
  <c r="L1570" i="1"/>
  <c r="O1570" i="1" s="1"/>
  <c r="C1570" i="1"/>
  <c r="O1569" i="1"/>
  <c r="L1569" i="1"/>
  <c r="C1569" i="1"/>
  <c r="O1568" i="1"/>
  <c r="L1568" i="1"/>
  <c r="C1568" i="1"/>
  <c r="L1567" i="1"/>
  <c r="O1567" i="1" s="1"/>
  <c r="C1567" i="1"/>
  <c r="L1566" i="1"/>
  <c r="O1566" i="1" s="1"/>
  <c r="C1566" i="1"/>
  <c r="L1565" i="1"/>
  <c r="O1565" i="1" s="1"/>
  <c r="C1565" i="1"/>
  <c r="L1564" i="1"/>
  <c r="O1564" i="1" s="1"/>
  <c r="C1564" i="1"/>
  <c r="O1563" i="1"/>
  <c r="L1563" i="1"/>
  <c r="C1563" i="1"/>
  <c r="O1562" i="1"/>
  <c r="L1562" i="1"/>
  <c r="C1562" i="1"/>
  <c r="L1561" i="1"/>
  <c r="O1561" i="1" s="1"/>
  <c r="C1561" i="1"/>
  <c r="L1560" i="1"/>
  <c r="O1560" i="1" s="1"/>
  <c r="C1560" i="1"/>
  <c r="O1559" i="1"/>
  <c r="L1559" i="1"/>
  <c r="C1559" i="1"/>
  <c r="O1558" i="1"/>
  <c r="L1558" i="1"/>
  <c r="C1558" i="1"/>
  <c r="O1557" i="1"/>
  <c r="L1557" i="1"/>
  <c r="C1557" i="1"/>
  <c r="O1556" i="1"/>
  <c r="L1556" i="1"/>
  <c r="C1556" i="1"/>
  <c r="L1555" i="1"/>
  <c r="O1555" i="1" s="1"/>
  <c r="C1555" i="1"/>
  <c r="O1554" i="1"/>
  <c r="L1554" i="1"/>
  <c r="C1554" i="1"/>
  <c r="L1553" i="1"/>
  <c r="O1553" i="1" s="1"/>
  <c r="C1553" i="1"/>
  <c r="O1552" i="1"/>
  <c r="L1552" i="1"/>
  <c r="C1552" i="1"/>
  <c r="L1551" i="1"/>
  <c r="O1551" i="1" s="1"/>
  <c r="C1551" i="1"/>
  <c r="L1550" i="1"/>
  <c r="O1550" i="1" s="1"/>
  <c r="C1550" i="1"/>
  <c r="L1549" i="1"/>
  <c r="O1549" i="1" s="1"/>
  <c r="C1549" i="1"/>
  <c r="O1548" i="1"/>
  <c r="L1548" i="1"/>
  <c r="C1548" i="1"/>
  <c r="O1547" i="1"/>
  <c r="L1547" i="1"/>
  <c r="C1547" i="1"/>
  <c r="O1546" i="1"/>
  <c r="L1546" i="1"/>
  <c r="C1546" i="1"/>
  <c r="L1545" i="1"/>
  <c r="O1545" i="1" s="1"/>
  <c r="C1545" i="1"/>
  <c r="O1544" i="1"/>
  <c r="L1544" i="1"/>
  <c r="C1544" i="1"/>
  <c r="L1543" i="1"/>
  <c r="O1543" i="1" s="1"/>
  <c r="C1543" i="1"/>
  <c r="O1542" i="1"/>
  <c r="L1542" i="1"/>
  <c r="C1542" i="1"/>
  <c r="O1541" i="1"/>
  <c r="L1541" i="1"/>
  <c r="C1541" i="1"/>
  <c r="O1540" i="1"/>
  <c r="L1540" i="1"/>
  <c r="C1540" i="1"/>
  <c r="L1539" i="1"/>
  <c r="O1539" i="1" s="1"/>
  <c r="C1539" i="1"/>
  <c r="L1538" i="1"/>
  <c r="O1538" i="1" s="1"/>
  <c r="C1538" i="1"/>
  <c r="O1537" i="1"/>
  <c r="L1537" i="1"/>
  <c r="C1537" i="1"/>
  <c r="O1536" i="1"/>
  <c r="L1536" i="1"/>
  <c r="C1536" i="1"/>
  <c r="L1535" i="1"/>
  <c r="O1535" i="1" s="1"/>
  <c r="C1535" i="1"/>
  <c r="L1534" i="1"/>
  <c r="O1534" i="1" s="1"/>
  <c r="C1534" i="1"/>
  <c r="L1533" i="1"/>
  <c r="O1533" i="1" s="1"/>
  <c r="C1533" i="1"/>
  <c r="L1532" i="1"/>
  <c r="O1532" i="1" s="1"/>
  <c r="C1532" i="1"/>
  <c r="O1531" i="1"/>
  <c r="L1531" i="1"/>
  <c r="C1531" i="1"/>
  <c r="O1530" i="1"/>
  <c r="L1530" i="1"/>
  <c r="C1530" i="1"/>
  <c r="L1529" i="1"/>
  <c r="O1529" i="1" s="1"/>
  <c r="C1529" i="1"/>
  <c r="L1528" i="1"/>
  <c r="O1528" i="1" s="1"/>
  <c r="C1528" i="1"/>
  <c r="L1527" i="1"/>
  <c r="O1527" i="1" s="1"/>
  <c r="C1527" i="1"/>
  <c r="L1526" i="1"/>
  <c r="O1526" i="1" s="1"/>
  <c r="C1526" i="1"/>
  <c r="O1525" i="1"/>
  <c r="L1525" i="1"/>
  <c r="C1525" i="1"/>
  <c r="O1524" i="1"/>
  <c r="L1524" i="1"/>
  <c r="C1524" i="1"/>
  <c r="L1523" i="1"/>
  <c r="O1523" i="1" s="1"/>
  <c r="C1523" i="1"/>
  <c r="L1522" i="1"/>
  <c r="O1522" i="1" s="1"/>
  <c r="C1522" i="1"/>
  <c r="O1521" i="1"/>
  <c r="L1521" i="1"/>
  <c r="C1521" i="1"/>
  <c r="O1520" i="1"/>
  <c r="L1520" i="1"/>
  <c r="C1520" i="1"/>
  <c r="L1519" i="1"/>
  <c r="O1519" i="1" s="1"/>
  <c r="C1519" i="1"/>
  <c r="L1518" i="1"/>
  <c r="O1518" i="1" s="1"/>
  <c r="C1518" i="1"/>
  <c r="L1517" i="1"/>
  <c r="O1517" i="1" s="1"/>
  <c r="C1517" i="1"/>
  <c r="L1516" i="1"/>
  <c r="O1516" i="1" s="1"/>
  <c r="C1516" i="1"/>
  <c r="O1515" i="1"/>
  <c r="L1515" i="1"/>
  <c r="C1515" i="1"/>
  <c r="O1514" i="1"/>
  <c r="L1514" i="1"/>
  <c r="C1514" i="1"/>
  <c r="L1513" i="1"/>
  <c r="O1513" i="1" s="1"/>
  <c r="C1513" i="1"/>
  <c r="L1512" i="1"/>
  <c r="O1512" i="1" s="1"/>
  <c r="C1512" i="1"/>
  <c r="L1511" i="1"/>
  <c r="O1511" i="1" s="1"/>
  <c r="C1511" i="1"/>
  <c r="L1510" i="1"/>
  <c r="O1510" i="1" s="1"/>
  <c r="C1510" i="1"/>
  <c r="O1509" i="1"/>
  <c r="L1509" i="1"/>
  <c r="C1509" i="1"/>
  <c r="O1508" i="1"/>
  <c r="L1508" i="1"/>
  <c r="C1508" i="1"/>
  <c r="O1507" i="1"/>
  <c r="L1507" i="1"/>
  <c r="C1507" i="1"/>
  <c r="L1506" i="1"/>
  <c r="O1506" i="1" s="1"/>
  <c r="C1506" i="1"/>
  <c r="L1505" i="1"/>
  <c r="O1505" i="1" s="1"/>
  <c r="C1505" i="1"/>
  <c r="O1504" i="1"/>
  <c r="L1504" i="1"/>
  <c r="C1504" i="1"/>
  <c r="L1503" i="1"/>
  <c r="O1503" i="1" s="1"/>
  <c r="C1503" i="1"/>
  <c r="L1502" i="1"/>
  <c r="O1502" i="1" s="1"/>
  <c r="C1502" i="1"/>
  <c r="O1501" i="1"/>
  <c r="L1501" i="1"/>
  <c r="C1501" i="1"/>
  <c r="L1500" i="1"/>
  <c r="O1500" i="1" s="1"/>
  <c r="C1500" i="1"/>
  <c r="O1499" i="1"/>
  <c r="L1499" i="1"/>
  <c r="C1499" i="1"/>
  <c r="O1498" i="1"/>
  <c r="L1498" i="1"/>
  <c r="C1498" i="1"/>
  <c r="L1497" i="1"/>
  <c r="O1497" i="1" s="1"/>
  <c r="C1497" i="1"/>
  <c r="O1496" i="1"/>
  <c r="L1496" i="1"/>
  <c r="C1496" i="1"/>
  <c r="L1495" i="1"/>
  <c r="O1495" i="1" s="1"/>
  <c r="C1495" i="1"/>
  <c r="L1494" i="1"/>
  <c r="O1494" i="1" s="1"/>
  <c r="C1494" i="1"/>
  <c r="O1493" i="1"/>
  <c r="L1493" i="1"/>
  <c r="C1493" i="1"/>
  <c r="O1492" i="1"/>
  <c r="L1492" i="1"/>
  <c r="C1492" i="1"/>
  <c r="O1491" i="1"/>
  <c r="L1491" i="1"/>
  <c r="C1491" i="1"/>
  <c r="O1490" i="1"/>
  <c r="L1490" i="1"/>
  <c r="C1490" i="1"/>
  <c r="L1489" i="1"/>
  <c r="O1489" i="1" s="1"/>
  <c r="C1489" i="1"/>
  <c r="O1488" i="1"/>
  <c r="L1488" i="1"/>
  <c r="C1488" i="1"/>
  <c r="L1487" i="1"/>
  <c r="O1487" i="1" s="1"/>
  <c r="C1487" i="1"/>
  <c r="L1486" i="1"/>
  <c r="O1486" i="1" s="1"/>
  <c r="C1486" i="1"/>
  <c r="O1485" i="1"/>
  <c r="L1485" i="1"/>
  <c r="C1485" i="1"/>
  <c r="O1484" i="1"/>
  <c r="L1484" i="1"/>
  <c r="C1484" i="1"/>
  <c r="O1483" i="1"/>
  <c r="L1483" i="1"/>
  <c r="C1483" i="1"/>
  <c r="O1482" i="1"/>
  <c r="L1482" i="1"/>
  <c r="C1482" i="1"/>
  <c r="L1481" i="1"/>
  <c r="O1481" i="1" s="1"/>
  <c r="C1481" i="1"/>
  <c r="L1480" i="1"/>
  <c r="O1480" i="1" s="1"/>
  <c r="C1480" i="1"/>
  <c r="O1479" i="1"/>
  <c r="L1479" i="1"/>
  <c r="C1479" i="1"/>
  <c r="L1478" i="1"/>
  <c r="O1478" i="1" s="1"/>
  <c r="C1478" i="1"/>
  <c r="O1477" i="1"/>
  <c r="L1477" i="1"/>
  <c r="C1477" i="1"/>
  <c r="O1476" i="1"/>
  <c r="L1476" i="1"/>
  <c r="C1476" i="1"/>
  <c r="L1475" i="1"/>
  <c r="O1475" i="1" s="1"/>
  <c r="C1475" i="1"/>
  <c r="O1474" i="1"/>
  <c r="L1474" i="1"/>
  <c r="C1474" i="1"/>
  <c r="O1473" i="1"/>
  <c r="L1473" i="1"/>
  <c r="C1473" i="1"/>
  <c r="O1472" i="1"/>
  <c r="L1472" i="1"/>
  <c r="C1472" i="1"/>
  <c r="L1471" i="1"/>
  <c r="O1471" i="1" s="1"/>
  <c r="C1471" i="1"/>
  <c r="L1470" i="1"/>
  <c r="O1470" i="1" s="1"/>
  <c r="C1470" i="1"/>
  <c r="L1469" i="1"/>
  <c r="O1469" i="1" s="1"/>
  <c r="C1469" i="1"/>
  <c r="O1468" i="1"/>
  <c r="L1468" i="1"/>
  <c r="C1468" i="1"/>
  <c r="O1467" i="1"/>
  <c r="L1467" i="1"/>
  <c r="C1467" i="1"/>
  <c r="O1466" i="1"/>
  <c r="L1466" i="1"/>
  <c r="C1466" i="1"/>
  <c r="L1465" i="1"/>
  <c r="O1465" i="1" s="1"/>
  <c r="C1465" i="1"/>
  <c r="O1464" i="1"/>
  <c r="L1464" i="1"/>
  <c r="C1464" i="1"/>
  <c r="L1463" i="1"/>
  <c r="O1463" i="1" s="1"/>
  <c r="C1463" i="1"/>
  <c r="O1462" i="1"/>
  <c r="L1462" i="1"/>
  <c r="C1462" i="1"/>
  <c r="O1461" i="1"/>
  <c r="L1461" i="1"/>
  <c r="C1461" i="1"/>
  <c r="O1460" i="1"/>
  <c r="L1460" i="1"/>
  <c r="C1460" i="1"/>
  <c r="O1459" i="1"/>
  <c r="L1459" i="1"/>
  <c r="C1459" i="1"/>
  <c r="L1458" i="1"/>
  <c r="O1458" i="1" s="1"/>
  <c r="C1458" i="1"/>
  <c r="O1457" i="1"/>
  <c r="L1457" i="1"/>
  <c r="C1457" i="1"/>
  <c r="O1456" i="1"/>
  <c r="L1456" i="1"/>
  <c r="C1456" i="1"/>
  <c r="L1455" i="1"/>
  <c r="O1455" i="1" s="1"/>
  <c r="C1455" i="1"/>
  <c r="L1454" i="1"/>
  <c r="O1454" i="1" s="1"/>
  <c r="C1454" i="1"/>
  <c r="O1453" i="1"/>
  <c r="L1453" i="1"/>
  <c r="C1453" i="1"/>
  <c r="L1452" i="1"/>
  <c r="O1452" i="1" s="1"/>
  <c r="C1452" i="1"/>
  <c r="O1451" i="1"/>
  <c r="L1451" i="1"/>
  <c r="C1451" i="1"/>
  <c r="O1450" i="1"/>
  <c r="L1450" i="1"/>
  <c r="C1450" i="1"/>
  <c r="L1449" i="1"/>
  <c r="O1449" i="1" s="1"/>
  <c r="C1449" i="1"/>
  <c r="L1448" i="1"/>
  <c r="O1448" i="1" s="1"/>
  <c r="C1448" i="1"/>
  <c r="O1447" i="1"/>
  <c r="L1447" i="1"/>
  <c r="C1447" i="1"/>
  <c r="L1446" i="1"/>
  <c r="O1446" i="1" s="1"/>
  <c r="C1446" i="1"/>
  <c r="O1445" i="1"/>
  <c r="L1445" i="1"/>
  <c r="C1445" i="1"/>
  <c r="O1444" i="1"/>
  <c r="L1444" i="1"/>
  <c r="C1444" i="1"/>
  <c r="L1443" i="1"/>
  <c r="O1443" i="1" s="1"/>
  <c r="C1443" i="1"/>
  <c r="O1442" i="1"/>
  <c r="L1442" i="1"/>
  <c r="C1442" i="1"/>
  <c r="L1441" i="1"/>
  <c r="O1441" i="1" s="1"/>
  <c r="C1441" i="1"/>
  <c r="O1440" i="1"/>
  <c r="L1440" i="1"/>
  <c r="C1440" i="1"/>
  <c r="L1439" i="1"/>
  <c r="O1439" i="1" s="1"/>
  <c r="C1439" i="1"/>
  <c r="L1438" i="1"/>
  <c r="O1438" i="1" s="1"/>
  <c r="C1438" i="1"/>
  <c r="L1437" i="1"/>
  <c r="O1437" i="1" s="1"/>
  <c r="C1437" i="1"/>
  <c r="L1436" i="1"/>
  <c r="O1436" i="1" s="1"/>
  <c r="C1436" i="1"/>
  <c r="O1435" i="1"/>
  <c r="L1435" i="1"/>
  <c r="C1435" i="1"/>
  <c r="O1434" i="1"/>
  <c r="L1434" i="1"/>
  <c r="C1434" i="1"/>
  <c r="L1433" i="1"/>
  <c r="O1433" i="1" s="1"/>
  <c r="C1433" i="1"/>
  <c r="O1432" i="1"/>
  <c r="L1432" i="1"/>
  <c r="C1432" i="1"/>
  <c r="L1431" i="1"/>
  <c r="O1431" i="1" s="1"/>
  <c r="C1431" i="1"/>
  <c r="O1430" i="1"/>
  <c r="L1430" i="1"/>
  <c r="C1430" i="1"/>
  <c r="O1429" i="1"/>
  <c r="L1429" i="1"/>
  <c r="C1429" i="1"/>
  <c r="O1428" i="1"/>
  <c r="L1428" i="1"/>
  <c r="C1428" i="1"/>
  <c r="L1427" i="1"/>
  <c r="O1427" i="1" s="1"/>
  <c r="C1427" i="1"/>
  <c r="L1426" i="1"/>
  <c r="O1426" i="1" s="1"/>
  <c r="C1426" i="1"/>
  <c r="L1425" i="1"/>
  <c r="O1425" i="1" s="1"/>
  <c r="C1425" i="1"/>
  <c r="O1424" i="1"/>
  <c r="L1424" i="1"/>
  <c r="C1424" i="1"/>
  <c r="L1423" i="1"/>
  <c r="O1423" i="1" s="1"/>
  <c r="C1423" i="1"/>
  <c r="L1422" i="1"/>
  <c r="O1422" i="1" s="1"/>
  <c r="C1422" i="1"/>
  <c r="L1421" i="1"/>
  <c r="O1421" i="1" s="1"/>
  <c r="C1421" i="1"/>
  <c r="L1420" i="1"/>
  <c r="O1420" i="1" s="1"/>
  <c r="C1420" i="1"/>
  <c r="O1419" i="1"/>
  <c r="L1419" i="1"/>
  <c r="C1419" i="1"/>
  <c r="O1418" i="1"/>
  <c r="L1418" i="1"/>
  <c r="C1418" i="1"/>
  <c r="L1417" i="1"/>
  <c r="O1417" i="1" s="1"/>
  <c r="C1417" i="1"/>
  <c r="L1416" i="1"/>
  <c r="O1416" i="1" s="1"/>
  <c r="C1416" i="1"/>
  <c r="O1415" i="1"/>
  <c r="L1415" i="1"/>
  <c r="C1415" i="1"/>
  <c r="L1414" i="1"/>
  <c r="O1414" i="1" s="1"/>
  <c r="C1414" i="1"/>
  <c r="O1413" i="1"/>
  <c r="L1413" i="1"/>
  <c r="C1413" i="1"/>
  <c r="O1412" i="1"/>
  <c r="L1412" i="1"/>
  <c r="C1412" i="1"/>
  <c r="O1411" i="1"/>
  <c r="L1411" i="1"/>
  <c r="C1411" i="1"/>
  <c r="L1410" i="1"/>
  <c r="O1410" i="1" s="1"/>
  <c r="C1410" i="1"/>
  <c r="L1409" i="1"/>
  <c r="O1409" i="1" s="1"/>
  <c r="C1409" i="1"/>
  <c r="O1408" i="1"/>
  <c r="L1408" i="1"/>
  <c r="C1408" i="1"/>
  <c r="L1407" i="1"/>
  <c r="O1407" i="1" s="1"/>
  <c r="C1407" i="1"/>
  <c r="L1406" i="1"/>
  <c r="O1406" i="1" s="1"/>
  <c r="C1406" i="1"/>
  <c r="O1405" i="1"/>
  <c r="L1405" i="1"/>
  <c r="C1405" i="1"/>
  <c r="L1404" i="1"/>
  <c r="O1404" i="1" s="1"/>
  <c r="C1404" i="1"/>
  <c r="O1403" i="1"/>
  <c r="L1403" i="1"/>
  <c r="C1403" i="1"/>
  <c r="O1402" i="1"/>
  <c r="L1402" i="1"/>
  <c r="C1402" i="1"/>
  <c r="L1401" i="1"/>
  <c r="O1401" i="1" s="1"/>
  <c r="C1401" i="1"/>
  <c r="O1400" i="1"/>
  <c r="L1400" i="1"/>
  <c r="C1400" i="1"/>
  <c r="L1399" i="1"/>
  <c r="O1399" i="1" s="1"/>
  <c r="C1399" i="1"/>
  <c r="O1398" i="1"/>
  <c r="L1398" i="1"/>
  <c r="C1398" i="1"/>
  <c r="O1397" i="1"/>
  <c r="L1397" i="1"/>
  <c r="C1397" i="1"/>
  <c r="O1396" i="1"/>
  <c r="L1396" i="1"/>
  <c r="C1396" i="1"/>
  <c r="L1395" i="1"/>
  <c r="O1395" i="1" s="1"/>
  <c r="C1395" i="1"/>
  <c r="O1394" i="1"/>
  <c r="L1394" i="1"/>
  <c r="C1394" i="1"/>
  <c r="L1393" i="1"/>
  <c r="O1393" i="1" s="1"/>
  <c r="C1393" i="1"/>
  <c r="O1392" i="1"/>
  <c r="L1392" i="1"/>
  <c r="C1392" i="1"/>
  <c r="L1391" i="1"/>
  <c r="O1391" i="1" s="1"/>
  <c r="C1391" i="1"/>
  <c r="L1390" i="1"/>
  <c r="O1390" i="1" s="1"/>
  <c r="C1390" i="1"/>
  <c r="L1389" i="1"/>
  <c r="O1389" i="1" s="1"/>
  <c r="C1389" i="1"/>
  <c r="O1388" i="1"/>
  <c r="L1388" i="1"/>
  <c r="C1388" i="1"/>
  <c r="L1387" i="1"/>
  <c r="O1387" i="1" s="1"/>
  <c r="C1387" i="1"/>
  <c r="O1386" i="1"/>
  <c r="L1386" i="1"/>
  <c r="C1386" i="1"/>
  <c r="L1385" i="1"/>
  <c r="O1385" i="1" s="1"/>
  <c r="C1385" i="1"/>
  <c r="L1384" i="1"/>
  <c r="O1384" i="1" s="1"/>
  <c r="C1384" i="1"/>
  <c r="L1383" i="1"/>
  <c r="O1383" i="1" s="1"/>
  <c r="C1383" i="1"/>
  <c r="L1382" i="1"/>
  <c r="O1382" i="1" s="1"/>
  <c r="C1382" i="1"/>
  <c r="O1381" i="1"/>
  <c r="L1381" i="1"/>
  <c r="C1381" i="1"/>
  <c r="O1380" i="1"/>
  <c r="L1380" i="1"/>
  <c r="C1380" i="1"/>
  <c r="L1379" i="1"/>
  <c r="O1379" i="1" s="1"/>
  <c r="C1379" i="1"/>
  <c r="L1378" i="1"/>
  <c r="O1378" i="1" s="1"/>
  <c r="C1378" i="1"/>
  <c r="O1377" i="1"/>
  <c r="L1377" i="1"/>
  <c r="C1377" i="1"/>
  <c r="O1376" i="1"/>
  <c r="L1376" i="1"/>
  <c r="C1376" i="1"/>
  <c r="L1375" i="1"/>
  <c r="O1375" i="1" s="1"/>
  <c r="C1375" i="1"/>
  <c r="L1374" i="1"/>
  <c r="O1374" i="1" s="1"/>
  <c r="C1374" i="1"/>
  <c r="L1373" i="1"/>
  <c r="O1373" i="1" s="1"/>
  <c r="C1373" i="1"/>
  <c r="L1372" i="1"/>
  <c r="O1372" i="1" s="1"/>
  <c r="C1372" i="1"/>
  <c r="O1371" i="1"/>
  <c r="L1371" i="1"/>
  <c r="C1371" i="1"/>
  <c r="O1370" i="1"/>
  <c r="L1370" i="1"/>
  <c r="C1370" i="1"/>
  <c r="L1369" i="1"/>
  <c r="O1369" i="1" s="1"/>
  <c r="C1369" i="1"/>
  <c r="O1368" i="1"/>
  <c r="L1368" i="1"/>
  <c r="C1368" i="1"/>
  <c r="L1367" i="1"/>
  <c r="O1367" i="1" s="1"/>
  <c r="C1367" i="1"/>
  <c r="L1366" i="1"/>
  <c r="O1366" i="1" s="1"/>
  <c r="C1366" i="1"/>
  <c r="O1365" i="1"/>
  <c r="L1365" i="1"/>
  <c r="C1365" i="1"/>
  <c r="O1364" i="1"/>
  <c r="L1364" i="1"/>
  <c r="C1364" i="1"/>
  <c r="O1363" i="1"/>
  <c r="L1363" i="1"/>
  <c r="C1363" i="1"/>
  <c r="L1362" i="1"/>
  <c r="O1362" i="1" s="1"/>
  <c r="C1362" i="1"/>
  <c r="L1361" i="1"/>
  <c r="O1361" i="1" s="1"/>
  <c r="C1361" i="1"/>
  <c r="O1360" i="1"/>
  <c r="L1360" i="1"/>
  <c r="C1360" i="1"/>
  <c r="L1359" i="1"/>
  <c r="O1359" i="1" s="1"/>
  <c r="C1359" i="1"/>
  <c r="L1358" i="1"/>
  <c r="O1358" i="1" s="1"/>
  <c r="C1358" i="1"/>
  <c r="O1357" i="1"/>
  <c r="L1357" i="1"/>
  <c r="C1357" i="1"/>
  <c r="L1356" i="1"/>
  <c r="O1356" i="1" s="1"/>
  <c r="C1356" i="1"/>
  <c r="L1355" i="1"/>
  <c r="O1355" i="1" s="1"/>
  <c r="C1355" i="1"/>
  <c r="O1354" i="1"/>
  <c r="L1354" i="1"/>
  <c r="C1354" i="1"/>
  <c r="L1353" i="1"/>
  <c r="O1353" i="1" s="1"/>
  <c r="C1353" i="1"/>
  <c r="L1352" i="1"/>
  <c r="O1352" i="1" s="1"/>
  <c r="C1352" i="1"/>
  <c r="O1351" i="1"/>
  <c r="L1351" i="1"/>
  <c r="C1351" i="1"/>
  <c r="L1350" i="1"/>
  <c r="O1350" i="1" s="1"/>
  <c r="C1350" i="1"/>
  <c r="O1349" i="1"/>
  <c r="L1349" i="1"/>
  <c r="C1349" i="1"/>
  <c r="O1348" i="1"/>
  <c r="L1348" i="1"/>
  <c r="C1348" i="1"/>
  <c r="O1347" i="1"/>
  <c r="L1347" i="1"/>
  <c r="C1347" i="1"/>
  <c r="O1346" i="1"/>
  <c r="L1346" i="1"/>
  <c r="C1346" i="1"/>
  <c r="L1345" i="1"/>
  <c r="O1345" i="1" s="1"/>
  <c r="C1345" i="1"/>
  <c r="O1344" i="1"/>
  <c r="L1344" i="1"/>
  <c r="C1344" i="1"/>
  <c r="L1343" i="1"/>
  <c r="O1343" i="1" s="1"/>
  <c r="C1343" i="1"/>
  <c r="L1342" i="1"/>
  <c r="O1342" i="1" s="1"/>
  <c r="C1342" i="1"/>
  <c r="O1341" i="1"/>
  <c r="L1341" i="1"/>
  <c r="C1341" i="1"/>
  <c r="O1340" i="1"/>
  <c r="L1340" i="1"/>
  <c r="C1340" i="1"/>
  <c r="L1339" i="1"/>
  <c r="O1339" i="1" s="1"/>
  <c r="C1339" i="1"/>
  <c r="O1338" i="1"/>
  <c r="L1338" i="1"/>
  <c r="C1338" i="1"/>
  <c r="L1337" i="1"/>
  <c r="O1337" i="1" s="1"/>
  <c r="C1337" i="1"/>
  <c r="O1336" i="1"/>
  <c r="L1336" i="1"/>
  <c r="C1336" i="1"/>
  <c r="L1335" i="1"/>
  <c r="O1335" i="1" s="1"/>
  <c r="C1335" i="1"/>
  <c r="O1334" i="1"/>
  <c r="L1334" i="1"/>
  <c r="C1334" i="1"/>
  <c r="O1333" i="1"/>
  <c r="L1333" i="1"/>
  <c r="C1333" i="1"/>
  <c r="O1332" i="1"/>
  <c r="L1332" i="1"/>
  <c r="C1332" i="1"/>
  <c r="L1331" i="1"/>
  <c r="O1331" i="1" s="1"/>
  <c r="C1331" i="1"/>
  <c r="O1330" i="1"/>
  <c r="L1330" i="1"/>
  <c r="C1330" i="1"/>
  <c r="L1329" i="1"/>
  <c r="O1329" i="1" s="1"/>
  <c r="C1329" i="1"/>
  <c r="O1328" i="1"/>
  <c r="L1328" i="1"/>
  <c r="C1328" i="1"/>
  <c r="L1327" i="1"/>
  <c r="O1327" i="1" s="1"/>
  <c r="C1327" i="1"/>
  <c r="L1326" i="1"/>
  <c r="O1326" i="1" s="1"/>
  <c r="C1326" i="1"/>
  <c r="L1325" i="1"/>
  <c r="O1325" i="1" s="1"/>
  <c r="C1325" i="1"/>
  <c r="O1324" i="1"/>
  <c r="L1324" i="1"/>
  <c r="C1324" i="1"/>
  <c r="L1323" i="1"/>
  <c r="O1323" i="1" s="1"/>
  <c r="C1323" i="1"/>
  <c r="O1322" i="1"/>
  <c r="L1322" i="1"/>
  <c r="C1322" i="1"/>
  <c r="L1321" i="1"/>
  <c r="O1321" i="1" s="1"/>
  <c r="C1321" i="1"/>
  <c r="O1320" i="1"/>
  <c r="L1320" i="1"/>
  <c r="C1320" i="1"/>
  <c r="O1319" i="1"/>
  <c r="L1319" i="1"/>
  <c r="C1319" i="1"/>
  <c r="L1318" i="1"/>
  <c r="O1318" i="1" s="1"/>
  <c r="C1318" i="1"/>
  <c r="O1317" i="1"/>
  <c r="L1317" i="1"/>
  <c r="C1317" i="1"/>
  <c r="O1316" i="1"/>
  <c r="L1316" i="1"/>
  <c r="C1316" i="1"/>
  <c r="L1315" i="1"/>
  <c r="O1315" i="1" s="1"/>
  <c r="C1315" i="1"/>
  <c r="L1314" i="1"/>
  <c r="O1314" i="1" s="1"/>
  <c r="C1314" i="1"/>
  <c r="O1313" i="1"/>
  <c r="L1313" i="1"/>
  <c r="C1313" i="1"/>
  <c r="O1312" i="1"/>
  <c r="L1312" i="1"/>
  <c r="C1312" i="1"/>
  <c r="L1311" i="1"/>
  <c r="O1311" i="1" s="1"/>
  <c r="C1311" i="1"/>
  <c r="L1310" i="1"/>
  <c r="O1310" i="1" s="1"/>
  <c r="C1310" i="1"/>
  <c r="O1309" i="1"/>
  <c r="L1309" i="1"/>
  <c r="C1309" i="1"/>
  <c r="L1308" i="1"/>
  <c r="O1308" i="1" s="1"/>
  <c r="C1308" i="1"/>
  <c r="O1307" i="1"/>
  <c r="L1307" i="1"/>
  <c r="C1307" i="1"/>
  <c r="O1306" i="1"/>
  <c r="L1306" i="1"/>
  <c r="C1306" i="1"/>
  <c r="L1305" i="1"/>
  <c r="O1305" i="1" s="1"/>
  <c r="C1305" i="1"/>
  <c r="L1304" i="1"/>
  <c r="O1304" i="1" s="1"/>
  <c r="C1304" i="1"/>
  <c r="O1303" i="1"/>
  <c r="L1303" i="1"/>
  <c r="C1303" i="1"/>
  <c r="O1302" i="1"/>
  <c r="L1302" i="1"/>
  <c r="C1302" i="1"/>
  <c r="O1301" i="1"/>
  <c r="L1301" i="1"/>
  <c r="C1301" i="1"/>
  <c r="O1300" i="1"/>
  <c r="L1300" i="1"/>
  <c r="C1300" i="1"/>
  <c r="L1299" i="1"/>
  <c r="O1299" i="1" s="1"/>
  <c r="C1299" i="1"/>
  <c r="O1298" i="1"/>
  <c r="L1298" i="1"/>
  <c r="C1298" i="1"/>
  <c r="L1297" i="1"/>
  <c r="O1297" i="1" s="1"/>
  <c r="C1297" i="1"/>
  <c r="O1296" i="1"/>
  <c r="L1296" i="1"/>
  <c r="C1296" i="1"/>
  <c r="L1295" i="1"/>
  <c r="O1295" i="1" s="1"/>
  <c r="C1295" i="1"/>
  <c r="L1294" i="1"/>
  <c r="O1294" i="1" s="1"/>
  <c r="C1294" i="1"/>
  <c r="L1293" i="1"/>
  <c r="O1293" i="1" s="1"/>
  <c r="C1293" i="1"/>
  <c r="O1292" i="1"/>
  <c r="L1292" i="1"/>
  <c r="C1292" i="1"/>
  <c r="L1291" i="1"/>
  <c r="O1291" i="1" s="1"/>
  <c r="C1291" i="1"/>
  <c r="O1290" i="1"/>
  <c r="L1290" i="1"/>
  <c r="C1290" i="1"/>
  <c r="L1289" i="1"/>
  <c r="O1289" i="1" s="1"/>
  <c r="C1289" i="1"/>
  <c r="L1288" i="1"/>
  <c r="O1288" i="1" s="1"/>
  <c r="C1288" i="1"/>
  <c r="L1287" i="1"/>
  <c r="O1287" i="1" s="1"/>
  <c r="C1287" i="1"/>
  <c r="O1286" i="1"/>
  <c r="L1286" i="1"/>
  <c r="C1286" i="1"/>
  <c r="O1285" i="1"/>
  <c r="L1285" i="1"/>
  <c r="C1285" i="1"/>
  <c r="O1284" i="1"/>
  <c r="L1284" i="1"/>
  <c r="C1284" i="1"/>
  <c r="L1283" i="1"/>
  <c r="O1283" i="1" s="1"/>
  <c r="C1283" i="1"/>
  <c r="O1282" i="1"/>
  <c r="L1282" i="1"/>
  <c r="C1282" i="1"/>
  <c r="L1281" i="1"/>
  <c r="O1281" i="1" s="1"/>
  <c r="C1281" i="1"/>
  <c r="O1280" i="1"/>
  <c r="L1280" i="1"/>
  <c r="C1280" i="1"/>
  <c r="L1279" i="1"/>
  <c r="O1279" i="1" s="1"/>
  <c r="C1279" i="1"/>
  <c r="L1278" i="1"/>
  <c r="O1278" i="1" s="1"/>
  <c r="C1278" i="1"/>
  <c r="L1277" i="1"/>
  <c r="O1277" i="1" s="1"/>
  <c r="C1277" i="1"/>
  <c r="O1276" i="1"/>
  <c r="L1276" i="1"/>
  <c r="C1276" i="1"/>
  <c r="L1275" i="1"/>
  <c r="O1275" i="1" s="1"/>
  <c r="C1275" i="1"/>
  <c r="O1274" i="1"/>
  <c r="L1274" i="1"/>
  <c r="C1274" i="1"/>
  <c r="L1273" i="1"/>
  <c r="O1273" i="1" s="1"/>
  <c r="C1273" i="1"/>
  <c r="L1272" i="1"/>
  <c r="O1272" i="1" s="1"/>
  <c r="C1272" i="1"/>
  <c r="L1271" i="1"/>
  <c r="O1271" i="1" s="1"/>
  <c r="C1271" i="1"/>
  <c r="O1270" i="1"/>
  <c r="L1270" i="1"/>
  <c r="C1270" i="1"/>
  <c r="O1269" i="1"/>
  <c r="L1269" i="1"/>
  <c r="C1269" i="1"/>
  <c r="O1268" i="1"/>
  <c r="L1268" i="1"/>
  <c r="C1268" i="1"/>
  <c r="L1267" i="1"/>
  <c r="O1267" i="1" s="1"/>
  <c r="C1267" i="1"/>
  <c r="L1266" i="1"/>
  <c r="O1266" i="1" s="1"/>
  <c r="C1266" i="1"/>
  <c r="L1265" i="1"/>
  <c r="O1265" i="1" s="1"/>
  <c r="C1265" i="1"/>
  <c r="O1264" i="1"/>
  <c r="L1264" i="1"/>
  <c r="C1264" i="1"/>
  <c r="L1263" i="1"/>
  <c r="O1263" i="1" s="1"/>
  <c r="C1263" i="1"/>
  <c r="L1262" i="1"/>
  <c r="O1262" i="1" s="1"/>
  <c r="C1262" i="1"/>
  <c r="L1261" i="1"/>
  <c r="O1261" i="1" s="1"/>
  <c r="C1261" i="1"/>
  <c r="L1260" i="1"/>
  <c r="O1260" i="1" s="1"/>
  <c r="C1260" i="1"/>
  <c r="L1259" i="1"/>
  <c r="O1259" i="1" s="1"/>
  <c r="C1259" i="1"/>
  <c r="O1258" i="1"/>
  <c r="L1258" i="1"/>
  <c r="C1258" i="1"/>
  <c r="L1257" i="1"/>
  <c r="O1257" i="1" s="1"/>
  <c r="C1257" i="1"/>
  <c r="L1256" i="1"/>
  <c r="O1256" i="1" s="1"/>
  <c r="C1256" i="1"/>
  <c r="L1255" i="1"/>
  <c r="O1255" i="1" s="1"/>
  <c r="C1255" i="1"/>
  <c r="L1254" i="1"/>
  <c r="O1254" i="1" s="1"/>
  <c r="C1254" i="1"/>
  <c r="O1253" i="1"/>
  <c r="L1253" i="1"/>
  <c r="C1253" i="1"/>
  <c r="O1252" i="1"/>
  <c r="L1252" i="1"/>
  <c r="C1252" i="1"/>
  <c r="O1251" i="1"/>
  <c r="L1251" i="1"/>
  <c r="C1251" i="1"/>
  <c r="L1250" i="1"/>
  <c r="O1250" i="1" s="1"/>
  <c r="C1250" i="1"/>
  <c r="L1249" i="1"/>
  <c r="O1249" i="1" s="1"/>
  <c r="C1249" i="1"/>
  <c r="L1248" i="1"/>
  <c r="O1248" i="1" s="1"/>
  <c r="C1248" i="1"/>
  <c r="L1247" i="1"/>
  <c r="O1247" i="1" s="1"/>
  <c r="C1247" i="1"/>
  <c r="L1246" i="1"/>
  <c r="O1246" i="1" s="1"/>
  <c r="C1246" i="1"/>
  <c r="O1245" i="1"/>
  <c r="L1245" i="1"/>
  <c r="C1245" i="1"/>
  <c r="L1244" i="1"/>
  <c r="O1244" i="1" s="1"/>
  <c r="C1244" i="1"/>
  <c r="O1243" i="1"/>
  <c r="L1243" i="1"/>
  <c r="C1243" i="1"/>
  <c r="O1242" i="1"/>
  <c r="L1242" i="1"/>
  <c r="C1242" i="1"/>
  <c r="L1241" i="1"/>
  <c r="O1241" i="1" s="1"/>
  <c r="C1241" i="1"/>
  <c r="L1240" i="1"/>
  <c r="O1240" i="1" s="1"/>
  <c r="C1240" i="1"/>
  <c r="L1239" i="1"/>
  <c r="O1239" i="1" s="1"/>
  <c r="C1239" i="1"/>
  <c r="L1238" i="1"/>
  <c r="O1238" i="1" s="1"/>
  <c r="C1238" i="1"/>
  <c r="O1237" i="1"/>
  <c r="L1237" i="1"/>
  <c r="C1237" i="1"/>
  <c r="O1236" i="1"/>
  <c r="L1236" i="1"/>
  <c r="C1236" i="1"/>
  <c r="O1235" i="1"/>
  <c r="L1235" i="1"/>
  <c r="C1235" i="1"/>
  <c r="O1234" i="1"/>
  <c r="L1234" i="1"/>
  <c r="C1234" i="1"/>
  <c r="L1233" i="1"/>
  <c r="O1233" i="1" s="1"/>
  <c r="C1233" i="1"/>
  <c r="L1232" i="1"/>
  <c r="O1232" i="1" s="1"/>
  <c r="C1232" i="1"/>
  <c r="L1231" i="1"/>
  <c r="O1231" i="1" s="1"/>
  <c r="C1231" i="1"/>
  <c r="L1230" i="1"/>
  <c r="O1230" i="1" s="1"/>
  <c r="C1230" i="1"/>
  <c r="O1229" i="1"/>
  <c r="L1229" i="1"/>
  <c r="C1229" i="1"/>
  <c r="O1228" i="1"/>
  <c r="L1228" i="1"/>
  <c r="C1228" i="1"/>
  <c r="L1227" i="1"/>
  <c r="O1227" i="1" s="1"/>
  <c r="C1227" i="1"/>
  <c r="O1226" i="1"/>
  <c r="L1226" i="1"/>
  <c r="C1226" i="1"/>
  <c r="L1225" i="1"/>
  <c r="O1225" i="1" s="1"/>
  <c r="C1225" i="1"/>
  <c r="O1224" i="1"/>
  <c r="L1224" i="1"/>
  <c r="C1224" i="1"/>
  <c r="L1223" i="1"/>
  <c r="O1223" i="1" s="1"/>
  <c r="C1223" i="1"/>
  <c r="L1222" i="1"/>
  <c r="O1222" i="1" s="1"/>
  <c r="C1222" i="1"/>
  <c r="O1221" i="1"/>
  <c r="L1221" i="1"/>
  <c r="C1221" i="1"/>
  <c r="O1220" i="1"/>
  <c r="L1220" i="1"/>
  <c r="C1220" i="1"/>
  <c r="L1219" i="1"/>
  <c r="O1219" i="1" s="1"/>
  <c r="C1219" i="1"/>
  <c r="O1218" i="1"/>
  <c r="L1218" i="1"/>
  <c r="C1218" i="1"/>
  <c r="O1217" i="1"/>
  <c r="L1217" i="1"/>
  <c r="C1217" i="1"/>
  <c r="L1216" i="1"/>
  <c r="O1216" i="1" s="1"/>
  <c r="C1216" i="1"/>
  <c r="L1215" i="1"/>
  <c r="O1215" i="1" s="1"/>
  <c r="C1215" i="1"/>
  <c r="L1214" i="1"/>
  <c r="O1214" i="1" s="1"/>
  <c r="C1214" i="1"/>
  <c r="L1213" i="1"/>
  <c r="O1213" i="1" s="1"/>
  <c r="C1213" i="1"/>
  <c r="O1212" i="1"/>
  <c r="L1212" i="1"/>
  <c r="C1212" i="1"/>
  <c r="O1211" i="1"/>
  <c r="L1211" i="1"/>
  <c r="C1211" i="1"/>
  <c r="O1210" i="1"/>
  <c r="L1210" i="1"/>
  <c r="C1210" i="1"/>
  <c r="L1209" i="1"/>
  <c r="O1209" i="1" s="1"/>
  <c r="C1209" i="1"/>
  <c r="O1208" i="1"/>
  <c r="L1208" i="1"/>
  <c r="C1208" i="1"/>
  <c r="L1207" i="1"/>
  <c r="O1207" i="1" s="1"/>
  <c r="C1207" i="1"/>
  <c r="L1206" i="1"/>
  <c r="O1206" i="1" s="1"/>
  <c r="C1206" i="1"/>
  <c r="L1205" i="1"/>
  <c r="O1205" i="1" s="1"/>
  <c r="C1205" i="1"/>
  <c r="O1204" i="1"/>
  <c r="L1204" i="1"/>
  <c r="C1204" i="1"/>
  <c r="L1203" i="1"/>
  <c r="O1203" i="1" s="1"/>
  <c r="C1203" i="1"/>
  <c r="O1202" i="1"/>
  <c r="L1202" i="1"/>
  <c r="C1202" i="1"/>
  <c r="O1201" i="1"/>
  <c r="L1201" i="1"/>
  <c r="C1201" i="1"/>
  <c r="O1200" i="1"/>
  <c r="L1200" i="1"/>
  <c r="C1200" i="1"/>
  <c r="L1199" i="1"/>
  <c r="O1199" i="1" s="1"/>
  <c r="C1199" i="1"/>
  <c r="L1198" i="1"/>
  <c r="O1198" i="1" s="1"/>
  <c r="C1198" i="1"/>
  <c r="L1197" i="1"/>
  <c r="O1197" i="1" s="1"/>
  <c r="C1197" i="1"/>
  <c r="O1196" i="1"/>
  <c r="L1196" i="1"/>
  <c r="C1196" i="1"/>
  <c r="O1195" i="1"/>
  <c r="L1195" i="1"/>
  <c r="C1195" i="1"/>
  <c r="O1194" i="1"/>
  <c r="L1194" i="1"/>
  <c r="C1194" i="1"/>
  <c r="L1193" i="1"/>
  <c r="O1193" i="1" s="1"/>
  <c r="C1193" i="1"/>
  <c r="L1192" i="1"/>
  <c r="O1192" i="1" s="1"/>
  <c r="C1192" i="1"/>
  <c r="L1191" i="1"/>
  <c r="O1191" i="1" s="1"/>
  <c r="C1191" i="1"/>
  <c r="L1190" i="1"/>
  <c r="O1190" i="1" s="1"/>
  <c r="C1190" i="1"/>
  <c r="L1189" i="1"/>
  <c r="O1189" i="1" s="1"/>
  <c r="C1189" i="1"/>
  <c r="O1188" i="1"/>
  <c r="L1188" i="1"/>
  <c r="C1188" i="1"/>
  <c r="L1187" i="1"/>
  <c r="O1187" i="1" s="1"/>
  <c r="C1187" i="1"/>
  <c r="L1186" i="1"/>
  <c r="O1186" i="1" s="1"/>
  <c r="C1186" i="1"/>
  <c r="L1185" i="1"/>
  <c r="O1185" i="1" s="1"/>
  <c r="C1185" i="1"/>
  <c r="O1184" i="1"/>
  <c r="L1184" i="1"/>
  <c r="C1184" i="1"/>
  <c r="L1183" i="1"/>
  <c r="O1183" i="1" s="1"/>
  <c r="C1183" i="1"/>
  <c r="L1182" i="1"/>
  <c r="O1182" i="1" s="1"/>
  <c r="C1182" i="1"/>
  <c r="L1181" i="1"/>
  <c r="O1181" i="1" s="1"/>
  <c r="C1181" i="1"/>
  <c r="L1180" i="1"/>
  <c r="O1180" i="1" s="1"/>
  <c r="C1180" i="1"/>
  <c r="L1179" i="1"/>
  <c r="O1179" i="1" s="1"/>
  <c r="C1179" i="1"/>
  <c r="O1178" i="1"/>
  <c r="L1178" i="1"/>
  <c r="C1178" i="1"/>
  <c r="L1177" i="1"/>
  <c r="O1177" i="1" s="1"/>
  <c r="C1177" i="1"/>
  <c r="O1176" i="1"/>
  <c r="L1176" i="1"/>
  <c r="C1176" i="1"/>
  <c r="L1175" i="1"/>
  <c r="O1175" i="1" s="1"/>
  <c r="C1175" i="1"/>
  <c r="L1174" i="1"/>
  <c r="O1174" i="1" s="1"/>
  <c r="C1174" i="1"/>
  <c r="L1173" i="1"/>
  <c r="O1173" i="1" s="1"/>
  <c r="C1173" i="1"/>
  <c r="O1172" i="1"/>
  <c r="L1172" i="1"/>
  <c r="C1172" i="1"/>
  <c r="L1171" i="1"/>
  <c r="O1171" i="1" s="1"/>
  <c r="C1171" i="1"/>
  <c r="L1170" i="1"/>
  <c r="O1170" i="1" s="1"/>
  <c r="C1170" i="1"/>
  <c r="L1169" i="1"/>
  <c r="O1169" i="1" s="1"/>
  <c r="C1169" i="1"/>
  <c r="L1168" i="1"/>
  <c r="O1168" i="1" s="1"/>
  <c r="C1168" i="1"/>
  <c r="L1167" i="1"/>
  <c r="O1167" i="1" s="1"/>
  <c r="C1167" i="1"/>
  <c r="O1166" i="1"/>
  <c r="L1166" i="1"/>
  <c r="C1166" i="1"/>
  <c r="O1165" i="1"/>
  <c r="L1165" i="1"/>
  <c r="C1165" i="1"/>
  <c r="O1164" i="1"/>
  <c r="L1164" i="1"/>
  <c r="C1164" i="1"/>
  <c r="L1163" i="1"/>
  <c r="O1163" i="1" s="1"/>
  <c r="C1163" i="1"/>
  <c r="O1162" i="1"/>
  <c r="L1162" i="1"/>
  <c r="C1162" i="1"/>
  <c r="L1161" i="1"/>
  <c r="O1161" i="1" s="1"/>
  <c r="C1161" i="1"/>
  <c r="O1160" i="1"/>
  <c r="L1160" i="1"/>
  <c r="C1160" i="1"/>
  <c r="L1159" i="1"/>
  <c r="O1159" i="1" s="1"/>
  <c r="C1159" i="1"/>
  <c r="O1158" i="1"/>
  <c r="L1158" i="1"/>
  <c r="C1158" i="1"/>
  <c r="L1157" i="1"/>
  <c r="O1157" i="1" s="1"/>
  <c r="C1157" i="1"/>
  <c r="O1156" i="1"/>
  <c r="L1156" i="1"/>
  <c r="C1156" i="1"/>
  <c r="O1155" i="1"/>
  <c r="L1155" i="1"/>
  <c r="C1155" i="1"/>
  <c r="O1154" i="1"/>
  <c r="L1154" i="1"/>
  <c r="C1154" i="1"/>
  <c r="O1153" i="1"/>
  <c r="L1153" i="1"/>
  <c r="C1153" i="1"/>
  <c r="L1152" i="1"/>
  <c r="O1152" i="1" s="1"/>
  <c r="C1152" i="1"/>
  <c r="L1151" i="1"/>
  <c r="O1151" i="1" s="1"/>
  <c r="C1151" i="1"/>
  <c r="O1150" i="1"/>
  <c r="L1150" i="1"/>
  <c r="C1150" i="1"/>
  <c r="O1149" i="1"/>
  <c r="L1149" i="1"/>
  <c r="C1149" i="1"/>
  <c r="L1148" i="1"/>
  <c r="O1148" i="1" s="1"/>
  <c r="C1148" i="1"/>
  <c r="O1147" i="1"/>
  <c r="L1147" i="1"/>
  <c r="C1147" i="1"/>
  <c r="O1146" i="1"/>
  <c r="L1146" i="1"/>
  <c r="C1146" i="1"/>
  <c r="L1145" i="1"/>
  <c r="O1145" i="1" s="1"/>
  <c r="C1145" i="1"/>
  <c r="L1144" i="1"/>
  <c r="O1144" i="1" s="1"/>
  <c r="C1144" i="1"/>
  <c r="L1143" i="1"/>
  <c r="O1143" i="1" s="1"/>
  <c r="C1143" i="1"/>
  <c r="L1142" i="1"/>
  <c r="O1142" i="1" s="1"/>
  <c r="C1142" i="1"/>
  <c r="L1141" i="1"/>
  <c r="O1141" i="1" s="1"/>
  <c r="C1141" i="1"/>
  <c r="O1140" i="1"/>
  <c r="L1140" i="1"/>
  <c r="C1140" i="1"/>
  <c r="O1139" i="1"/>
  <c r="L1139" i="1"/>
  <c r="C1139" i="1"/>
  <c r="O1138" i="1"/>
  <c r="L1138" i="1"/>
  <c r="C1138" i="1"/>
  <c r="L1137" i="1"/>
  <c r="O1137" i="1" s="1"/>
  <c r="C1137" i="1"/>
  <c r="L1136" i="1"/>
  <c r="O1136" i="1" s="1"/>
  <c r="C1136" i="1"/>
  <c r="L1135" i="1"/>
  <c r="O1135" i="1" s="1"/>
  <c r="C1135" i="1"/>
  <c r="O1134" i="1"/>
  <c r="L1134" i="1"/>
  <c r="C1134" i="1"/>
  <c r="L1133" i="1"/>
  <c r="O1133" i="1" s="1"/>
  <c r="C1133" i="1"/>
  <c r="L1132" i="1"/>
  <c r="O1132" i="1" s="1"/>
  <c r="C1132" i="1"/>
  <c r="L1131" i="1"/>
  <c r="O1131" i="1" s="1"/>
  <c r="C1131" i="1"/>
  <c r="O1130" i="1"/>
  <c r="L1130" i="1"/>
  <c r="C1130" i="1"/>
  <c r="L1129" i="1"/>
  <c r="O1129" i="1" s="1"/>
  <c r="C1129" i="1"/>
  <c r="L1128" i="1"/>
  <c r="O1128" i="1" s="1"/>
  <c r="C1128" i="1"/>
  <c r="O1127" i="1"/>
  <c r="L1127" i="1"/>
  <c r="C1127" i="1"/>
  <c r="O1126" i="1"/>
  <c r="L1126" i="1"/>
  <c r="C1126" i="1"/>
  <c r="L1125" i="1"/>
  <c r="O1125" i="1" s="1"/>
  <c r="C1125" i="1"/>
  <c r="O1124" i="1"/>
  <c r="L1124" i="1"/>
  <c r="C1124" i="1"/>
  <c r="L1123" i="1"/>
  <c r="O1123" i="1" s="1"/>
  <c r="C1123" i="1"/>
  <c r="L1122" i="1"/>
  <c r="O1122" i="1" s="1"/>
  <c r="C1122" i="1"/>
  <c r="L1121" i="1"/>
  <c r="O1121" i="1" s="1"/>
  <c r="C1121" i="1"/>
  <c r="L1120" i="1"/>
  <c r="O1120" i="1" s="1"/>
  <c r="C1120" i="1"/>
  <c r="L1119" i="1"/>
  <c r="O1119" i="1" s="1"/>
  <c r="C1119" i="1"/>
  <c r="L1118" i="1"/>
  <c r="O1118" i="1" s="1"/>
  <c r="C1118" i="1"/>
  <c r="L1117" i="1"/>
  <c r="O1117" i="1" s="1"/>
  <c r="C1117" i="1"/>
  <c r="O1116" i="1"/>
  <c r="L1116" i="1"/>
  <c r="C1116" i="1"/>
  <c r="O1115" i="1"/>
  <c r="L1115" i="1"/>
  <c r="C1115" i="1"/>
  <c r="O1114" i="1"/>
  <c r="L1114" i="1"/>
  <c r="C1114" i="1"/>
  <c r="L1113" i="1"/>
  <c r="O1113" i="1" s="1"/>
  <c r="C1113" i="1"/>
  <c r="L1112" i="1"/>
  <c r="O1112" i="1" s="1"/>
  <c r="C1112" i="1"/>
  <c r="O1111" i="1"/>
  <c r="L1111" i="1"/>
  <c r="C1111" i="1"/>
  <c r="O1110" i="1"/>
  <c r="L1110" i="1"/>
  <c r="C1110" i="1"/>
  <c r="L1109" i="1"/>
  <c r="O1109" i="1" s="1"/>
  <c r="C1109" i="1"/>
  <c r="O1108" i="1"/>
  <c r="L1108" i="1"/>
  <c r="C1108" i="1"/>
  <c r="L1107" i="1"/>
  <c r="O1107" i="1" s="1"/>
  <c r="C1107" i="1"/>
  <c r="O1106" i="1"/>
  <c r="L1106" i="1"/>
  <c r="C1106" i="1"/>
  <c r="O1105" i="1"/>
  <c r="L1105" i="1"/>
  <c r="C1105" i="1"/>
  <c r="O1104" i="1"/>
  <c r="L1104" i="1"/>
  <c r="C1104" i="1"/>
  <c r="L1103" i="1"/>
  <c r="O1103" i="1" s="1"/>
  <c r="C1103" i="1"/>
  <c r="L1102" i="1"/>
  <c r="O1102" i="1" s="1"/>
  <c r="C1102" i="1"/>
  <c r="L1101" i="1"/>
  <c r="O1101" i="1" s="1"/>
  <c r="C1101" i="1"/>
  <c r="O1100" i="1"/>
  <c r="L1100" i="1"/>
  <c r="C1100" i="1"/>
  <c r="O1099" i="1"/>
  <c r="L1099" i="1"/>
  <c r="C1099" i="1"/>
  <c r="O1098" i="1"/>
  <c r="L1098" i="1"/>
  <c r="C1098" i="1"/>
  <c r="L1097" i="1"/>
  <c r="O1097" i="1" s="1"/>
  <c r="C1097" i="1"/>
  <c r="L1096" i="1"/>
  <c r="O1096" i="1" s="1"/>
  <c r="C1096" i="1"/>
  <c r="L1095" i="1"/>
  <c r="O1095" i="1" s="1"/>
  <c r="C1095" i="1"/>
  <c r="L1094" i="1"/>
  <c r="O1094" i="1" s="1"/>
  <c r="C1094" i="1"/>
  <c r="L1093" i="1"/>
  <c r="O1093" i="1" s="1"/>
  <c r="C1093" i="1"/>
  <c r="O1092" i="1"/>
  <c r="L1092" i="1"/>
  <c r="C1092" i="1"/>
  <c r="L1091" i="1"/>
  <c r="O1091" i="1" s="1"/>
  <c r="C1091" i="1"/>
  <c r="L1090" i="1"/>
  <c r="O1090" i="1" s="1"/>
  <c r="C1090" i="1"/>
  <c r="O1089" i="1"/>
  <c r="L1089" i="1"/>
  <c r="C1089" i="1"/>
  <c r="O1088" i="1"/>
  <c r="L1088" i="1"/>
  <c r="C1088" i="1"/>
  <c r="L1087" i="1"/>
  <c r="O1087" i="1" s="1"/>
  <c r="C1087" i="1"/>
  <c r="L1086" i="1"/>
  <c r="O1086" i="1" s="1"/>
  <c r="C1086" i="1"/>
  <c r="L1085" i="1"/>
  <c r="O1085" i="1" s="1"/>
  <c r="C1085" i="1"/>
  <c r="L1084" i="1"/>
  <c r="O1084" i="1" s="1"/>
  <c r="C1084" i="1"/>
  <c r="L1083" i="1"/>
  <c r="O1083" i="1" s="1"/>
  <c r="C1083" i="1"/>
  <c r="O1082" i="1"/>
  <c r="L1082" i="1"/>
  <c r="C1082" i="1"/>
  <c r="L1081" i="1"/>
  <c r="O1081" i="1" s="1"/>
  <c r="C1081" i="1"/>
  <c r="L1080" i="1"/>
  <c r="O1080" i="1" s="1"/>
  <c r="C1080" i="1"/>
  <c r="L1079" i="1"/>
  <c r="O1079" i="1" s="1"/>
  <c r="C1079" i="1"/>
  <c r="L1078" i="1"/>
  <c r="O1078" i="1" s="1"/>
  <c r="C1078" i="1"/>
  <c r="O1077" i="1"/>
  <c r="L1077" i="1"/>
  <c r="C1077" i="1"/>
  <c r="O1076" i="1"/>
  <c r="L1076" i="1"/>
  <c r="C1076" i="1"/>
  <c r="O1075" i="1"/>
  <c r="L1075" i="1"/>
  <c r="C1075" i="1"/>
  <c r="L1074" i="1"/>
  <c r="O1074" i="1" s="1"/>
  <c r="C1074" i="1"/>
  <c r="L1073" i="1"/>
  <c r="O1073" i="1" s="1"/>
  <c r="C1073" i="1"/>
  <c r="L1072" i="1"/>
  <c r="O1072" i="1" s="1"/>
  <c r="C1072" i="1"/>
  <c r="L1071" i="1"/>
  <c r="O1071" i="1" s="1"/>
  <c r="C1071" i="1"/>
  <c r="L1070" i="1"/>
  <c r="O1070" i="1" s="1"/>
  <c r="C1070" i="1"/>
  <c r="O1069" i="1"/>
  <c r="L1069" i="1"/>
  <c r="C1069" i="1"/>
  <c r="L1068" i="1"/>
  <c r="O1068" i="1" s="1"/>
  <c r="C1068" i="1"/>
  <c r="O1067" i="1"/>
  <c r="L1067" i="1"/>
  <c r="C1067" i="1"/>
  <c r="O1066" i="1"/>
  <c r="L1066" i="1"/>
  <c r="C1066" i="1"/>
  <c r="L1065" i="1"/>
  <c r="O1065" i="1" s="1"/>
  <c r="C1065" i="1"/>
  <c r="L1064" i="1"/>
  <c r="O1064" i="1" s="1"/>
  <c r="C1064" i="1"/>
  <c r="O1063" i="1"/>
  <c r="L1063" i="1"/>
  <c r="C1063" i="1"/>
  <c r="L1062" i="1"/>
  <c r="O1062" i="1" s="1"/>
  <c r="C1062" i="1"/>
  <c r="L1061" i="1"/>
  <c r="O1061" i="1" s="1"/>
  <c r="C1061" i="1"/>
  <c r="L1060" i="1"/>
  <c r="O1060" i="1" s="1"/>
  <c r="C1060" i="1"/>
  <c r="L1059" i="1"/>
  <c r="O1059" i="1" s="1"/>
  <c r="C1059" i="1"/>
  <c r="L1058" i="1"/>
  <c r="O1058" i="1" s="1"/>
  <c r="C1058" i="1"/>
  <c r="O1057" i="1"/>
  <c r="L1057" i="1"/>
  <c r="C1057" i="1"/>
  <c r="O1056" i="1"/>
  <c r="L1056" i="1"/>
  <c r="C1056" i="1"/>
  <c r="O1055" i="1"/>
  <c r="L1055" i="1"/>
  <c r="C1055" i="1"/>
  <c r="L1054" i="1"/>
  <c r="O1054" i="1" s="1"/>
  <c r="C1054" i="1"/>
  <c r="O1053" i="1"/>
  <c r="L1053" i="1"/>
  <c r="C1053" i="1"/>
  <c r="L1052" i="1"/>
  <c r="O1052" i="1" s="1"/>
  <c r="C1052" i="1"/>
  <c r="L1051" i="1"/>
  <c r="O1051" i="1" s="1"/>
  <c r="C1051" i="1"/>
  <c r="O1050" i="1"/>
  <c r="L1050" i="1"/>
  <c r="C1050" i="1"/>
  <c r="O1049" i="1"/>
  <c r="L1049" i="1"/>
  <c r="C1049" i="1"/>
  <c r="L1048" i="1"/>
  <c r="O1048" i="1" s="1"/>
  <c r="C1048" i="1"/>
  <c r="L1047" i="1"/>
  <c r="O1047" i="1" s="1"/>
  <c r="C1047" i="1"/>
  <c r="O1046" i="1"/>
  <c r="L1046" i="1"/>
  <c r="C1046" i="1"/>
  <c r="L1045" i="1"/>
  <c r="O1045" i="1" s="1"/>
  <c r="C1045" i="1"/>
  <c r="L1044" i="1"/>
  <c r="O1044" i="1" s="1"/>
  <c r="C1044" i="1"/>
  <c r="L1043" i="1"/>
  <c r="O1043" i="1" s="1"/>
  <c r="C1043" i="1"/>
  <c r="L1042" i="1"/>
  <c r="O1042" i="1" s="1"/>
  <c r="C1042" i="1"/>
  <c r="L1041" i="1"/>
  <c r="O1041" i="1" s="1"/>
  <c r="C1041" i="1"/>
  <c r="O1040" i="1"/>
  <c r="L1040" i="1"/>
  <c r="C1040" i="1"/>
  <c r="O1039" i="1"/>
  <c r="L1039" i="1"/>
  <c r="C1039" i="1"/>
  <c r="L1038" i="1"/>
  <c r="O1038" i="1" s="1"/>
  <c r="C1038" i="1"/>
  <c r="L1037" i="1"/>
  <c r="O1037" i="1" s="1"/>
  <c r="C1037" i="1"/>
  <c r="L1036" i="1"/>
  <c r="O1036" i="1" s="1"/>
  <c r="C1036" i="1"/>
  <c r="L1035" i="1"/>
  <c r="O1035" i="1" s="1"/>
  <c r="C1035" i="1"/>
  <c r="O1034" i="1"/>
  <c r="L1034" i="1"/>
  <c r="C1034" i="1"/>
  <c r="O1033" i="1"/>
  <c r="L1033" i="1"/>
  <c r="C1033" i="1"/>
  <c r="L1032" i="1"/>
  <c r="O1032" i="1" s="1"/>
  <c r="C1032" i="1"/>
  <c r="O1031" i="1"/>
  <c r="L1031" i="1"/>
  <c r="C1031" i="1"/>
  <c r="L1030" i="1"/>
  <c r="O1030" i="1" s="1"/>
  <c r="C1030" i="1"/>
  <c r="L1029" i="1"/>
  <c r="O1029" i="1" s="1"/>
  <c r="C1029" i="1"/>
  <c r="L1028" i="1"/>
  <c r="O1028" i="1" s="1"/>
  <c r="C1028" i="1"/>
  <c r="L1027" i="1"/>
  <c r="O1027" i="1" s="1"/>
  <c r="C1027" i="1"/>
  <c r="L1026" i="1"/>
  <c r="O1026" i="1" s="1"/>
  <c r="C1026" i="1"/>
  <c r="L1025" i="1"/>
  <c r="O1025" i="1" s="1"/>
  <c r="C1025" i="1"/>
  <c r="O1024" i="1"/>
  <c r="L1024" i="1"/>
  <c r="C1024" i="1"/>
  <c r="O1023" i="1"/>
  <c r="L1023" i="1"/>
  <c r="C1023" i="1"/>
  <c r="L1022" i="1"/>
  <c r="O1022" i="1" s="1"/>
  <c r="C1022" i="1"/>
  <c r="L1021" i="1"/>
  <c r="O1021" i="1" s="1"/>
  <c r="C1021" i="1"/>
  <c r="L1020" i="1"/>
  <c r="O1020" i="1" s="1"/>
  <c r="C1020" i="1"/>
  <c r="O1019" i="1"/>
  <c r="L1019" i="1"/>
  <c r="C1019" i="1"/>
  <c r="O1018" i="1"/>
  <c r="L1018" i="1"/>
  <c r="C1018" i="1"/>
  <c r="O1017" i="1"/>
  <c r="L1017" i="1"/>
  <c r="C1017" i="1"/>
  <c r="L1016" i="1"/>
  <c r="O1016" i="1" s="1"/>
  <c r="C1016" i="1"/>
  <c r="L1015" i="1"/>
  <c r="O1015" i="1" s="1"/>
  <c r="C1015" i="1"/>
  <c r="L1014" i="1"/>
  <c r="O1014" i="1" s="1"/>
  <c r="C1014" i="1"/>
  <c r="L1013" i="1"/>
  <c r="O1013" i="1" s="1"/>
  <c r="C1013" i="1"/>
  <c r="L1012" i="1"/>
  <c r="O1012" i="1" s="1"/>
  <c r="C1012" i="1"/>
  <c r="L1011" i="1"/>
  <c r="O1011" i="1" s="1"/>
  <c r="C1011" i="1"/>
  <c r="L1010" i="1"/>
  <c r="O1010" i="1" s="1"/>
  <c r="C1010" i="1"/>
  <c r="L1009" i="1"/>
  <c r="O1009" i="1" s="1"/>
  <c r="C1009" i="1"/>
  <c r="O1008" i="1"/>
  <c r="L1008" i="1"/>
  <c r="C1008" i="1"/>
  <c r="O1007" i="1"/>
  <c r="L1007" i="1"/>
  <c r="C1007" i="1"/>
  <c r="L1006" i="1"/>
  <c r="O1006" i="1" s="1"/>
  <c r="C1006" i="1"/>
  <c r="L1005" i="1"/>
  <c r="O1005" i="1" s="1"/>
  <c r="C1005" i="1"/>
  <c r="L1004" i="1"/>
  <c r="O1004" i="1" s="1"/>
  <c r="C1004" i="1"/>
  <c r="L1003" i="1"/>
  <c r="O1003" i="1" s="1"/>
  <c r="C1003" i="1"/>
  <c r="O1002" i="1"/>
  <c r="L1002" i="1"/>
  <c r="C1002" i="1"/>
  <c r="O1001" i="1"/>
  <c r="L1001" i="1"/>
  <c r="C1001" i="1"/>
  <c r="L1000" i="1"/>
  <c r="O1000" i="1" s="1"/>
  <c r="C1000" i="1"/>
  <c r="L999" i="1"/>
  <c r="O999" i="1" s="1"/>
  <c r="C999" i="1"/>
  <c r="L998" i="1"/>
  <c r="O998" i="1" s="1"/>
  <c r="C998" i="1"/>
  <c r="L997" i="1"/>
  <c r="O997" i="1" s="1"/>
  <c r="C997" i="1"/>
  <c r="L996" i="1"/>
  <c r="O996" i="1" s="1"/>
  <c r="C996" i="1"/>
  <c r="L995" i="1"/>
  <c r="O995" i="1" s="1"/>
  <c r="C995" i="1"/>
  <c r="L994" i="1"/>
  <c r="O994" i="1" s="1"/>
  <c r="C994" i="1"/>
  <c r="O993" i="1"/>
  <c r="L993" i="1"/>
  <c r="C993" i="1"/>
  <c r="O992" i="1"/>
  <c r="L992" i="1"/>
  <c r="C992" i="1"/>
  <c r="O991" i="1"/>
  <c r="L991" i="1"/>
  <c r="C991" i="1"/>
  <c r="L990" i="1"/>
  <c r="O990" i="1" s="1"/>
  <c r="C990" i="1"/>
  <c r="O989" i="1"/>
  <c r="L989" i="1"/>
  <c r="C989" i="1"/>
  <c r="L988" i="1"/>
  <c r="O988" i="1" s="1"/>
  <c r="C988" i="1"/>
  <c r="L987" i="1"/>
  <c r="O987" i="1" s="1"/>
  <c r="C987" i="1"/>
  <c r="O986" i="1"/>
  <c r="L986" i="1"/>
  <c r="C986" i="1"/>
  <c r="O985" i="1"/>
  <c r="L985" i="1"/>
  <c r="C985" i="1"/>
  <c r="L984" i="1"/>
  <c r="O984" i="1" s="1"/>
  <c r="C984" i="1"/>
  <c r="L983" i="1"/>
  <c r="O983" i="1" s="1"/>
  <c r="C983" i="1"/>
  <c r="O982" i="1"/>
  <c r="L982" i="1"/>
  <c r="C982" i="1"/>
  <c r="L981" i="1"/>
  <c r="O981" i="1" s="1"/>
  <c r="C981" i="1"/>
  <c r="L980" i="1"/>
  <c r="O980" i="1" s="1"/>
  <c r="C980" i="1"/>
  <c r="L979" i="1"/>
  <c r="O979" i="1" s="1"/>
  <c r="C979" i="1"/>
  <c r="O978" i="1"/>
  <c r="L978" i="1"/>
  <c r="C978" i="1"/>
  <c r="L977" i="1"/>
  <c r="O977" i="1" s="1"/>
  <c r="C977" i="1"/>
  <c r="O976" i="1"/>
  <c r="L976" i="1"/>
  <c r="C976" i="1"/>
  <c r="O975" i="1"/>
  <c r="L975" i="1"/>
  <c r="C975" i="1"/>
  <c r="L974" i="1"/>
  <c r="O974" i="1" s="1"/>
  <c r="C974" i="1"/>
  <c r="L973" i="1"/>
  <c r="O973" i="1" s="1"/>
  <c r="C973" i="1"/>
  <c r="O972" i="1"/>
  <c r="L972" i="1"/>
  <c r="C972" i="1"/>
  <c r="L971" i="1"/>
  <c r="O971" i="1" s="1"/>
  <c r="C971" i="1"/>
  <c r="O970" i="1"/>
  <c r="L970" i="1"/>
  <c r="C970" i="1"/>
  <c r="O969" i="1"/>
  <c r="L969" i="1"/>
  <c r="C969" i="1"/>
  <c r="L968" i="1"/>
  <c r="O968" i="1" s="1"/>
  <c r="C968" i="1"/>
  <c r="L967" i="1"/>
  <c r="O967" i="1" s="1"/>
  <c r="C967" i="1"/>
  <c r="L966" i="1"/>
  <c r="O966" i="1" s="1"/>
  <c r="C966" i="1"/>
  <c r="L965" i="1"/>
  <c r="O965" i="1" s="1"/>
  <c r="C965" i="1"/>
  <c r="L964" i="1"/>
  <c r="O964" i="1" s="1"/>
  <c r="C964" i="1"/>
  <c r="L963" i="1"/>
  <c r="O963" i="1" s="1"/>
  <c r="C963" i="1"/>
  <c r="L962" i="1"/>
  <c r="O962" i="1" s="1"/>
  <c r="C962" i="1"/>
  <c r="L961" i="1"/>
  <c r="O961" i="1" s="1"/>
  <c r="C961" i="1"/>
  <c r="O960" i="1"/>
  <c r="L960" i="1"/>
  <c r="C960" i="1"/>
  <c r="O959" i="1"/>
  <c r="L959" i="1"/>
  <c r="C959" i="1"/>
  <c r="L958" i="1"/>
  <c r="O958" i="1" s="1"/>
  <c r="C958" i="1"/>
  <c r="L957" i="1"/>
  <c r="O957" i="1" s="1"/>
  <c r="C957" i="1"/>
  <c r="L956" i="1"/>
  <c r="O956" i="1" s="1"/>
  <c r="C956" i="1"/>
  <c r="L955" i="1"/>
  <c r="O955" i="1" s="1"/>
  <c r="C955" i="1"/>
  <c r="O954" i="1"/>
  <c r="L954" i="1"/>
  <c r="C954" i="1"/>
  <c r="O953" i="1"/>
  <c r="L953" i="1"/>
  <c r="C953" i="1"/>
  <c r="L952" i="1"/>
  <c r="O952" i="1" s="1"/>
  <c r="C952" i="1"/>
  <c r="L951" i="1"/>
  <c r="O951" i="1" s="1"/>
  <c r="C951" i="1"/>
  <c r="L950" i="1"/>
  <c r="O950" i="1" s="1"/>
  <c r="C950" i="1"/>
  <c r="L949" i="1"/>
  <c r="O949" i="1" s="1"/>
  <c r="C949" i="1"/>
  <c r="L948" i="1"/>
  <c r="O948" i="1" s="1"/>
  <c r="C948" i="1"/>
  <c r="L947" i="1"/>
  <c r="O947" i="1" s="1"/>
  <c r="C947" i="1"/>
  <c r="L946" i="1"/>
  <c r="O946" i="1" s="1"/>
  <c r="C946" i="1"/>
  <c r="L945" i="1"/>
  <c r="O945" i="1" s="1"/>
  <c r="C945" i="1"/>
  <c r="O944" i="1"/>
  <c r="L944" i="1"/>
  <c r="C944" i="1"/>
  <c r="O943" i="1"/>
  <c r="L943" i="1"/>
  <c r="C943" i="1"/>
  <c r="L942" i="1"/>
  <c r="O942" i="1" s="1"/>
  <c r="C942" i="1"/>
  <c r="L941" i="1"/>
  <c r="O941" i="1" s="1"/>
  <c r="C941" i="1"/>
  <c r="L940" i="1"/>
  <c r="O940" i="1" s="1"/>
  <c r="C940" i="1"/>
  <c r="L939" i="1"/>
  <c r="O939" i="1" s="1"/>
  <c r="C939" i="1"/>
  <c r="O938" i="1"/>
  <c r="L938" i="1"/>
  <c r="C938" i="1"/>
  <c r="O937" i="1"/>
  <c r="L937" i="1"/>
  <c r="C937" i="1"/>
  <c r="L936" i="1"/>
  <c r="O936" i="1" s="1"/>
  <c r="C936" i="1"/>
  <c r="L935" i="1"/>
  <c r="O935" i="1" s="1"/>
  <c r="C935" i="1"/>
  <c r="L934" i="1"/>
  <c r="O934" i="1" s="1"/>
  <c r="C934" i="1"/>
  <c r="L933" i="1"/>
  <c r="O933" i="1" s="1"/>
  <c r="C933" i="1"/>
  <c r="L932" i="1"/>
  <c r="O932" i="1" s="1"/>
  <c r="C932" i="1"/>
  <c r="L931" i="1"/>
  <c r="O931" i="1" s="1"/>
  <c r="C931" i="1"/>
  <c r="L930" i="1"/>
  <c r="O930" i="1" s="1"/>
  <c r="C930" i="1"/>
  <c r="O929" i="1"/>
  <c r="L929" i="1"/>
  <c r="C929" i="1"/>
  <c r="O928" i="1"/>
  <c r="L928" i="1"/>
  <c r="C928" i="1"/>
  <c r="O927" i="1"/>
  <c r="L927" i="1"/>
  <c r="C927" i="1"/>
  <c r="L926" i="1"/>
  <c r="O926" i="1" s="1"/>
  <c r="C926" i="1"/>
  <c r="O925" i="1"/>
  <c r="L925" i="1"/>
  <c r="C925" i="1"/>
  <c r="L924" i="1"/>
  <c r="O924" i="1" s="1"/>
  <c r="C924" i="1"/>
  <c r="L923" i="1"/>
  <c r="O923" i="1" s="1"/>
  <c r="C923" i="1"/>
  <c r="O922" i="1"/>
  <c r="L922" i="1"/>
  <c r="C922" i="1"/>
  <c r="O921" i="1"/>
  <c r="L921" i="1"/>
  <c r="C921" i="1"/>
  <c r="L920" i="1"/>
  <c r="O920" i="1" s="1"/>
  <c r="C920" i="1"/>
  <c r="L919" i="1"/>
  <c r="O919" i="1" s="1"/>
  <c r="C919" i="1"/>
  <c r="O918" i="1"/>
  <c r="L918" i="1"/>
  <c r="C918" i="1"/>
  <c r="L917" i="1"/>
  <c r="O917" i="1" s="1"/>
  <c r="C917" i="1"/>
  <c r="L916" i="1"/>
  <c r="O916" i="1" s="1"/>
  <c r="C916" i="1"/>
  <c r="L915" i="1"/>
  <c r="O915" i="1" s="1"/>
  <c r="C915" i="1"/>
  <c r="L914" i="1"/>
  <c r="O914" i="1" s="1"/>
  <c r="C914" i="1"/>
  <c r="L913" i="1"/>
  <c r="O913" i="1" s="1"/>
  <c r="C913" i="1"/>
  <c r="O912" i="1"/>
  <c r="L912" i="1"/>
  <c r="C912" i="1"/>
  <c r="O911" i="1"/>
  <c r="L911" i="1"/>
  <c r="C911" i="1"/>
  <c r="L910" i="1"/>
  <c r="O910" i="1" s="1"/>
  <c r="C910" i="1"/>
  <c r="L909" i="1"/>
  <c r="O909" i="1" s="1"/>
  <c r="C909" i="1"/>
  <c r="L908" i="1"/>
  <c r="O908" i="1" s="1"/>
  <c r="C908" i="1"/>
  <c r="L907" i="1"/>
  <c r="O907" i="1" s="1"/>
  <c r="C907" i="1"/>
  <c r="O906" i="1"/>
  <c r="L906" i="1"/>
  <c r="C906" i="1"/>
  <c r="O905" i="1"/>
  <c r="L905" i="1"/>
  <c r="C905" i="1"/>
  <c r="L904" i="1"/>
  <c r="O904" i="1" s="1"/>
  <c r="C904" i="1"/>
  <c r="O903" i="1"/>
  <c r="L903" i="1"/>
  <c r="C903" i="1"/>
  <c r="L902" i="1"/>
  <c r="O902" i="1" s="1"/>
  <c r="C902" i="1"/>
  <c r="L901" i="1"/>
  <c r="O901" i="1" s="1"/>
  <c r="C901" i="1"/>
  <c r="L900" i="1"/>
  <c r="O900" i="1" s="1"/>
  <c r="C900" i="1"/>
  <c r="L899" i="1"/>
  <c r="O899" i="1" s="1"/>
  <c r="C899" i="1"/>
  <c r="L898" i="1"/>
  <c r="O898" i="1" s="1"/>
  <c r="C898" i="1"/>
  <c r="L897" i="1"/>
  <c r="O897" i="1" s="1"/>
  <c r="C897" i="1"/>
  <c r="O896" i="1"/>
  <c r="L896" i="1"/>
  <c r="C896" i="1"/>
  <c r="O895" i="1"/>
  <c r="L895" i="1"/>
  <c r="C895" i="1"/>
  <c r="L894" i="1"/>
  <c r="O894" i="1" s="1"/>
  <c r="C894" i="1"/>
  <c r="L893" i="1"/>
  <c r="O893" i="1" s="1"/>
  <c r="C893" i="1"/>
  <c r="L892" i="1"/>
  <c r="O892" i="1" s="1"/>
  <c r="C892" i="1"/>
  <c r="O891" i="1"/>
  <c r="L891" i="1"/>
  <c r="C891" i="1"/>
  <c r="O890" i="1"/>
  <c r="L890" i="1"/>
  <c r="C890" i="1"/>
  <c r="O889" i="1"/>
  <c r="L889" i="1"/>
  <c r="C889" i="1"/>
  <c r="L888" i="1"/>
  <c r="O888" i="1" s="1"/>
  <c r="C888" i="1"/>
  <c r="L887" i="1"/>
  <c r="O887" i="1" s="1"/>
  <c r="C887" i="1"/>
  <c r="L886" i="1"/>
  <c r="O886" i="1" s="1"/>
  <c r="C886" i="1"/>
  <c r="L885" i="1"/>
  <c r="O885" i="1" s="1"/>
  <c r="C885" i="1"/>
  <c r="L884" i="1"/>
  <c r="O884" i="1" s="1"/>
  <c r="C884" i="1"/>
  <c r="L883" i="1"/>
  <c r="O883" i="1" s="1"/>
  <c r="C883" i="1"/>
  <c r="L882" i="1"/>
  <c r="O882" i="1" s="1"/>
  <c r="C882" i="1"/>
  <c r="L881" i="1"/>
  <c r="O881" i="1" s="1"/>
  <c r="C881" i="1"/>
  <c r="O880" i="1"/>
  <c r="L880" i="1"/>
  <c r="C880" i="1"/>
  <c r="O879" i="1"/>
  <c r="L879" i="1"/>
  <c r="C879" i="1"/>
  <c r="L878" i="1"/>
  <c r="O878" i="1" s="1"/>
  <c r="C878" i="1"/>
  <c r="L877" i="1"/>
  <c r="O877" i="1" s="1"/>
  <c r="C877" i="1"/>
  <c r="L876" i="1"/>
  <c r="O876" i="1" s="1"/>
  <c r="C876" i="1"/>
  <c r="L875" i="1"/>
  <c r="O875" i="1" s="1"/>
  <c r="C875" i="1"/>
  <c r="O874" i="1"/>
  <c r="L874" i="1"/>
  <c r="C874" i="1"/>
  <c r="O873" i="1"/>
  <c r="L873" i="1"/>
  <c r="C873" i="1"/>
  <c r="L872" i="1"/>
  <c r="O872" i="1" s="1"/>
  <c r="C872" i="1"/>
  <c r="L871" i="1"/>
  <c r="O871" i="1" s="1"/>
  <c r="C871" i="1"/>
  <c r="L870" i="1"/>
  <c r="O870" i="1" s="1"/>
  <c r="C870" i="1"/>
  <c r="L869" i="1"/>
  <c r="O869" i="1" s="1"/>
  <c r="C869" i="1"/>
  <c r="L868" i="1"/>
  <c r="O868" i="1" s="1"/>
  <c r="C868" i="1"/>
  <c r="L867" i="1"/>
  <c r="O867" i="1" s="1"/>
  <c r="C867" i="1"/>
  <c r="L866" i="1"/>
  <c r="O866" i="1" s="1"/>
  <c r="C866" i="1"/>
  <c r="O865" i="1"/>
  <c r="L865" i="1"/>
  <c r="C865" i="1"/>
  <c r="O864" i="1"/>
  <c r="L864" i="1"/>
  <c r="C864" i="1"/>
  <c r="O863" i="1"/>
  <c r="L863" i="1"/>
  <c r="C863" i="1"/>
  <c r="L862" i="1"/>
  <c r="O862" i="1" s="1"/>
  <c r="C862" i="1"/>
  <c r="O861" i="1"/>
  <c r="L861" i="1"/>
  <c r="C861" i="1"/>
  <c r="L860" i="1"/>
  <c r="O860" i="1" s="1"/>
  <c r="C860" i="1"/>
  <c r="L859" i="1"/>
  <c r="O859" i="1" s="1"/>
  <c r="C859" i="1"/>
  <c r="O858" i="1"/>
  <c r="L858" i="1"/>
  <c r="C858" i="1"/>
  <c r="O857" i="1"/>
  <c r="L857" i="1"/>
  <c r="C857" i="1"/>
  <c r="L856" i="1"/>
  <c r="O856" i="1" s="1"/>
  <c r="C856" i="1"/>
  <c r="L855" i="1"/>
  <c r="O855" i="1" s="1"/>
  <c r="C855" i="1"/>
  <c r="O854" i="1"/>
  <c r="L854" i="1"/>
  <c r="C854" i="1"/>
  <c r="L853" i="1"/>
  <c r="O853" i="1" s="1"/>
  <c r="C853" i="1"/>
  <c r="L852" i="1"/>
  <c r="O852" i="1" s="1"/>
  <c r="C852" i="1"/>
  <c r="L851" i="1"/>
  <c r="O851" i="1" s="1"/>
  <c r="C851" i="1"/>
  <c r="O850" i="1"/>
  <c r="L850" i="1"/>
  <c r="C850" i="1"/>
  <c r="L849" i="1"/>
  <c r="O849" i="1" s="1"/>
  <c r="C849" i="1"/>
  <c r="O848" i="1"/>
  <c r="L848" i="1"/>
  <c r="C848" i="1"/>
  <c r="O847" i="1"/>
  <c r="L847" i="1"/>
  <c r="C847" i="1"/>
  <c r="L846" i="1"/>
  <c r="O846" i="1" s="1"/>
  <c r="C846" i="1"/>
  <c r="L845" i="1"/>
  <c r="O845" i="1" s="1"/>
  <c r="C845" i="1"/>
  <c r="O844" i="1"/>
  <c r="L844" i="1"/>
  <c r="C844" i="1"/>
  <c r="L843" i="1"/>
  <c r="O843" i="1" s="1"/>
  <c r="C843" i="1"/>
  <c r="O842" i="1"/>
  <c r="L842" i="1"/>
  <c r="C842" i="1"/>
  <c r="O841" i="1"/>
  <c r="L841" i="1"/>
  <c r="C841" i="1"/>
  <c r="L840" i="1"/>
  <c r="O840" i="1" s="1"/>
  <c r="C840" i="1"/>
  <c r="L839" i="1"/>
  <c r="O839" i="1" s="1"/>
  <c r="C839" i="1"/>
  <c r="L838" i="1"/>
  <c r="O838" i="1" s="1"/>
  <c r="C838" i="1"/>
  <c r="L837" i="1"/>
  <c r="O837" i="1" s="1"/>
  <c r="C837" i="1"/>
  <c r="L836" i="1"/>
  <c r="O836" i="1" s="1"/>
  <c r="C836" i="1"/>
  <c r="L835" i="1"/>
  <c r="O835" i="1" s="1"/>
  <c r="C835" i="1"/>
  <c r="L834" i="1"/>
  <c r="O834" i="1" s="1"/>
  <c r="C834" i="1"/>
  <c r="L833" i="1"/>
  <c r="O833" i="1" s="1"/>
  <c r="C833" i="1"/>
  <c r="O832" i="1"/>
  <c r="L832" i="1"/>
  <c r="C832" i="1"/>
  <c r="O831" i="1"/>
  <c r="L831" i="1"/>
  <c r="C831" i="1"/>
  <c r="L830" i="1"/>
  <c r="O830" i="1" s="1"/>
  <c r="C830" i="1"/>
  <c r="L829" i="1"/>
  <c r="O829" i="1" s="1"/>
  <c r="C829" i="1"/>
  <c r="L828" i="1"/>
  <c r="O828" i="1" s="1"/>
  <c r="C828" i="1"/>
  <c r="L827" i="1"/>
  <c r="O827" i="1" s="1"/>
  <c r="C827" i="1"/>
  <c r="O826" i="1"/>
  <c r="L826" i="1"/>
  <c r="C826" i="1"/>
  <c r="O825" i="1"/>
  <c r="L825" i="1"/>
  <c r="C825" i="1"/>
  <c r="L824" i="1"/>
  <c r="O824" i="1" s="1"/>
  <c r="C824" i="1"/>
  <c r="L823" i="1"/>
  <c r="O823" i="1" s="1"/>
  <c r="C823" i="1"/>
  <c r="L822" i="1"/>
  <c r="O822" i="1" s="1"/>
  <c r="C822" i="1"/>
  <c r="L821" i="1"/>
  <c r="O821" i="1" s="1"/>
  <c r="C821" i="1"/>
  <c r="L820" i="1"/>
  <c r="O820" i="1" s="1"/>
  <c r="C820" i="1"/>
  <c r="L819" i="1"/>
  <c r="O819" i="1" s="1"/>
  <c r="C819" i="1"/>
  <c r="L818" i="1"/>
  <c r="O818" i="1" s="1"/>
  <c r="C818" i="1"/>
  <c r="L817" i="1"/>
  <c r="O817" i="1" s="1"/>
  <c r="C817" i="1"/>
  <c r="O816" i="1"/>
  <c r="L816" i="1"/>
  <c r="C816" i="1"/>
  <c r="O815" i="1"/>
  <c r="L815" i="1"/>
  <c r="C815" i="1"/>
  <c r="L814" i="1"/>
  <c r="O814" i="1" s="1"/>
  <c r="C814" i="1"/>
  <c r="L813" i="1"/>
  <c r="O813" i="1" s="1"/>
  <c r="C813" i="1"/>
  <c r="L812" i="1"/>
  <c r="O812" i="1" s="1"/>
  <c r="C812" i="1"/>
  <c r="L811" i="1"/>
  <c r="O811" i="1" s="1"/>
  <c r="C811" i="1"/>
  <c r="O810" i="1"/>
  <c r="L810" i="1"/>
  <c r="C810" i="1"/>
  <c r="O809" i="1"/>
  <c r="L809" i="1"/>
  <c r="C809" i="1"/>
  <c r="L808" i="1"/>
  <c r="O808" i="1" s="1"/>
  <c r="C808" i="1"/>
  <c r="L807" i="1"/>
  <c r="O807" i="1" s="1"/>
  <c r="C807" i="1"/>
  <c r="L806" i="1"/>
  <c r="O806" i="1" s="1"/>
  <c r="C806" i="1"/>
  <c r="L805" i="1"/>
  <c r="O805" i="1" s="1"/>
  <c r="C805" i="1"/>
  <c r="L804" i="1"/>
  <c r="O804" i="1" s="1"/>
  <c r="C804" i="1"/>
  <c r="L803" i="1"/>
  <c r="O803" i="1" s="1"/>
  <c r="C803" i="1"/>
  <c r="L802" i="1"/>
  <c r="O802" i="1" s="1"/>
  <c r="C802" i="1"/>
  <c r="O801" i="1"/>
  <c r="L801" i="1"/>
  <c r="C801" i="1"/>
  <c r="O800" i="1"/>
  <c r="L800" i="1"/>
  <c r="C800" i="1"/>
  <c r="O799" i="1"/>
  <c r="L799" i="1"/>
  <c r="C799" i="1"/>
  <c r="L798" i="1"/>
  <c r="O798" i="1" s="1"/>
  <c r="C798" i="1"/>
  <c r="O797" i="1"/>
  <c r="L797" i="1"/>
  <c r="C797" i="1"/>
  <c r="L796" i="1"/>
  <c r="O796" i="1" s="1"/>
  <c r="C796" i="1"/>
  <c r="L795" i="1"/>
  <c r="O795" i="1" s="1"/>
  <c r="C795" i="1"/>
  <c r="O794" i="1"/>
  <c r="L794" i="1"/>
  <c r="C794" i="1"/>
  <c r="O793" i="1"/>
  <c r="L793" i="1"/>
  <c r="C793" i="1"/>
  <c r="L792" i="1"/>
  <c r="O792" i="1" s="1"/>
  <c r="C792" i="1"/>
  <c r="L791" i="1"/>
  <c r="O791" i="1" s="1"/>
  <c r="C791" i="1"/>
  <c r="O790" i="1"/>
  <c r="L790" i="1"/>
  <c r="C790" i="1"/>
  <c r="L789" i="1"/>
  <c r="O789" i="1" s="1"/>
  <c r="C789" i="1"/>
  <c r="L788" i="1"/>
  <c r="O788" i="1" s="1"/>
  <c r="C788" i="1"/>
  <c r="L787" i="1"/>
  <c r="O787" i="1" s="1"/>
  <c r="C787" i="1"/>
  <c r="L786" i="1"/>
  <c r="O786" i="1" s="1"/>
  <c r="C786" i="1"/>
  <c r="L785" i="1"/>
  <c r="O785" i="1" s="1"/>
  <c r="C785" i="1"/>
  <c r="O784" i="1"/>
  <c r="L784" i="1"/>
  <c r="C784" i="1"/>
  <c r="O783" i="1"/>
  <c r="L783" i="1"/>
  <c r="C783" i="1"/>
  <c r="L782" i="1"/>
  <c r="O782" i="1" s="1"/>
  <c r="C782" i="1"/>
  <c r="L781" i="1"/>
  <c r="O781" i="1" s="1"/>
  <c r="C781" i="1"/>
  <c r="L780" i="1"/>
  <c r="O780" i="1" s="1"/>
  <c r="C780" i="1"/>
  <c r="L779" i="1"/>
  <c r="O779" i="1" s="1"/>
  <c r="C779" i="1"/>
  <c r="O778" i="1"/>
  <c r="L778" i="1"/>
  <c r="C778" i="1"/>
  <c r="O777" i="1"/>
  <c r="L777" i="1"/>
  <c r="C777" i="1"/>
  <c r="L776" i="1"/>
  <c r="O776" i="1" s="1"/>
  <c r="C776" i="1"/>
  <c r="O775" i="1"/>
  <c r="L775" i="1"/>
  <c r="C775" i="1"/>
  <c r="L774" i="1"/>
  <c r="O774" i="1" s="1"/>
  <c r="C774" i="1"/>
  <c r="L773" i="1"/>
  <c r="O773" i="1" s="1"/>
  <c r="C773" i="1"/>
  <c r="L772" i="1"/>
  <c r="O772" i="1" s="1"/>
  <c r="C772" i="1"/>
  <c r="L771" i="1"/>
  <c r="O771" i="1" s="1"/>
  <c r="C771" i="1"/>
  <c r="L770" i="1"/>
  <c r="O770" i="1" s="1"/>
  <c r="C770" i="1"/>
  <c r="L769" i="1"/>
  <c r="O769" i="1" s="1"/>
  <c r="C769" i="1"/>
  <c r="O768" i="1"/>
  <c r="L768" i="1"/>
  <c r="C768" i="1"/>
  <c r="O767" i="1"/>
  <c r="L767" i="1"/>
  <c r="C767" i="1"/>
  <c r="L766" i="1"/>
  <c r="O766" i="1" s="1"/>
  <c r="C766" i="1"/>
  <c r="L765" i="1"/>
  <c r="O765" i="1" s="1"/>
  <c r="C765" i="1"/>
  <c r="L764" i="1"/>
  <c r="O764" i="1" s="1"/>
  <c r="C764" i="1"/>
  <c r="O763" i="1"/>
  <c r="L763" i="1"/>
  <c r="C763" i="1"/>
  <c r="O762" i="1"/>
  <c r="L762" i="1"/>
  <c r="C762" i="1"/>
  <c r="O761" i="1"/>
  <c r="L761" i="1"/>
  <c r="C761" i="1"/>
  <c r="L760" i="1"/>
  <c r="O760" i="1" s="1"/>
  <c r="C760" i="1"/>
  <c r="L759" i="1"/>
  <c r="O759" i="1" s="1"/>
  <c r="C759" i="1"/>
  <c r="L758" i="1"/>
  <c r="O758" i="1" s="1"/>
  <c r="C758" i="1"/>
  <c r="L757" i="1"/>
  <c r="O757" i="1" s="1"/>
  <c r="C757" i="1"/>
  <c r="L756" i="1"/>
  <c r="O756" i="1" s="1"/>
  <c r="C756" i="1"/>
  <c r="L755" i="1"/>
  <c r="O755" i="1" s="1"/>
  <c r="C755" i="1"/>
  <c r="L754" i="1"/>
  <c r="O754" i="1" s="1"/>
  <c r="C754" i="1"/>
  <c r="L753" i="1"/>
  <c r="O753" i="1" s="1"/>
  <c r="C753" i="1"/>
  <c r="O752" i="1"/>
  <c r="L752" i="1"/>
  <c r="C752" i="1"/>
  <c r="O751" i="1"/>
  <c r="L751" i="1"/>
  <c r="C751" i="1"/>
  <c r="L750" i="1"/>
  <c r="O750" i="1" s="1"/>
  <c r="C750" i="1"/>
  <c r="L749" i="1"/>
  <c r="O749" i="1" s="1"/>
  <c r="C749" i="1"/>
  <c r="L748" i="1"/>
  <c r="O748" i="1" s="1"/>
  <c r="C748" i="1"/>
  <c r="L747" i="1"/>
  <c r="O747" i="1" s="1"/>
  <c r="C747" i="1"/>
  <c r="O746" i="1"/>
  <c r="L746" i="1"/>
  <c r="C746" i="1"/>
  <c r="O745" i="1"/>
  <c r="L745" i="1"/>
  <c r="C745" i="1"/>
  <c r="L744" i="1"/>
  <c r="O744" i="1" s="1"/>
  <c r="C744" i="1"/>
  <c r="L743" i="1"/>
  <c r="O743" i="1" s="1"/>
  <c r="C743" i="1"/>
  <c r="L742" i="1"/>
  <c r="O742" i="1" s="1"/>
  <c r="C742" i="1"/>
  <c r="L741" i="1"/>
  <c r="O741" i="1" s="1"/>
  <c r="C741" i="1"/>
  <c r="L740" i="1"/>
  <c r="O740" i="1" s="1"/>
  <c r="C740" i="1"/>
  <c r="L739" i="1"/>
  <c r="O739" i="1" s="1"/>
  <c r="C739" i="1"/>
  <c r="L738" i="1"/>
  <c r="O738" i="1" s="1"/>
  <c r="C738" i="1"/>
  <c r="O737" i="1"/>
  <c r="L737" i="1"/>
  <c r="C737" i="1"/>
  <c r="O736" i="1"/>
  <c r="L736" i="1"/>
  <c r="C736" i="1"/>
  <c r="O735" i="1"/>
  <c r="L735" i="1"/>
  <c r="C735" i="1"/>
  <c r="L734" i="1"/>
  <c r="O734" i="1" s="1"/>
  <c r="C734" i="1"/>
  <c r="O733" i="1"/>
  <c r="L733" i="1"/>
  <c r="C733" i="1"/>
  <c r="L732" i="1"/>
  <c r="O732" i="1" s="1"/>
  <c r="C732" i="1"/>
  <c r="L731" i="1"/>
  <c r="O731" i="1" s="1"/>
  <c r="C731" i="1"/>
  <c r="O730" i="1"/>
  <c r="L730" i="1"/>
  <c r="C730" i="1"/>
  <c r="O729" i="1"/>
  <c r="L729" i="1"/>
  <c r="C729" i="1"/>
  <c r="L728" i="1"/>
  <c r="O728" i="1" s="1"/>
  <c r="C728" i="1"/>
  <c r="L727" i="1"/>
  <c r="O727" i="1" s="1"/>
  <c r="C727" i="1"/>
  <c r="O726" i="1"/>
  <c r="L726" i="1"/>
  <c r="C726" i="1"/>
  <c r="L725" i="1"/>
  <c r="O725" i="1" s="1"/>
  <c r="C725" i="1"/>
  <c r="L724" i="1"/>
  <c r="O724" i="1" s="1"/>
  <c r="C724" i="1"/>
  <c r="L723" i="1"/>
  <c r="O723" i="1" s="1"/>
  <c r="C723" i="1"/>
  <c r="O722" i="1"/>
  <c r="L722" i="1"/>
  <c r="C722" i="1"/>
  <c r="L721" i="1"/>
  <c r="O721" i="1" s="1"/>
  <c r="C721" i="1"/>
  <c r="O720" i="1"/>
  <c r="L720" i="1"/>
  <c r="C720" i="1"/>
  <c r="O719" i="1"/>
  <c r="L719" i="1"/>
  <c r="C719" i="1"/>
  <c r="L718" i="1"/>
  <c r="O718" i="1" s="1"/>
  <c r="C718" i="1"/>
  <c r="L717" i="1"/>
  <c r="O717" i="1" s="1"/>
  <c r="C717" i="1"/>
  <c r="O716" i="1"/>
  <c r="L716" i="1"/>
  <c r="C716" i="1"/>
  <c r="L715" i="1"/>
  <c r="O715" i="1" s="1"/>
  <c r="C715" i="1"/>
  <c r="O714" i="1"/>
  <c r="L714" i="1"/>
  <c r="C714" i="1"/>
  <c r="O713" i="1"/>
  <c r="L713" i="1"/>
  <c r="C713" i="1"/>
  <c r="L712" i="1"/>
  <c r="O712" i="1" s="1"/>
  <c r="C712" i="1"/>
  <c r="L711" i="1"/>
  <c r="O711" i="1" s="1"/>
  <c r="C711" i="1"/>
  <c r="L710" i="1"/>
  <c r="O710" i="1" s="1"/>
  <c r="C710" i="1"/>
  <c r="L709" i="1"/>
  <c r="O709" i="1" s="1"/>
  <c r="C709" i="1"/>
  <c r="L708" i="1"/>
  <c r="O708" i="1" s="1"/>
  <c r="C708" i="1"/>
  <c r="L707" i="1"/>
  <c r="O707" i="1" s="1"/>
  <c r="C707" i="1"/>
  <c r="L706" i="1"/>
  <c r="O706" i="1" s="1"/>
  <c r="C706" i="1"/>
  <c r="L705" i="1"/>
  <c r="O705" i="1" s="1"/>
  <c r="C705" i="1"/>
  <c r="O704" i="1"/>
  <c r="L704" i="1"/>
  <c r="C704" i="1"/>
  <c r="O703" i="1"/>
  <c r="L703" i="1"/>
  <c r="C703" i="1"/>
  <c r="L702" i="1"/>
  <c r="O702" i="1" s="1"/>
  <c r="C702" i="1"/>
  <c r="L701" i="1"/>
  <c r="O701" i="1" s="1"/>
  <c r="C701" i="1"/>
  <c r="L700" i="1"/>
  <c r="O700" i="1" s="1"/>
  <c r="C700" i="1"/>
  <c r="L699" i="1"/>
  <c r="O699" i="1" s="1"/>
  <c r="C699" i="1"/>
  <c r="O698" i="1"/>
  <c r="L698" i="1"/>
  <c r="C698" i="1"/>
  <c r="O697" i="1"/>
  <c r="L697" i="1"/>
  <c r="C697" i="1"/>
  <c r="L696" i="1"/>
  <c r="O696" i="1" s="1"/>
  <c r="C696" i="1"/>
  <c r="L695" i="1"/>
  <c r="O695" i="1" s="1"/>
  <c r="C695" i="1"/>
  <c r="L694" i="1"/>
  <c r="O694" i="1" s="1"/>
  <c r="C694" i="1"/>
  <c r="L693" i="1"/>
  <c r="O693" i="1" s="1"/>
  <c r="C693" i="1"/>
  <c r="L692" i="1"/>
  <c r="O692" i="1" s="1"/>
  <c r="C692" i="1"/>
  <c r="L691" i="1"/>
  <c r="O691" i="1" s="1"/>
  <c r="C691" i="1"/>
  <c r="L690" i="1"/>
  <c r="O690" i="1" s="1"/>
  <c r="C690" i="1"/>
  <c r="L689" i="1"/>
  <c r="O689" i="1" s="1"/>
  <c r="C689" i="1"/>
  <c r="O688" i="1"/>
  <c r="L688" i="1"/>
  <c r="C688" i="1"/>
  <c r="O687" i="1"/>
  <c r="L687" i="1"/>
  <c r="C687" i="1"/>
  <c r="L686" i="1"/>
  <c r="O686" i="1" s="1"/>
  <c r="C686" i="1"/>
  <c r="L685" i="1"/>
  <c r="O685" i="1" s="1"/>
  <c r="C685" i="1"/>
  <c r="L684" i="1"/>
  <c r="O684" i="1" s="1"/>
  <c r="C684" i="1"/>
  <c r="L683" i="1"/>
  <c r="O683" i="1" s="1"/>
  <c r="C683" i="1"/>
  <c r="O682" i="1"/>
  <c r="L682" i="1"/>
  <c r="C682" i="1"/>
  <c r="O681" i="1"/>
  <c r="L681" i="1"/>
  <c r="C681" i="1"/>
  <c r="L680" i="1"/>
  <c r="O680" i="1" s="1"/>
  <c r="C680" i="1"/>
  <c r="L679" i="1"/>
  <c r="O679" i="1" s="1"/>
  <c r="C679" i="1"/>
  <c r="L678" i="1"/>
  <c r="O678" i="1" s="1"/>
  <c r="C678" i="1"/>
  <c r="L677" i="1"/>
  <c r="O677" i="1" s="1"/>
  <c r="C677" i="1"/>
  <c r="L676" i="1"/>
  <c r="O676" i="1" s="1"/>
  <c r="C676" i="1"/>
  <c r="L675" i="1"/>
  <c r="O675" i="1" s="1"/>
  <c r="C675" i="1"/>
  <c r="L674" i="1"/>
  <c r="O674" i="1" s="1"/>
  <c r="C674" i="1"/>
  <c r="O673" i="1"/>
  <c r="L673" i="1"/>
  <c r="C673" i="1"/>
  <c r="O672" i="1"/>
  <c r="L672" i="1"/>
  <c r="C672" i="1"/>
  <c r="O671" i="1"/>
  <c r="L671" i="1"/>
  <c r="C671" i="1"/>
  <c r="L670" i="1"/>
  <c r="O670" i="1" s="1"/>
  <c r="C670" i="1"/>
  <c r="O669" i="1"/>
  <c r="L669" i="1"/>
  <c r="C669" i="1"/>
  <c r="L668" i="1"/>
  <c r="O668" i="1" s="1"/>
  <c r="C668" i="1"/>
  <c r="L667" i="1"/>
  <c r="O667" i="1" s="1"/>
  <c r="C667" i="1"/>
  <c r="O666" i="1"/>
  <c r="L666" i="1"/>
  <c r="C666" i="1"/>
  <c r="O665" i="1"/>
  <c r="L665" i="1"/>
  <c r="C665" i="1"/>
  <c r="L664" i="1"/>
  <c r="O664" i="1" s="1"/>
  <c r="C664" i="1"/>
  <c r="L663" i="1"/>
  <c r="O663" i="1" s="1"/>
  <c r="C663" i="1"/>
  <c r="O662" i="1"/>
  <c r="L662" i="1"/>
  <c r="C662" i="1"/>
  <c r="L661" i="1"/>
  <c r="O661" i="1" s="1"/>
  <c r="C661" i="1"/>
  <c r="L660" i="1"/>
  <c r="O660" i="1" s="1"/>
  <c r="C660" i="1"/>
  <c r="L659" i="1"/>
  <c r="O659" i="1" s="1"/>
  <c r="C659" i="1"/>
  <c r="L658" i="1"/>
  <c r="O658" i="1" s="1"/>
  <c r="C658" i="1"/>
  <c r="L657" i="1"/>
  <c r="O657" i="1" s="1"/>
  <c r="C657" i="1"/>
  <c r="O656" i="1"/>
  <c r="L656" i="1"/>
  <c r="C656" i="1"/>
  <c r="O655" i="1"/>
  <c r="L655" i="1"/>
  <c r="C655" i="1"/>
  <c r="L654" i="1"/>
  <c r="O654" i="1" s="1"/>
  <c r="C654" i="1"/>
  <c r="L653" i="1"/>
  <c r="O653" i="1" s="1"/>
  <c r="C653" i="1"/>
  <c r="L652" i="1"/>
  <c r="O652" i="1" s="1"/>
  <c r="C652" i="1"/>
  <c r="L651" i="1"/>
  <c r="O651" i="1" s="1"/>
  <c r="C651" i="1"/>
  <c r="O650" i="1"/>
  <c r="L650" i="1"/>
  <c r="C650" i="1"/>
  <c r="O649" i="1"/>
  <c r="L649" i="1"/>
  <c r="C649" i="1"/>
  <c r="L648" i="1"/>
  <c r="O648" i="1" s="1"/>
  <c r="C648" i="1"/>
  <c r="O647" i="1"/>
  <c r="L647" i="1"/>
  <c r="C647" i="1"/>
  <c r="L646" i="1"/>
  <c r="O646" i="1" s="1"/>
  <c r="C646" i="1"/>
  <c r="L645" i="1"/>
  <c r="O645" i="1" s="1"/>
  <c r="C645" i="1"/>
  <c r="L644" i="1"/>
  <c r="O644" i="1" s="1"/>
  <c r="C644" i="1"/>
  <c r="L643" i="1"/>
  <c r="O643" i="1" s="1"/>
  <c r="C643" i="1"/>
  <c r="L642" i="1"/>
  <c r="O642" i="1" s="1"/>
  <c r="C642" i="1"/>
  <c r="L641" i="1"/>
  <c r="O641" i="1" s="1"/>
  <c r="C641" i="1"/>
  <c r="O640" i="1"/>
  <c r="L640" i="1"/>
  <c r="C640" i="1"/>
  <c r="O639" i="1"/>
  <c r="L639" i="1"/>
  <c r="C639" i="1"/>
  <c r="L638" i="1"/>
  <c r="O638" i="1" s="1"/>
  <c r="C638" i="1"/>
  <c r="L637" i="1"/>
  <c r="O637" i="1" s="1"/>
  <c r="C637" i="1"/>
  <c r="L636" i="1"/>
  <c r="O636" i="1" s="1"/>
  <c r="C636" i="1"/>
  <c r="O635" i="1"/>
  <c r="L635" i="1"/>
  <c r="C635" i="1"/>
  <c r="O634" i="1"/>
  <c r="L634" i="1"/>
  <c r="C634" i="1"/>
  <c r="O633" i="1"/>
  <c r="L633" i="1"/>
  <c r="C633" i="1"/>
  <c r="L632" i="1"/>
  <c r="O632" i="1" s="1"/>
  <c r="C632" i="1"/>
  <c r="L631" i="1"/>
  <c r="O631" i="1" s="1"/>
  <c r="C631" i="1"/>
  <c r="L630" i="1"/>
  <c r="O630" i="1" s="1"/>
  <c r="C630" i="1"/>
  <c r="L629" i="1"/>
  <c r="O629" i="1" s="1"/>
  <c r="C629" i="1"/>
  <c r="L628" i="1"/>
  <c r="O628" i="1" s="1"/>
  <c r="C628" i="1"/>
  <c r="L627" i="1"/>
  <c r="O627" i="1" s="1"/>
  <c r="C627" i="1"/>
  <c r="L626" i="1"/>
  <c r="O626" i="1" s="1"/>
  <c r="C626" i="1"/>
  <c r="L625" i="1"/>
  <c r="O625" i="1" s="1"/>
  <c r="C625" i="1"/>
  <c r="O624" i="1"/>
  <c r="L624" i="1"/>
  <c r="C624" i="1"/>
  <c r="O623" i="1"/>
  <c r="L623" i="1"/>
  <c r="C623" i="1"/>
  <c r="L622" i="1"/>
  <c r="O622" i="1" s="1"/>
  <c r="C622" i="1"/>
  <c r="L621" i="1"/>
  <c r="O621" i="1" s="1"/>
  <c r="C621" i="1"/>
  <c r="L620" i="1"/>
  <c r="O620" i="1" s="1"/>
  <c r="C620" i="1"/>
  <c r="L619" i="1"/>
  <c r="O619" i="1" s="1"/>
  <c r="C619" i="1"/>
  <c r="O618" i="1"/>
  <c r="L618" i="1"/>
  <c r="C618" i="1"/>
  <c r="O617" i="1"/>
  <c r="L617" i="1"/>
  <c r="C617" i="1"/>
  <c r="L616" i="1"/>
  <c r="O616" i="1" s="1"/>
  <c r="C616" i="1"/>
  <c r="L615" i="1"/>
  <c r="O615" i="1" s="1"/>
  <c r="C615" i="1"/>
  <c r="L614" i="1"/>
  <c r="O614" i="1" s="1"/>
  <c r="C614" i="1"/>
  <c r="L613" i="1"/>
  <c r="O613" i="1" s="1"/>
  <c r="C613" i="1"/>
  <c r="L612" i="1"/>
  <c r="O612" i="1" s="1"/>
  <c r="C612" i="1"/>
  <c r="L611" i="1"/>
  <c r="O611" i="1" s="1"/>
  <c r="C611" i="1"/>
  <c r="L610" i="1"/>
  <c r="O610" i="1" s="1"/>
  <c r="C610" i="1"/>
  <c r="O609" i="1"/>
  <c r="L609" i="1"/>
  <c r="C609" i="1"/>
  <c r="O608" i="1"/>
  <c r="L608" i="1"/>
  <c r="C608" i="1"/>
  <c r="O607" i="1"/>
  <c r="L607" i="1"/>
  <c r="C607" i="1"/>
  <c r="L606" i="1"/>
  <c r="O606" i="1" s="1"/>
  <c r="C606" i="1"/>
  <c r="O605" i="1"/>
  <c r="L605" i="1"/>
  <c r="C605" i="1"/>
  <c r="L604" i="1"/>
  <c r="O604" i="1" s="1"/>
  <c r="C604" i="1"/>
  <c r="L603" i="1"/>
  <c r="O603" i="1" s="1"/>
  <c r="C603" i="1"/>
  <c r="L602" i="1"/>
  <c r="O602" i="1" s="1"/>
  <c r="C602" i="1"/>
  <c r="O601" i="1"/>
  <c r="L601" i="1"/>
  <c r="C601" i="1"/>
  <c r="L600" i="1"/>
  <c r="O600" i="1" s="1"/>
  <c r="C600" i="1"/>
  <c r="L599" i="1"/>
  <c r="O599" i="1" s="1"/>
  <c r="C599" i="1"/>
  <c r="O598" i="1"/>
  <c r="L598" i="1"/>
  <c r="C598" i="1"/>
  <c r="L597" i="1"/>
  <c r="O597" i="1" s="1"/>
  <c r="C597" i="1"/>
  <c r="L596" i="1"/>
  <c r="O596" i="1" s="1"/>
  <c r="C596" i="1"/>
  <c r="L595" i="1"/>
  <c r="O595" i="1" s="1"/>
  <c r="C595" i="1"/>
  <c r="O594" i="1"/>
  <c r="L594" i="1"/>
  <c r="C594" i="1"/>
  <c r="L593" i="1"/>
  <c r="O593" i="1" s="1"/>
  <c r="C593" i="1"/>
  <c r="O592" i="1"/>
  <c r="L592" i="1"/>
  <c r="C592" i="1"/>
  <c r="O591" i="1"/>
  <c r="L591" i="1"/>
  <c r="C591" i="1"/>
  <c r="L590" i="1"/>
  <c r="O590" i="1" s="1"/>
  <c r="C590" i="1"/>
  <c r="L589" i="1"/>
  <c r="O589" i="1" s="1"/>
  <c r="C589" i="1"/>
  <c r="O588" i="1"/>
  <c r="L588" i="1"/>
  <c r="C588" i="1"/>
  <c r="L587" i="1"/>
  <c r="O587" i="1" s="1"/>
  <c r="C587" i="1"/>
  <c r="O586" i="1"/>
  <c r="L586" i="1"/>
  <c r="C586" i="1"/>
  <c r="O585" i="1"/>
  <c r="L585" i="1"/>
  <c r="C585" i="1"/>
  <c r="L584" i="1"/>
  <c r="O584" i="1" s="1"/>
  <c r="C584" i="1"/>
  <c r="L583" i="1"/>
  <c r="O583" i="1" s="1"/>
  <c r="C583" i="1"/>
  <c r="L582" i="1"/>
  <c r="O582" i="1" s="1"/>
  <c r="C582" i="1"/>
  <c r="L581" i="1"/>
  <c r="O581" i="1" s="1"/>
  <c r="C581" i="1"/>
  <c r="L580" i="1"/>
  <c r="O580" i="1" s="1"/>
  <c r="C580" i="1"/>
  <c r="L579" i="1"/>
  <c r="O579" i="1" s="1"/>
  <c r="C579" i="1"/>
  <c r="L578" i="1"/>
  <c r="O578" i="1" s="1"/>
  <c r="C578" i="1"/>
  <c r="L577" i="1"/>
  <c r="O577" i="1" s="1"/>
  <c r="C577" i="1"/>
  <c r="O576" i="1"/>
  <c r="L576" i="1"/>
  <c r="C576" i="1"/>
  <c r="O575" i="1"/>
  <c r="L575" i="1"/>
  <c r="C575" i="1"/>
  <c r="L574" i="1"/>
  <c r="O574" i="1" s="1"/>
  <c r="C574" i="1"/>
  <c r="L573" i="1"/>
  <c r="O573" i="1" s="1"/>
  <c r="C573" i="1"/>
  <c r="L572" i="1"/>
  <c r="O572" i="1" s="1"/>
  <c r="C572" i="1"/>
  <c r="L571" i="1"/>
  <c r="O571" i="1" s="1"/>
  <c r="C571" i="1"/>
  <c r="L570" i="1"/>
  <c r="O570" i="1" s="1"/>
  <c r="C570" i="1"/>
  <c r="O569" i="1"/>
  <c r="L569" i="1"/>
  <c r="C569" i="1"/>
  <c r="L568" i="1"/>
  <c r="O568" i="1" s="1"/>
  <c r="C568" i="1"/>
  <c r="L567" i="1"/>
  <c r="O567" i="1" s="1"/>
  <c r="C567" i="1"/>
  <c r="L566" i="1"/>
  <c r="O566" i="1" s="1"/>
  <c r="C566" i="1"/>
  <c r="L565" i="1"/>
  <c r="O565" i="1" s="1"/>
  <c r="C565" i="1"/>
  <c r="L564" i="1"/>
  <c r="O564" i="1" s="1"/>
  <c r="C564" i="1"/>
  <c r="L563" i="1"/>
  <c r="O563" i="1" s="1"/>
  <c r="C563" i="1"/>
  <c r="L562" i="1"/>
  <c r="O562" i="1" s="1"/>
  <c r="C562" i="1"/>
  <c r="L561" i="1"/>
  <c r="O561" i="1" s="1"/>
  <c r="C561" i="1"/>
  <c r="O560" i="1"/>
  <c r="L560" i="1"/>
  <c r="C560" i="1"/>
  <c r="O559" i="1"/>
  <c r="L559" i="1"/>
  <c r="C559" i="1"/>
  <c r="L558" i="1"/>
  <c r="O558" i="1" s="1"/>
  <c r="C558" i="1"/>
  <c r="L557" i="1"/>
  <c r="O557" i="1" s="1"/>
  <c r="C557" i="1"/>
  <c r="L556" i="1"/>
  <c r="O556" i="1" s="1"/>
  <c r="C556" i="1"/>
  <c r="L555" i="1"/>
  <c r="O555" i="1" s="1"/>
  <c r="C555" i="1"/>
  <c r="L554" i="1"/>
  <c r="O554" i="1" s="1"/>
  <c r="C554" i="1"/>
  <c r="O553" i="1"/>
  <c r="L553" i="1"/>
  <c r="C553" i="1"/>
  <c r="L552" i="1"/>
  <c r="O552" i="1" s="1"/>
  <c r="C552" i="1"/>
  <c r="L551" i="1"/>
  <c r="O551" i="1" s="1"/>
  <c r="C551" i="1"/>
  <c r="L550" i="1"/>
  <c r="O550" i="1" s="1"/>
  <c r="C550" i="1"/>
  <c r="L549" i="1"/>
  <c r="O549" i="1" s="1"/>
  <c r="C549" i="1"/>
  <c r="L548" i="1"/>
  <c r="O548" i="1" s="1"/>
  <c r="C548" i="1"/>
  <c r="L547" i="1"/>
  <c r="O547" i="1" s="1"/>
  <c r="C547" i="1"/>
  <c r="L546" i="1"/>
  <c r="O546" i="1" s="1"/>
  <c r="C546" i="1"/>
  <c r="O545" i="1"/>
  <c r="L545" i="1"/>
  <c r="C545" i="1"/>
  <c r="O544" i="1"/>
  <c r="L544" i="1"/>
  <c r="C544" i="1"/>
  <c r="O543" i="1"/>
  <c r="L543" i="1"/>
  <c r="C543" i="1"/>
  <c r="L542" i="1"/>
  <c r="O542" i="1" s="1"/>
  <c r="C542" i="1"/>
  <c r="O541" i="1"/>
  <c r="L541" i="1"/>
  <c r="C541" i="1"/>
  <c r="L540" i="1"/>
  <c r="O540" i="1" s="1"/>
  <c r="C540" i="1"/>
  <c r="L539" i="1"/>
  <c r="O539" i="1" s="1"/>
  <c r="C539" i="1"/>
  <c r="L538" i="1"/>
  <c r="O538" i="1" s="1"/>
  <c r="C538" i="1"/>
  <c r="O537" i="1"/>
  <c r="L537" i="1"/>
  <c r="C537" i="1"/>
  <c r="L536" i="1"/>
  <c r="O536" i="1" s="1"/>
  <c r="C536" i="1"/>
  <c r="L535" i="1"/>
  <c r="O535" i="1" s="1"/>
  <c r="C535" i="1"/>
  <c r="O534" i="1"/>
  <c r="L534" i="1"/>
  <c r="C534" i="1"/>
  <c r="L533" i="1"/>
  <c r="O533" i="1" s="1"/>
  <c r="C533" i="1"/>
  <c r="L532" i="1"/>
  <c r="O532" i="1" s="1"/>
  <c r="C532" i="1"/>
  <c r="L531" i="1"/>
  <c r="O531" i="1" s="1"/>
  <c r="C531" i="1"/>
  <c r="O530" i="1"/>
  <c r="L530" i="1"/>
  <c r="C530" i="1"/>
  <c r="L529" i="1"/>
  <c r="O529" i="1" s="1"/>
  <c r="C529" i="1"/>
  <c r="O528" i="1"/>
  <c r="L528" i="1"/>
  <c r="C528" i="1"/>
  <c r="O527" i="1"/>
  <c r="L527" i="1"/>
  <c r="C527" i="1"/>
  <c r="L526" i="1"/>
  <c r="O526" i="1" s="1"/>
  <c r="C526" i="1"/>
  <c r="L525" i="1"/>
  <c r="O525" i="1" s="1"/>
  <c r="C525" i="1"/>
  <c r="L524" i="1"/>
  <c r="O524" i="1" s="1"/>
  <c r="C524" i="1"/>
  <c r="L523" i="1"/>
  <c r="O523" i="1" s="1"/>
  <c r="C523" i="1"/>
  <c r="O522" i="1"/>
  <c r="L522" i="1"/>
  <c r="C522" i="1"/>
  <c r="O521" i="1"/>
  <c r="L521" i="1"/>
  <c r="C521" i="1"/>
  <c r="L520" i="1"/>
  <c r="O520" i="1" s="1"/>
  <c r="C520" i="1"/>
  <c r="O519" i="1"/>
  <c r="L519" i="1"/>
  <c r="C519" i="1"/>
  <c r="O518" i="1"/>
  <c r="L518" i="1"/>
  <c r="C518" i="1"/>
  <c r="L517" i="1"/>
  <c r="O517" i="1" s="1"/>
  <c r="C517" i="1"/>
  <c r="L516" i="1"/>
  <c r="O516" i="1" s="1"/>
  <c r="C516" i="1"/>
  <c r="L515" i="1"/>
  <c r="O515" i="1" s="1"/>
  <c r="C515" i="1"/>
  <c r="L514" i="1"/>
  <c r="O514" i="1" s="1"/>
  <c r="C514" i="1"/>
  <c r="L513" i="1"/>
  <c r="O513" i="1" s="1"/>
  <c r="C513" i="1"/>
  <c r="O512" i="1"/>
  <c r="L512" i="1"/>
  <c r="C512" i="1"/>
  <c r="O511" i="1"/>
  <c r="L511" i="1"/>
  <c r="C511" i="1"/>
  <c r="L510" i="1"/>
  <c r="O510" i="1" s="1"/>
  <c r="C510" i="1"/>
  <c r="L509" i="1"/>
  <c r="O509" i="1" s="1"/>
  <c r="C509" i="1"/>
  <c r="L508" i="1"/>
  <c r="O508" i="1" s="1"/>
  <c r="C508" i="1"/>
  <c r="L507" i="1"/>
  <c r="O507" i="1" s="1"/>
  <c r="C507" i="1"/>
  <c r="L506" i="1"/>
  <c r="O506" i="1" s="1"/>
  <c r="C506" i="1"/>
  <c r="O505" i="1"/>
  <c r="L505" i="1"/>
  <c r="C505" i="1"/>
  <c r="L504" i="1"/>
  <c r="O504" i="1" s="1"/>
  <c r="C504" i="1"/>
  <c r="L503" i="1"/>
  <c r="O503" i="1" s="1"/>
  <c r="C503" i="1"/>
  <c r="L502" i="1"/>
  <c r="O502" i="1" s="1"/>
  <c r="C502" i="1"/>
  <c r="L501" i="1"/>
  <c r="O501" i="1" s="1"/>
  <c r="C501" i="1"/>
  <c r="L500" i="1"/>
  <c r="O500" i="1" s="1"/>
  <c r="C500" i="1"/>
  <c r="L499" i="1"/>
  <c r="O499" i="1" s="1"/>
  <c r="C499" i="1"/>
  <c r="L498" i="1"/>
  <c r="O498" i="1" s="1"/>
  <c r="C498" i="1"/>
  <c r="L497" i="1"/>
  <c r="O497" i="1" s="1"/>
  <c r="C497" i="1"/>
  <c r="O496" i="1"/>
  <c r="L496" i="1"/>
  <c r="C496" i="1"/>
  <c r="O495" i="1"/>
  <c r="L495" i="1"/>
  <c r="C495" i="1"/>
  <c r="L494" i="1"/>
  <c r="O494" i="1" s="1"/>
  <c r="C494" i="1"/>
  <c r="L493" i="1"/>
  <c r="O493" i="1" s="1"/>
  <c r="C493" i="1"/>
  <c r="L492" i="1"/>
  <c r="O492" i="1" s="1"/>
  <c r="C492" i="1"/>
  <c r="L491" i="1"/>
  <c r="O491" i="1" s="1"/>
  <c r="C491" i="1"/>
  <c r="L490" i="1"/>
  <c r="O490" i="1" s="1"/>
  <c r="C490" i="1"/>
  <c r="O489" i="1"/>
  <c r="L489" i="1"/>
  <c r="C489" i="1"/>
  <c r="L488" i="1"/>
  <c r="O488" i="1" s="1"/>
  <c r="C488" i="1"/>
  <c r="L487" i="1"/>
  <c r="O487" i="1" s="1"/>
  <c r="C487" i="1"/>
  <c r="L486" i="1"/>
  <c r="O486" i="1" s="1"/>
  <c r="C486" i="1"/>
  <c r="L485" i="1"/>
  <c r="O485" i="1" s="1"/>
  <c r="C485" i="1"/>
  <c r="L484" i="1"/>
  <c r="O484" i="1" s="1"/>
  <c r="C484" i="1"/>
  <c r="L483" i="1"/>
  <c r="O483" i="1" s="1"/>
  <c r="C483" i="1"/>
  <c r="L482" i="1"/>
  <c r="O482" i="1" s="1"/>
  <c r="C482" i="1"/>
  <c r="O481" i="1"/>
  <c r="L481" i="1"/>
  <c r="C481" i="1"/>
  <c r="O480" i="1"/>
  <c r="L480" i="1"/>
  <c r="C480" i="1"/>
  <c r="O479" i="1"/>
  <c r="L479" i="1"/>
  <c r="C479" i="1"/>
  <c r="L478" i="1"/>
  <c r="O478" i="1" s="1"/>
  <c r="C478" i="1"/>
  <c r="O477" i="1"/>
  <c r="L477" i="1"/>
  <c r="C477" i="1"/>
  <c r="L476" i="1"/>
  <c r="O476" i="1" s="1"/>
  <c r="C476" i="1"/>
  <c r="L475" i="1"/>
  <c r="O475" i="1" s="1"/>
  <c r="C475" i="1"/>
  <c r="L474" i="1"/>
  <c r="O474" i="1" s="1"/>
  <c r="C474" i="1"/>
  <c r="O473" i="1"/>
  <c r="L473" i="1"/>
  <c r="C473" i="1"/>
  <c r="L472" i="1"/>
  <c r="O472" i="1" s="1"/>
  <c r="C472" i="1"/>
  <c r="L471" i="1"/>
  <c r="O471" i="1" s="1"/>
  <c r="C471" i="1"/>
  <c r="O470" i="1"/>
  <c r="L470" i="1"/>
  <c r="C470" i="1"/>
  <c r="L469" i="1"/>
  <c r="O469" i="1" s="1"/>
  <c r="C469" i="1"/>
  <c r="L468" i="1"/>
  <c r="O468" i="1" s="1"/>
  <c r="C468" i="1"/>
  <c r="L467" i="1"/>
  <c r="O467" i="1" s="1"/>
  <c r="C467" i="1"/>
  <c r="L466" i="1"/>
  <c r="O466" i="1" s="1"/>
  <c r="C466" i="1"/>
  <c r="O465" i="1"/>
  <c r="L465" i="1"/>
  <c r="C465" i="1"/>
  <c r="O464" i="1"/>
  <c r="L464" i="1"/>
  <c r="C464" i="1"/>
  <c r="O463" i="1"/>
  <c r="L463" i="1"/>
  <c r="C463" i="1"/>
  <c r="L462" i="1"/>
  <c r="O462" i="1" s="1"/>
  <c r="C462" i="1"/>
  <c r="L461" i="1"/>
  <c r="O461" i="1" s="1"/>
  <c r="C461" i="1"/>
  <c r="L460" i="1"/>
  <c r="O460" i="1" s="1"/>
  <c r="C460" i="1"/>
  <c r="L459" i="1"/>
  <c r="O459" i="1" s="1"/>
  <c r="C459" i="1"/>
  <c r="O458" i="1"/>
  <c r="L458" i="1"/>
  <c r="C458" i="1"/>
  <c r="O457" i="1"/>
  <c r="L457" i="1"/>
  <c r="C457" i="1"/>
  <c r="L456" i="1"/>
  <c r="O456" i="1" s="1"/>
  <c r="C456" i="1"/>
  <c r="L455" i="1"/>
  <c r="O455" i="1" s="1"/>
  <c r="C455" i="1"/>
  <c r="O454" i="1"/>
  <c r="L454" i="1"/>
  <c r="C454" i="1"/>
  <c r="L453" i="1"/>
  <c r="O453" i="1" s="1"/>
  <c r="C453" i="1"/>
  <c r="L452" i="1"/>
  <c r="O452" i="1" s="1"/>
  <c r="C452" i="1"/>
  <c r="L451" i="1"/>
  <c r="O451" i="1" s="1"/>
  <c r="C451" i="1"/>
  <c r="L450" i="1"/>
  <c r="O450" i="1" s="1"/>
  <c r="C450" i="1"/>
  <c r="L449" i="1"/>
  <c r="O449" i="1" s="1"/>
  <c r="C449" i="1"/>
  <c r="O448" i="1"/>
  <c r="L448" i="1"/>
  <c r="C448" i="1"/>
  <c r="O447" i="1"/>
  <c r="L447" i="1"/>
  <c r="C447" i="1"/>
  <c r="L446" i="1"/>
  <c r="O446" i="1" s="1"/>
  <c r="C446" i="1"/>
  <c r="L445" i="1"/>
  <c r="O445" i="1" s="1"/>
  <c r="C445" i="1"/>
  <c r="L444" i="1"/>
  <c r="O444" i="1" s="1"/>
  <c r="C444" i="1"/>
  <c r="O443" i="1"/>
  <c r="L443" i="1"/>
  <c r="C443" i="1"/>
  <c r="L442" i="1"/>
  <c r="O442" i="1" s="1"/>
  <c r="C442" i="1"/>
  <c r="O441" i="1"/>
  <c r="L441" i="1"/>
  <c r="C441" i="1"/>
  <c r="L440" i="1"/>
  <c r="O440" i="1" s="1"/>
  <c r="C440" i="1"/>
  <c r="L439" i="1"/>
  <c r="O439" i="1" s="1"/>
  <c r="C439" i="1"/>
  <c r="O438" i="1"/>
  <c r="L438" i="1"/>
  <c r="C438" i="1"/>
  <c r="O437" i="1"/>
  <c r="L437" i="1"/>
  <c r="C437" i="1"/>
  <c r="L436" i="1"/>
  <c r="O436" i="1" s="1"/>
  <c r="C436" i="1"/>
  <c r="L435" i="1"/>
  <c r="O435" i="1" s="1"/>
  <c r="C435" i="1"/>
  <c r="L434" i="1"/>
  <c r="O434" i="1" s="1"/>
  <c r="C434" i="1"/>
  <c r="L433" i="1"/>
  <c r="O433" i="1" s="1"/>
  <c r="C433" i="1"/>
  <c r="O432" i="1"/>
  <c r="L432" i="1"/>
  <c r="C432" i="1"/>
  <c r="O431" i="1"/>
  <c r="L431" i="1"/>
  <c r="C431" i="1"/>
  <c r="L430" i="1"/>
  <c r="O430" i="1" s="1"/>
  <c r="C430" i="1"/>
  <c r="L429" i="1"/>
  <c r="O429" i="1" s="1"/>
  <c r="C429" i="1"/>
  <c r="L428" i="1"/>
  <c r="O428" i="1" s="1"/>
  <c r="C428" i="1"/>
  <c r="L427" i="1"/>
  <c r="O427" i="1" s="1"/>
  <c r="C427" i="1"/>
  <c r="L426" i="1"/>
  <c r="O426" i="1" s="1"/>
  <c r="C426" i="1"/>
  <c r="O425" i="1"/>
  <c r="L425" i="1"/>
  <c r="C425" i="1"/>
  <c r="O424" i="1"/>
  <c r="L424" i="1"/>
  <c r="C424" i="1"/>
  <c r="L423" i="1"/>
  <c r="O423" i="1" s="1"/>
  <c r="C423" i="1"/>
  <c r="L422" i="1"/>
  <c r="O422" i="1" s="1"/>
  <c r="C422" i="1"/>
  <c r="L421" i="1"/>
  <c r="O421" i="1" s="1"/>
  <c r="C421" i="1"/>
  <c r="L420" i="1"/>
  <c r="O420" i="1" s="1"/>
  <c r="C420" i="1"/>
  <c r="L419" i="1"/>
  <c r="O419" i="1" s="1"/>
  <c r="C419" i="1"/>
  <c r="O418" i="1"/>
  <c r="L418" i="1"/>
  <c r="C418" i="1"/>
  <c r="L417" i="1"/>
  <c r="O417" i="1" s="1"/>
  <c r="C417" i="1"/>
  <c r="L416" i="1"/>
  <c r="O416" i="1" s="1"/>
  <c r="C416" i="1"/>
  <c r="O415" i="1"/>
  <c r="L415" i="1"/>
  <c r="C415" i="1"/>
  <c r="L414" i="1"/>
  <c r="O414" i="1" s="1"/>
  <c r="C414" i="1"/>
  <c r="O413" i="1"/>
  <c r="L413" i="1"/>
  <c r="C413" i="1"/>
  <c r="L412" i="1"/>
  <c r="O412" i="1" s="1"/>
  <c r="C412" i="1"/>
  <c r="L411" i="1"/>
  <c r="O411" i="1" s="1"/>
  <c r="C411" i="1"/>
  <c r="L410" i="1"/>
  <c r="O410" i="1" s="1"/>
  <c r="C410" i="1"/>
  <c r="O409" i="1"/>
  <c r="L409" i="1"/>
  <c r="C409" i="1"/>
  <c r="L408" i="1"/>
  <c r="O408" i="1" s="1"/>
  <c r="C408" i="1"/>
  <c r="O407" i="1"/>
  <c r="L407" i="1"/>
  <c r="C407" i="1"/>
  <c r="L406" i="1"/>
  <c r="O406" i="1" s="1"/>
  <c r="C406" i="1"/>
  <c r="L405" i="1"/>
  <c r="O405" i="1" s="1"/>
  <c r="C405" i="1"/>
  <c r="L404" i="1"/>
  <c r="O404" i="1" s="1"/>
  <c r="C404" i="1"/>
  <c r="L403" i="1"/>
  <c r="O403" i="1" s="1"/>
  <c r="C403" i="1"/>
  <c r="L402" i="1"/>
  <c r="O402" i="1" s="1"/>
  <c r="C402" i="1"/>
  <c r="O401" i="1"/>
  <c r="L401" i="1"/>
  <c r="C401" i="1"/>
  <c r="L400" i="1"/>
  <c r="O400" i="1" s="1"/>
  <c r="C400" i="1"/>
  <c r="O399" i="1"/>
  <c r="L399" i="1"/>
  <c r="C399" i="1"/>
  <c r="L398" i="1"/>
  <c r="O398" i="1" s="1"/>
  <c r="C398" i="1"/>
  <c r="O397" i="1"/>
  <c r="L397" i="1"/>
  <c r="C397" i="1"/>
  <c r="L396" i="1"/>
  <c r="O396" i="1" s="1"/>
  <c r="C396" i="1"/>
  <c r="L395" i="1"/>
  <c r="O395" i="1" s="1"/>
  <c r="C395" i="1"/>
  <c r="L394" i="1"/>
  <c r="O394" i="1" s="1"/>
  <c r="C394" i="1"/>
  <c r="O393" i="1"/>
  <c r="L393" i="1"/>
  <c r="C393" i="1"/>
  <c r="L392" i="1"/>
  <c r="O392" i="1" s="1"/>
  <c r="C392" i="1"/>
  <c r="L391" i="1"/>
  <c r="O391" i="1" s="1"/>
  <c r="C391" i="1"/>
  <c r="O390" i="1"/>
  <c r="L390" i="1"/>
  <c r="C390" i="1"/>
  <c r="L389" i="1"/>
  <c r="O389" i="1" s="1"/>
  <c r="C389" i="1"/>
  <c r="L388" i="1"/>
  <c r="O388" i="1" s="1"/>
  <c r="C388" i="1"/>
  <c r="L387" i="1"/>
  <c r="O387" i="1" s="1"/>
  <c r="C387" i="1"/>
  <c r="L386" i="1"/>
  <c r="O386" i="1" s="1"/>
  <c r="C386" i="1"/>
  <c r="L385" i="1"/>
  <c r="O385" i="1" s="1"/>
  <c r="C385" i="1"/>
  <c r="O384" i="1"/>
  <c r="L384" i="1"/>
  <c r="C384" i="1"/>
  <c r="O383" i="1"/>
  <c r="L383" i="1"/>
  <c r="C383" i="1"/>
  <c r="L382" i="1"/>
  <c r="O382" i="1" s="1"/>
  <c r="C382" i="1"/>
  <c r="L381" i="1"/>
  <c r="O381" i="1" s="1"/>
  <c r="C381" i="1"/>
  <c r="O380" i="1"/>
  <c r="L380" i="1"/>
  <c r="C380" i="1"/>
  <c r="L379" i="1"/>
  <c r="O379" i="1" s="1"/>
  <c r="C379" i="1"/>
  <c r="L378" i="1"/>
  <c r="O378" i="1" s="1"/>
  <c r="C378" i="1"/>
  <c r="O377" i="1"/>
  <c r="L377" i="1"/>
  <c r="C377" i="1"/>
  <c r="L376" i="1"/>
  <c r="O376" i="1" s="1"/>
  <c r="C376" i="1"/>
  <c r="L375" i="1"/>
  <c r="O375" i="1" s="1"/>
  <c r="C375" i="1"/>
  <c r="L374" i="1"/>
  <c r="O374" i="1" s="1"/>
  <c r="C374" i="1"/>
  <c r="O373" i="1"/>
  <c r="L373" i="1"/>
  <c r="C373" i="1"/>
  <c r="L372" i="1"/>
  <c r="O372" i="1" s="1"/>
  <c r="C372" i="1"/>
  <c r="L371" i="1"/>
  <c r="O371" i="1" s="1"/>
  <c r="C371" i="1"/>
  <c r="L370" i="1"/>
  <c r="O370" i="1" s="1"/>
  <c r="C370" i="1"/>
  <c r="O369" i="1"/>
  <c r="L369" i="1"/>
  <c r="C369" i="1"/>
  <c r="L368" i="1"/>
  <c r="O368" i="1" s="1"/>
  <c r="C368" i="1"/>
  <c r="O367" i="1"/>
  <c r="L367" i="1"/>
  <c r="C367" i="1"/>
  <c r="L366" i="1"/>
  <c r="O366" i="1" s="1"/>
  <c r="C366" i="1"/>
  <c r="L365" i="1"/>
  <c r="O365" i="1" s="1"/>
  <c r="C365" i="1"/>
  <c r="L364" i="1"/>
  <c r="O364" i="1" s="1"/>
  <c r="C364" i="1"/>
  <c r="O363" i="1"/>
  <c r="L363" i="1"/>
  <c r="C363" i="1"/>
  <c r="L362" i="1"/>
  <c r="O362" i="1" s="1"/>
  <c r="C362" i="1"/>
  <c r="O361" i="1"/>
  <c r="L361" i="1"/>
  <c r="C361" i="1"/>
  <c r="L360" i="1"/>
  <c r="O360" i="1" s="1"/>
  <c r="C360" i="1"/>
  <c r="L359" i="1"/>
  <c r="O359" i="1" s="1"/>
  <c r="C359" i="1"/>
  <c r="O358" i="1"/>
  <c r="L358" i="1"/>
  <c r="C358" i="1"/>
  <c r="L357" i="1"/>
  <c r="O357" i="1" s="1"/>
  <c r="C357" i="1"/>
  <c r="L356" i="1"/>
  <c r="O356" i="1" s="1"/>
  <c r="C356" i="1"/>
  <c r="L355" i="1"/>
  <c r="O355" i="1" s="1"/>
  <c r="C355" i="1"/>
  <c r="L354" i="1"/>
  <c r="O354" i="1" s="1"/>
  <c r="C354" i="1"/>
  <c r="L353" i="1"/>
  <c r="O353" i="1" s="1"/>
  <c r="C353" i="1"/>
  <c r="L352" i="1"/>
  <c r="O352" i="1" s="1"/>
  <c r="C352" i="1"/>
  <c r="O351" i="1"/>
  <c r="L351" i="1"/>
  <c r="C351" i="1"/>
  <c r="L350" i="1"/>
  <c r="O350" i="1" s="1"/>
  <c r="C350" i="1"/>
  <c r="O349" i="1"/>
  <c r="L349" i="1"/>
  <c r="C349" i="1"/>
  <c r="L348" i="1"/>
  <c r="O348" i="1" s="1"/>
  <c r="C348" i="1"/>
  <c r="L347" i="1"/>
  <c r="O347" i="1" s="1"/>
  <c r="C347" i="1"/>
  <c r="O346" i="1"/>
  <c r="L346" i="1"/>
  <c r="C346" i="1"/>
  <c r="O345" i="1"/>
  <c r="L345" i="1"/>
  <c r="C345" i="1"/>
  <c r="L344" i="1"/>
  <c r="O344" i="1" s="1"/>
  <c r="C344" i="1"/>
  <c r="L343" i="1"/>
  <c r="O343" i="1" s="1"/>
  <c r="C343" i="1"/>
  <c r="L342" i="1"/>
  <c r="O342" i="1" s="1"/>
  <c r="C342" i="1"/>
  <c r="L341" i="1"/>
  <c r="O341" i="1" s="1"/>
  <c r="C341" i="1"/>
  <c r="L340" i="1"/>
  <c r="O340" i="1" s="1"/>
  <c r="C340" i="1"/>
  <c r="L339" i="1"/>
  <c r="O339" i="1" s="1"/>
  <c r="C339" i="1"/>
  <c r="L338" i="1"/>
  <c r="O338" i="1" s="1"/>
  <c r="C338" i="1"/>
  <c r="L337" i="1"/>
  <c r="O337" i="1" s="1"/>
  <c r="C337" i="1"/>
  <c r="L336" i="1"/>
  <c r="O336" i="1" s="1"/>
  <c r="C336" i="1"/>
  <c r="O335" i="1"/>
  <c r="L335" i="1"/>
  <c r="C335" i="1"/>
  <c r="L334" i="1"/>
  <c r="O334" i="1" s="1"/>
  <c r="C334" i="1"/>
  <c r="L333" i="1"/>
  <c r="O333" i="1" s="1"/>
  <c r="C333" i="1"/>
  <c r="O332" i="1"/>
  <c r="L332" i="1"/>
  <c r="C332" i="1"/>
  <c r="L331" i="1"/>
  <c r="O331" i="1" s="1"/>
  <c r="C331" i="1"/>
  <c r="L330" i="1"/>
  <c r="O330" i="1" s="1"/>
  <c r="C330" i="1"/>
  <c r="O329" i="1"/>
  <c r="L329" i="1"/>
  <c r="C329" i="1"/>
  <c r="L328" i="1"/>
  <c r="O328" i="1" s="1"/>
  <c r="C328" i="1"/>
  <c r="L327" i="1"/>
  <c r="O327" i="1" s="1"/>
  <c r="C327" i="1"/>
  <c r="L326" i="1"/>
  <c r="O326" i="1" s="1"/>
  <c r="C326" i="1"/>
  <c r="L325" i="1"/>
  <c r="O325" i="1" s="1"/>
  <c r="C325" i="1"/>
  <c r="L324" i="1"/>
  <c r="O324" i="1" s="1"/>
  <c r="C324" i="1"/>
  <c r="L323" i="1"/>
  <c r="O323" i="1" s="1"/>
  <c r="C323" i="1"/>
  <c r="L322" i="1"/>
  <c r="O322" i="1" s="1"/>
  <c r="C322" i="1"/>
  <c r="L321" i="1"/>
  <c r="O321" i="1" s="1"/>
  <c r="C321" i="1"/>
  <c r="L320" i="1"/>
  <c r="O320" i="1" s="1"/>
  <c r="C320" i="1"/>
  <c r="O319" i="1"/>
  <c r="L319" i="1"/>
  <c r="C319" i="1"/>
  <c r="L318" i="1"/>
  <c r="O318" i="1" s="1"/>
  <c r="C318" i="1"/>
  <c r="O317" i="1"/>
  <c r="L317" i="1"/>
  <c r="C317" i="1"/>
  <c r="L316" i="1"/>
  <c r="O316" i="1" s="1"/>
  <c r="C316" i="1"/>
  <c r="L315" i="1"/>
  <c r="O315" i="1" s="1"/>
  <c r="C315" i="1"/>
  <c r="L314" i="1"/>
  <c r="O314" i="1" s="1"/>
  <c r="C314" i="1"/>
  <c r="O313" i="1"/>
  <c r="L313" i="1"/>
  <c r="C313" i="1"/>
  <c r="O312" i="1"/>
  <c r="L312" i="1"/>
  <c r="C312" i="1"/>
  <c r="L311" i="1"/>
  <c r="O311" i="1" s="1"/>
  <c r="C311" i="1"/>
  <c r="L310" i="1"/>
  <c r="O310" i="1" s="1"/>
  <c r="C310" i="1"/>
  <c r="L309" i="1"/>
  <c r="O309" i="1" s="1"/>
  <c r="C309" i="1"/>
  <c r="L308" i="1"/>
  <c r="O308" i="1" s="1"/>
  <c r="C308" i="1"/>
  <c r="L307" i="1"/>
  <c r="O307" i="1" s="1"/>
  <c r="C307" i="1"/>
  <c r="O306" i="1"/>
  <c r="L306" i="1"/>
  <c r="C306" i="1"/>
  <c r="L305" i="1"/>
  <c r="O305" i="1" s="1"/>
  <c r="C305" i="1"/>
  <c r="L304" i="1"/>
  <c r="O304" i="1" s="1"/>
  <c r="C304" i="1"/>
  <c r="O303" i="1"/>
  <c r="L303" i="1"/>
  <c r="C303" i="1"/>
  <c r="L302" i="1"/>
  <c r="O302" i="1" s="1"/>
  <c r="C302" i="1"/>
  <c r="O301" i="1"/>
  <c r="L301" i="1"/>
  <c r="C301" i="1"/>
  <c r="O300" i="1"/>
  <c r="L300" i="1"/>
  <c r="C300" i="1"/>
  <c r="L299" i="1"/>
  <c r="O299" i="1" s="1"/>
  <c r="C299" i="1"/>
  <c r="L298" i="1"/>
  <c r="O298" i="1" s="1"/>
  <c r="C298" i="1"/>
  <c r="O297" i="1"/>
  <c r="L297" i="1"/>
  <c r="C297" i="1"/>
  <c r="L296" i="1"/>
  <c r="O296" i="1" s="1"/>
  <c r="C296" i="1"/>
  <c r="O295" i="1"/>
  <c r="L295" i="1"/>
  <c r="C295" i="1"/>
  <c r="L294" i="1"/>
  <c r="O294" i="1" s="1"/>
  <c r="C294" i="1"/>
  <c r="L293" i="1"/>
  <c r="O293" i="1" s="1"/>
  <c r="C293" i="1"/>
  <c r="L292" i="1"/>
  <c r="O292" i="1" s="1"/>
  <c r="C292" i="1"/>
  <c r="L291" i="1"/>
  <c r="O291" i="1" s="1"/>
  <c r="C291" i="1"/>
  <c r="L290" i="1"/>
  <c r="O290" i="1" s="1"/>
  <c r="C290" i="1"/>
  <c r="O289" i="1"/>
  <c r="L289" i="1"/>
  <c r="C289" i="1"/>
  <c r="L288" i="1"/>
  <c r="O288" i="1" s="1"/>
  <c r="C288" i="1"/>
  <c r="O287" i="1"/>
  <c r="L287" i="1"/>
  <c r="C287" i="1"/>
  <c r="L286" i="1"/>
  <c r="O286" i="1" s="1"/>
  <c r="C286" i="1"/>
  <c r="L285" i="1"/>
  <c r="O285" i="1" s="1"/>
  <c r="C285" i="1"/>
  <c r="L284" i="1"/>
  <c r="O284" i="1" s="1"/>
  <c r="C284" i="1"/>
  <c r="L283" i="1"/>
  <c r="O283" i="1" s="1"/>
  <c r="C283" i="1"/>
  <c r="O282" i="1"/>
  <c r="L282" i="1"/>
  <c r="C282" i="1"/>
  <c r="O281" i="1"/>
  <c r="L281" i="1"/>
  <c r="C281" i="1"/>
  <c r="L280" i="1"/>
  <c r="O280" i="1" s="1"/>
  <c r="C280" i="1"/>
  <c r="L279" i="1"/>
  <c r="O279" i="1" s="1"/>
  <c r="C279" i="1"/>
  <c r="O278" i="1"/>
  <c r="L278" i="1"/>
  <c r="C278" i="1"/>
  <c r="L277" i="1"/>
  <c r="O277" i="1" s="1"/>
  <c r="C277" i="1"/>
  <c r="L276" i="1"/>
  <c r="O276" i="1" s="1"/>
  <c r="C276" i="1"/>
  <c r="L275" i="1"/>
  <c r="O275" i="1" s="1"/>
  <c r="C275" i="1"/>
  <c r="L274" i="1"/>
  <c r="O274" i="1" s="1"/>
  <c r="C274" i="1"/>
  <c r="O273" i="1"/>
  <c r="L273" i="1"/>
  <c r="C273" i="1"/>
  <c r="L272" i="1"/>
  <c r="O272" i="1" s="1"/>
  <c r="C272" i="1"/>
  <c r="O271" i="1"/>
  <c r="L271" i="1"/>
  <c r="C271" i="1"/>
  <c r="L270" i="1"/>
  <c r="O270" i="1" s="1"/>
  <c r="C270" i="1"/>
  <c r="L269" i="1"/>
  <c r="O269" i="1" s="1"/>
  <c r="C269" i="1"/>
  <c r="L268" i="1"/>
  <c r="O268" i="1" s="1"/>
  <c r="C268" i="1"/>
  <c r="O267" i="1"/>
  <c r="L267" i="1"/>
  <c r="C267" i="1"/>
  <c r="L266" i="1"/>
  <c r="O266" i="1" s="1"/>
  <c r="C266" i="1"/>
  <c r="O265" i="1"/>
  <c r="L265" i="1"/>
  <c r="C265" i="1"/>
  <c r="L264" i="1"/>
  <c r="O264" i="1" s="1"/>
  <c r="C264" i="1"/>
  <c r="L263" i="1"/>
  <c r="O263" i="1" s="1"/>
  <c r="C263" i="1"/>
  <c r="O262" i="1"/>
  <c r="L262" i="1"/>
  <c r="C262" i="1"/>
  <c r="L261" i="1"/>
  <c r="O261" i="1" s="1"/>
  <c r="C261" i="1"/>
  <c r="O260" i="1"/>
  <c r="L260" i="1"/>
  <c r="C260" i="1"/>
  <c r="L259" i="1"/>
  <c r="O259" i="1" s="1"/>
  <c r="C259" i="1"/>
  <c r="L258" i="1"/>
  <c r="O258" i="1" s="1"/>
  <c r="C258" i="1"/>
  <c r="L257" i="1"/>
  <c r="O257" i="1" s="1"/>
  <c r="C257" i="1"/>
  <c r="O256" i="1"/>
  <c r="L256" i="1"/>
  <c r="C256" i="1"/>
  <c r="L255" i="1"/>
  <c r="O255" i="1" s="1"/>
  <c r="C255" i="1"/>
  <c r="L254" i="1"/>
  <c r="O254" i="1" s="1"/>
  <c r="C254" i="1"/>
  <c r="L253" i="1"/>
  <c r="O253" i="1" s="1"/>
  <c r="C253" i="1"/>
  <c r="L252" i="1"/>
  <c r="O252" i="1" s="1"/>
  <c r="C252" i="1"/>
  <c r="O251" i="1"/>
  <c r="L251" i="1"/>
  <c r="C251" i="1"/>
  <c r="L250" i="1"/>
  <c r="O250" i="1" s="1"/>
  <c r="C250" i="1"/>
  <c r="L249" i="1"/>
  <c r="O249" i="1" s="1"/>
  <c r="C249" i="1"/>
  <c r="L248" i="1"/>
  <c r="O248" i="1" s="1"/>
  <c r="C248" i="1"/>
  <c r="L247" i="1"/>
  <c r="O247" i="1" s="1"/>
  <c r="C247" i="1"/>
  <c r="O246" i="1"/>
  <c r="L246" i="1"/>
  <c r="C246" i="1"/>
  <c r="L245" i="1"/>
  <c r="O245" i="1" s="1"/>
  <c r="C245" i="1"/>
  <c r="O244" i="1"/>
  <c r="L244" i="1"/>
  <c r="C244" i="1"/>
  <c r="L243" i="1"/>
  <c r="O243" i="1" s="1"/>
  <c r="C243" i="1"/>
  <c r="L242" i="1"/>
  <c r="O242" i="1" s="1"/>
  <c r="C242" i="1"/>
  <c r="O241" i="1"/>
  <c r="L241" i="1"/>
  <c r="C241" i="1"/>
  <c r="O240" i="1"/>
  <c r="L240" i="1"/>
  <c r="C240" i="1"/>
  <c r="L239" i="1"/>
  <c r="O239" i="1" s="1"/>
  <c r="C239" i="1"/>
  <c r="L238" i="1"/>
  <c r="O238" i="1" s="1"/>
  <c r="C238" i="1"/>
  <c r="L237" i="1"/>
  <c r="O237" i="1" s="1"/>
  <c r="C237" i="1"/>
  <c r="L236" i="1"/>
  <c r="O236" i="1" s="1"/>
  <c r="C236" i="1"/>
  <c r="O235" i="1"/>
  <c r="L235" i="1"/>
  <c r="C235" i="1"/>
  <c r="L234" i="1"/>
  <c r="O234" i="1" s="1"/>
  <c r="C234" i="1"/>
  <c r="L233" i="1"/>
  <c r="O233" i="1" s="1"/>
  <c r="C233" i="1"/>
  <c r="L232" i="1"/>
  <c r="O232" i="1" s="1"/>
  <c r="C232" i="1"/>
  <c r="L231" i="1"/>
  <c r="O231" i="1" s="1"/>
  <c r="C231" i="1"/>
  <c r="L230" i="1"/>
  <c r="O230" i="1" s="1"/>
  <c r="C230" i="1"/>
  <c r="L229" i="1"/>
  <c r="O229" i="1" s="1"/>
  <c r="C229" i="1"/>
  <c r="O228" i="1"/>
  <c r="L228" i="1"/>
  <c r="C228" i="1"/>
  <c r="L227" i="1"/>
  <c r="O227" i="1" s="1"/>
  <c r="C227" i="1"/>
  <c r="L226" i="1"/>
  <c r="O226" i="1" s="1"/>
  <c r="C226" i="1"/>
  <c r="L225" i="1"/>
  <c r="O225" i="1" s="1"/>
  <c r="C225" i="1"/>
  <c r="O224" i="1"/>
  <c r="L224" i="1"/>
  <c r="C224" i="1"/>
  <c r="L223" i="1"/>
  <c r="O223" i="1" s="1"/>
  <c r="C223" i="1"/>
  <c r="L222" i="1"/>
  <c r="O222" i="1" s="1"/>
  <c r="C222" i="1"/>
  <c r="L221" i="1"/>
  <c r="O221" i="1" s="1"/>
  <c r="C221" i="1"/>
  <c r="O220" i="1"/>
  <c r="L220" i="1"/>
  <c r="C220" i="1"/>
  <c r="O219" i="1"/>
  <c r="L219" i="1"/>
  <c r="C219" i="1"/>
  <c r="L218" i="1"/>
  <c r="O218" i="1" s="1"/>
  <c r="C218" i="1"/>
  <c r="L217" i="1"/>
  <c r="O217" i="1" s="1"/>
  <c r="C217" i="1"/>
  <c r="L216" i="1"/>
  <c r="O216" i="1" s="1"/>
  <c r="C216" i="1"/>
  <c r="L215" i="1"/>
  <c r="O215" i="1" s="1"/>
  <c r="C215" i="1"/>
  <c r="O214" i="1"/>
  <c r="L214" i="1"/>
  <c r="C214" i="1"/>
  <c r="L213" i="1"/>
  <c r="O213" i="1" s="1"/>
  <c r="C213" i="1"/>
  <c r="O212" i="1"/>
  <c r="L212" i="1"/>
  <c r="C212" i="1"/>
  <c r="L211" i="1"/>
  <c r="O211" i="1" s="1"/>
  <c r="C211" i="1"/>
  <c r="L210" i="1"/>
  <c r="O210" i="1" s="1"/>
  <c r="C210" i="1"/>
  <c r="L209" i="1"/>
  <c r="O209" i="1" s="1"/>
  <c r="C209" i="1"/>
  <c r="O208" i="1"/>
  <c r="L208" i="1"/>
  <c r="C208" i="1"/>
  <c r="L207" i="1"/>
  <c r="O207" i="1" s="1"/>
  <c r="C207" i="1"/>
  <c r="L206" i="1"/>
  <c r="O206" i="1" s="1"/>
  <c r="C206" i="1"/>
  <c r="L205" i="1"/>
  <c r="O205" i="1" s="1"/>
  <c r="C205" i="1"/>
  <c r="L204" i="1"/>
  <c r="O204" i="1" s="1"/>
  <c r="C204" i="1"/>
  <c r="O203" i="1"/>
  <c r="L203" i="1"/>
  <c r="C203" i="1"/>
  <c r="L202" i="1"/>
  <c r="O202" i="1" s="1"/>
  <c r="C202" i="1"/>
  <c r="L201" i="1"/>
  <c r="O201" i="1" s="1"/>
  <c r="C201" i="1"/>
  <c r="L200" i="1"/>
  <c r="O200" i="1" s="1"/>
  <c r="C200" i="1"/>
  <c r="L199" i="1"/>
  <c r="O199" i="1" s="1"/>
  <c r="C199" i="1"/>
  <c r="L198" i="1"/>
  <c r="O198" i="1" s="1"/>
  <c r="C198" i="1"/>
  <c r="L197" i="1"/>
  <c r="O197" i="1" s="1"/>
  <c r="C197" i="1"/>
  <c r="O196" i="1"/>
  <c r="L196" i="1"/>
  <c r="C196" i="1"/>
  <c r="L195" i="1"/>
  <c r="O195" i="1" s="1"/>
  <c r="C195" i="1"/>
  <c r="L194" i="1"/>
  <c r="O194" i="1" s="1"/>
  <c r="C194" i="1"/>
  <c r="O193" i="1"/>
  <c r="L193" i="1"/>
  <c r="C193" i="1"/>
  <c r="O192" i="1"/>
  <c r="L192" i="1"/>
  <c r="C192" i="1"/>
  <c r="L191" i="1"/>
  <c r="O191" i="1" s="1"/>
  <c r="C191" i="1"/>
  <c r="L190" i="1"/>
  <c r="O190" i="1" s="1"/>
  <c r="C190" i="1"/>
  <c r="L189" i="1"/>
  <c r="O189" i="1" s="1"/>
  <c r="C189" i="1"/>
  <c r="O188" i="1"/>
  <c r="L188" i="1"/>
  <c r="C188" i="1"/>
  <c r="O187" i="1"/>
  <c r="L187" i="1"/>
  <c r="C187" i="1"/>
  <c r="L186" i="1"/>
  <c r="O186" i="1" s="1"/>
  <c r="C186" i="1"/>
  <c r="L185" i="1"/>
  <c r="O185" i="1" s="1"/>
  <c r="C185" i="1"/>
  <c r="L184" i="1"/>
  <c r="O184" i="1" s="1"/>
  <c r="C184" i="1"/>
  <c r="L183" i="1"/>
  <c r="O183" i="1" s="1"/>
  <c r="C183" i="1"/>
  <c r="L182" i="1"/>
  <c r="O182" i="1" s="1"/>
  <c r="C182" i="1"/>
  <c r="L181" i="1"/>
  <c r="O181" i="1" s="1"/>
  <c r="C181" i="1"/>
  <c r="O180" i="1"/>
  <c r="L180" i="1"/>
  <c r="C180" i="1"/>
  <c r="L179" i="1"/>
  <c r="O179" i="1" s="1"/>
  <c r="C179" i="1"/>
  <c r="L178" i="1"/>
  <c r="O178" i="1" s="1"/>
  <c r="C178" i="1"/>
  <c r="L177" i="1"/>
  <c r="O177" i="1" s="1"/>
  <c r="C177" i="1"/>
  <c r="O176" i="1"/>
  <c r="L176" i="1"/>
  <c r="C176" i="1"/>
  <c r="L175" i="1"/>
  <c r="O175" i="1" s="1"/>
  <c r="C175" i="1"/>
  <c r="L174" i="1"/>
  <c r="O174" i="1" s="1"/>
  <c r="C174" i="1"/>
  <c r="L173" i="1"/>
  <c r="O173" i="1" s="1"/>
  <c r="C173" i="1"/>
  <c r="O172" i="1"/>
  <c r="L172" i="1"/>
  <c r="C172" i="1"/>
  <c r="O171" i="1"/>
  <c r="L171" i="1"/>
  <c r="C171" i="1"/>
  <c r="L170" i="1"/>
  <c r="O170" i="1" s="1"/>
  <c r="C170" i="1"/>
  <c r="L169" i="1"/>
  <c r="O169" i="1" s="1"/>
  <c r="C169" i="1"/>
  <c r="L168" i="1"/>
  <c r="O168" i="1" s="1"/>
  <c r="C168" i="1"/>
  <c r="L167" i="1"/>
  <c r="O167" i="1" s="1"/>
  <c r="C167" i="1"/>
  <c r="O166" i="1"/>
  <c r="L166" i="1"/>
  <c r="C166" i="1"/>
  <c r="L165" i="1"/>
  <c r="O165" i="1" s="1"/>
  <c r="C165" i="1"/>
  <c r="O164" i="1"/>
  <c r="L164" i="1"/>
  <c r="C164" i="1"/>
  <c r="L163" i="1"/>
  <c r="O163" i="1" s="1"/>
  <c r="C163" i="1"/>
  <c r="L162" i="1"/>
  <c r="O162" i="1" s="1"/>
  <c r="C162" i="1"/>
  <c r="O161" i="1"/>
  <c r="L161" i="1"/>
  <c r="C161" i="1"/>
  <c r="O160" i="1"/>
  <c r="L160" i="1"/>
  <c r="C160" i="1"/>
  <c r="L159" i="1"/>
  <c r="O159" i="1" s="1"/>
  <c r="C159" i="1"/>
  <c r="L158" i="1"/>
  <c r="O158" i="1" s="1"/>
  <c r="C158" i="1"/>
  <c r="L157" i="1"/>
  <c r="O157" i="1" s="1"/>
  <c r="C157" i="1"/>
  <c r="L156" i="1"/>
  <c r="O156" i="1" s="1"/>
  <c r="C156" i="1"/>
  <c r="O155" i="1"/>
  <c r="L155" i="1"/>
  <c r="C155" i="1"/>
  <c r="L154" i="1"/>
  <c r="O154" i="1" s="1"/>
  <c r="C154" i="1"/>
  <c r="L153" i="1"/>
  <c r="O153" i="1" s="1"/>
  <c r="C153" i="1"/>
  <c r="L152" i="1"/>
  <c r="O152" i="1" s="1"/>
  <c r="C152" i="1"/>
  <c r="L151" i="1"/>
  <c r="O151" i="1" s="1"/>
  <c r="C151" i="1"/>
  <c r="L150" i="1"/>
  <c r="O150" i="1" s="1"/>
  <c r="C150" i="1"/>
  <c r="L149" i="1"/>
  <c r="O149" i="1" s="1"/>
  <c r="C149" i="1"/>
  <c r="O148" i="1"/>
  <c r="L148" i="1"/>
  <c r="C148" i="1"/>
  <c r="L147" i="1"/>
  <c r="O147" i="1" s="1"/>
  <c r="C147" i="1"/>
  <c r="L146" i="1"/>
  <c r="O146" i="1" s="1"/>
  <c r="C146" i="1"/>
  <c r="O145" i="1"/>
  <c r="L145" i="1"/>
  <c r="C145" i="1"/>
  <c r="O144" i="1"/>
  <c r="L144" i="1"/>
  <c r="C144" i="1"/>
  <c r="L143" i="1"/>
  <c r="O143" i="1" s="1"/>
  <c r="C143" i="1"/>
  <c r="L142" i="1"/>
  <c r="O142" i="1" s="1"/>
  <c r="C142" i="1"/>
  <c r="L141" i="1"/>
  <c r="O141" i="1" s="1"/>
  <c r="C141" i="1"/>
  <c r="O140" i="1"/>
  <c r="L140" i="1"/>
  <c r="C140" i="1"/>
  <c r="O139" i="1"/>
  <c r="L139" i="1"/>
  <c r="C139" i="1"/>
  <c r="L138" i="1"/>
  <c r="O138" i="1" s="1"/>
  <c r="C138" i="1"/>
  <c r="L137" i="1"/>
  <c r="O137" i="1" s="1"/>
  <c r="C137" i="1"/>
  <c r="L136" i="1"/>
  <c r="O136" i="1" s="1"/>
  <c r="C136" i="1"/>
  <c r="L135" i="1"/>
  <c r="O135" i="1" s="1"/>
  <c r="C135" i="1"/>
  <c r="O134" i="1"/>
  <c r="L134" i="1"/>
  <c r="C134" i="1"/>
  <c r="L133" i="1"/>
  <c r="O133" i="1" s="1"/>
  <c r="C133" i="1"/>
  <c r="O132" i="1"/>
  <c r="L132" i="1"/>
  <c r="C132" i="1"/>
  <c r="L131" i="1"/>
  <c r="O131" i="1" s="1"/>
  <c r="C131" i="1"/>
  <c r="L130" i="1"/>
  <c r="O130" i="1" s="1"/>
  <c r="C130" i="1"/>
  <c r="L129" i="1"/>
  <c r="O129" i="1" s="1"/>
  <c r="C129" i="1"/>
  <c r="O128" i="1"/>
  <c r="L128" i="1"/>
  <c r="C128" i="1"/>
  <c r="L127" i="1"/>
  <c r="O127" i="1" s="1"/>
  <c r="C127" i="1"/>
  <c r="L126" i="1"/>
  <c r="O126" i="1" s="1"/>
  <c r="C126" i="1"/>
  <c r="L125" i="1"/>
  <c r="O125" i="1" s="1"/>
  <c r="C125" i="1"/>
  <c r="L124" i="1"/>
  <c r="O124" i="1" s="1"/>
  <c r="C124" i="1"/>
  <c r="O123" i="1"/>
  <c r="L123" i="1"/>
  <c r="C123" i="1"/>
  <c r="L122" i="1"/>
  <c r="O122" i="1" s="1"/>
  <c r="C122" i="1"/>
  <c r="L121" i="1"/>
  <c r="O121" i="1" s="1"/>
  <c r="C121" i="1"/>
  <c r="L120" i="1"/>
  <c r="O120" i="1" s="1"/>
  <c r="C120" i="1"/>
  <c r="L119" i="1"/>
  <c r="O119" i="1" s="1"/>
  <c r="C119" i="1"/>
  <c r="O118" i="1"/>
  <c r="L118" i="1"/>
  <c r="C118" i="1"/>
  <c r="L117" i="1"/>
  <c r="O117" i="1" s="1"/>
  <c r="C117" i="1"/>
  <c r="O116" i="1"/>
  <c r="L116" i="1"/>
  <c r="C116" i="1"/>
  <c r="L115" i="1"/>
  <c r="O115" i="1" s="1"/>
  <c r="C115" i="1"/>
  <c r="L114" i="1"/>
  <c r="O114" i="1" s="1"/>
  <c r="C114" i="1"/>
  <c r="O113" i="1"/>
  <c r="L113" i="1"/>
  <c r="C113" i="1"/>
  <c r="O112" i="1"/>
  <c r="L112" i="1"/>
  <c r="C112" i="1"/>
  <c r="L111" i="1"/>
  <c r="O111" i="1" s="1"/>
  <c r="C111" i="1"/>
  <c r="L110" i="1"/>
  <c r="O110" i="1" s="1"/>
  <c r="C110" i="1"/>
  <c r="L109" i="1"/>
  <c r="O109" i="1" s="1"/>
  <c r="C109" i="1"/>
  <c r="L108" i="1"/>
  <c r="O108" i="1" s="1"/>
  <c r="C108" i="1"/>
  <c r="O107" i="1"/>
  <c r="L107" i="1"/>
  <c r="C107" i="1"/>
  <c r="L106" i="1"/>
  <c r="O106" i="1" s="1"/>
  <c r="C106" i="1"/>
  <c r="L105" i="1"/>
  <c r="O105" i="1" s="1"/>
  <c r="C105" i="1"/>
  <c r="L104" i="1"/>
  <c r="O104" i="1" s="1"/>
  <c r="C104" i="1"/>
  <c r="L103" i="1"/>
  <c r="O103" i="1" s="1"/>
  <c r="C103" i="1"/>
  <c r="L102" i="1"/>
  <c r="O102" i="1" s="1"/>
  <c r="C102" i="1"/>
  <c r="L101" i="1"/>
  <c r="O101" i="1" s="1"/>
  <c r="C101" i="1"/>
  <c r="O100" i="1"/>
  <c r="L100" i="1"/>
  <c r="C100" i="1"/>
  <c r="L99" i="1"/>
  <c r="O99" i="1" s="1"/>
  <c r="C99" i="1"/>
  <c r="L98" i="1"/>
  <c r="O98" i="1" s="1"/>
  <c r="C98" i="1"/>
  <c r="L97" i="1"/>
  <c r="O97" i="1" s="1"/>
  <c r="C97" i="1"/>
  <c r="O96" i="1"/>
  <c r="L96" i="1"/>
  <c r="C96" i="1"/>
  <c r="L95" i="1"/>
  <c r="O95" i="1" s="1"/>
  <c r="C95" i="1"/>
  <c r="L94" i="1"/>
  <c r="O94" i="1" s="1"/>
  <c r="C94" i="1"/>
  <c r="L93" i="1"/>
  <c r="O93" i="1" s="1"/>
  <c r="C93" i="1"/>
  <c r="O92" i="1"/>
  <c r="L92" i="1"/>
  <c r="C92" i="1"/>
  <c r="O91" i="1"/>
  <c r="L91" i="1"/>
  <c r="C91" i="1"/>
  <c r="L90" i="1"/>
  <c r="O90" i="1" s="1"/>
  <c r="C90" i="1"/>
  <c r="L89" i="1"/>
  <c r="O89" i="1" s="1"/>
  <c r="C89" i="1"/>
  <c r="L88" i="1"/>
  <c r="O88" i="1" s="1"/>
  <c r="C88" i="1"/>
  <c r="L87" i="1"/>
  <c r="O87" i="1" s="1"/>
  <c r="C87" i="1"/>
  <c r="O86" i="1"/>
  <c r="L86" i="1"/>
  <c r="C86" i="1"/>
  <c r="L85" i="1"/>
  <c r="O85" i="1" s="1"/>
  <c r="C85" i="1"/>
  <c r="O84" i="1"/>
  <c r="L84" i="1"/>
  <c r="C84" i="1"/>
  <c r="L83" i="1"/>
  <c r="O83" i="1" s="1"/>
  <c r="C83" i="1"/>
  <c r="L82" i="1"/>
  <c r="O82" i="1" s="1"/>
  <c r="C82" i="1"/>
  <c r="L81" i="1"/>
  <c r="O81" i="1" s="1"/>
  <c r="C81" i="1"/>
  <c r="O80" i="1"/>
  <c r="L80" i="1"/>
  <c r="C80" i="1"/>
  <c r="L79" i="1"/>
  <c r="O79" i="1" s="1"/>
  <c r="C79" i="1"/>
  <c r="L78" i="1"/>
  <c r="O78" i="1" s="1"/>
  <c r="C78" i="1"/>
  <c r="L77" i="1"/>
  <c r="O77" i="1" s="1"/>
  <c r="C77" i="1"/>
  <c r="L76" i="1"/>
  <c r="O76" i="1" s="1"/>
  <c r="C76" i="1"/>
  <c r="O75" i="1"/>
  <c r="L75" i="1"/>
  <c r="C75" i="1"/>
  <c r="L74" i="1"/>
  <c r="O74" i="1" s="1"/>
  <c r="C74" i="1"/>
  <c r="L73" i="1"/>
  <c r="O73" i="1" s="1"/>
  <c r="C73" i="1"/>
  <c r="L72" i="1"/>
  <c r="O72" i="1" s="1"/>
  <c r="C72" i="1"/>
  <c r="L71" i="1"/>
  <c r="O71" i="1" s="1"/>
  <c r="C71" i="1"/>
  <c r="L70" i="1"/>
  <c r="O70" i="1" s="1"/>
  <c r="C70" i="1"/>
  <c r="L69" i="1"/>
  <c r="O69" i="1" s="1"/>
  <c r="C69" i="1"/>
  <c r="O68" i="1"/>
  <c r="L68" i="1"/>
  <c r="C68" i="1"/>
  <c r="L67" i="1"/>
  <c r="O67" i="1" s="1"/>
  <c r="C67" i="1"/>
  <c r="L66" i="1"/>
  <c r="O66" i="1" s="1"/>
  <c r="C66" i="1"/>
  <c r="O65" i="1"/>
  <c r="L65" i="1"/>
  <c r="C65" i="1"/>
  <c r="O64" i="1"/>
  <c r="L64" i="1"/>
  <c r="C64" i="1"/>
  <c r="L63" i="1"/>
  <c r="O63" i="1" s="1"/>
  <c r="C63" i="1"/>
  <c r="L62" i="1"/>
  <c r="O62" i="1" s="1"/>
  <c r="C62" i="1"/>
  <c r="L61" i="1"/>
  <c r="O61" i="1" s="1"/>
  <c r="C61" i="1"/>
  <c r="O60" i="1"/>
  <c r="L60" i="1"/>
  <c r="C60" i="1"/>
  <c r="O59" i="1"/>
  <c r="L59" i="1"/>
  <c r="C59" i="1"/>
  <c r="L58" i="1"/>
  <c r="O58" i="1" s="1"/>
  <c r="C58" i="1"/>
  <c r="L57" i="1"/>
  <c r="O57" i="1" s="1"/>
  <c r="C57" i="1"/>
  <c r="L56" i="1"/>
  <c r="O56" i="1" s="1"/>
  <c r="C56" i="1"/>
  <c r="L55" i="1"/>
  <c r="O55" i="1" s="1"/>
  <c r="C55" i="1"/>
  <c r="L54" i="1"/>
  <c r="O54" i="1" s="1"/>
  <c r="C54" i="1"/>
  <c r="L53" i="1"/>
  <c r="O53" i="1" s="1"/>
  <c r="C53" i="1"/>
  <c r="O52" i="1"/>
  <c r="L52" i="1"/>
  <c r="C52" i="1"/>
  <c r="L51" i="1"/>
  <c r="O51" i="1" s="1"/>
  <c r="C51" i="1"/>
  <c r="L50" i="1"/>
  <c r="O50" i="1" s="1"/>
  <c r="C50" i="1"/>
  <c r="L49" i="1"/>
  <c r="O49" i="1" s="1"/>
  <c r="C49" i="1"/>
  <c r="O48" i="1"/>
  <c r="L48" i="1"/>
  <c r="C48" i="1"/>
  <c r="L47" i="1"/>
  <c r="O47" i="1" s="1"/>
  <c r="C47" i="1"/>
  <c r="L46" i="1"/>
  <c r="O46" i="1" s="1"/>
  <c r="C46" i="1"/>
  <c r="L45" i="1"/>
  <c r="O45" i="1" s="1"/>
  <c r="C45" i="1"/>
  <c r="O44" i="1"/>
  <c r="L44" i="1"/>
  <c r="C44" i="1"/>
  <c r="O43" i="1"/>
  <c r="L43" i="1"/>
  <c r="C43" i="1"/>
  <c r="L42" i="1"/>
  <c r="O42" i="1" s="1"/>
  <c r="C42" i="1"/>
  <c r="L41" i="1"/>
  <c r="O41" i="1" s="1"/>
  <c r="C41" i="1"/>
  <c r="L40" i="1"/>
  <c r="O40" i="1" s="1"/>
  <c r="C40" i="1"/>
  <c r="L39" i="1"/>
  <c r="O39" i="1" s="1"/>
  <c r="C39" i="1"/>
  <c r="O38" i="1"/>
  <c r="L38" i="1"/>
  <c r="C38" i="1"/>
  <c r="L37" i="1"/>
  <c r="O37" i="1" s="1"/>
  <c r="C37" i="1"/>
  <c r="O36" i="1"/>
  <c r="L36" i="1"/>
  <c r="C36" i="1"/>
  <c r="L35" i="1"/>
  <c r="O35" i="1" s="1"/>
  <c r="C35" i="1"/>
  <c r="L34" i="1"/>
  <c r="O34" i="1" s="1"/>
  <c r="C34" i="1"/>
  <c r="O33" i="1"/>
  <c r="L33" i="1"/>
  <c r="C33" i="1"/>
  <c r="O32" i="1"/>
  <c r="L32" i="1"/>
  <c r="C32" i="1"/>
  <c r="L31" i="1"/>
  <c r="O31" i="1" s="1"/>
  <c r="C31" i="1"/>
  <c r="L30" i="1"/>
  <c r="O30" i="1" s="1"/>
  <c r="C30" i="1"/>
  <c r="L29" i="1"/>
  <c r="O29" i="1" s="1"/>
  <c r="C29" i="1"/>
  <c r="L28" i="1"/>
  <c r="O28" i="1" s="1"/>
  <c r="C28" i="1"/>
  <c r="O27" i="1"/>
  <c r="L27" i="1"/>
  <c r="C27" i="1"/>
  <c r="L26" i="1"/>
  <c r="O26" i="1" s="1"/>
  <c r="C26" i="1"/>
  <c r="L25" i="1"/>
  <c r="O25" i="1" s="1"/>
  <c r="C25" i="1"/>
  <c r="L24" i="1"/>
  <c r="O24" i="1" s="1"/>
  <c r="C24" i="1"/>
  <c r="L23" i="1"/>
  <c r="O23" i="1" s="1"/>
  <c r="C23" i="1"/>
  <c r="L22" i="1"/>
  <c r="O22" i="1" s="1"/>
  <c r="C22" i="1"/>
  <c r="L21" i="1"/>
  <c r="O21" i="1" s="1"/>
  <c r="C21" i="1"/>
  <c r="O20" i="1"/>
  <c r="L20" i="1"/>
  <c r="C20" i="1"/>
  <c r="L19" i="1"/>
  <c r="O19" i="1" s="1"/>
  <c r="C19" i="1"/>
  <c r="L18" i="1"/>
  <c r="O18" i="1" s="1"/>
  <c r="C18" i="1"/>
  <c r="O17" i="1"/>
  <c r="L17" i="1"/>
  <c r="C17" i="1"/>
  <c r="O16" i="1"/>
  <c r="L16" i="1"/>
  <c r="C16" i="1"/>
  <c r="L15" i="1"/>
  <c r="O15" i="1" s="1"/>
  <c r="C15" i="1"/>
  <c r="L14" i="1"/>
  <c r="O14" i="1" s="1"/>
  <c r="C14" i="1"/>
  <c r="L13" i="1"/>
  <c r="O13" i="1" s="1"/>
  <c r="C13" i="1"/>
  <c r="O12" i="1"/>
  <c r="L12" i="1"/>
  <c r="C12" i="1"/>
  <c r="O11" i="1"/>
  <c r="L11" i="1"/>
  <c r="C11" i="1"/>
  <c r="L10" i="1"/>
  <c r="O10" i="1" s="1"/>
  <c r="C10" i="1"/>
  <c r="L9" i="1"/>
  <c r="O9" i="1" s="1"/>
  <c r="C9" i="1"/>
  <c r="L8" i="1"/>
  <c r="O8" i="1" s="1"/>
  <c r="C8" i="1"/>
  <c r="L7" i="1"/>
  <c r="O7" i="1" s="1"/>
  <c r="C7" i="1"/>
  <c r="O6" i="1"/>
  <c r="L6" i="1"/>
  <c r="C6" i="1"/>
  <c r="L5" i="1"/>
  <c r="O5" i="1" s="1"/>
  <c r="C5" i="1"/>
  <c r="O4" i="1"/>
  <c r="L4" i="1"/>
  <c r="C4" i="1"/>
  <c r="L3" i="1"/>
  <c r="O3" i="1" s="1"/>
  <c r="C3" i="1"/>
  <c r="N2" i="1"/>
  <c r="L2" i="1"/>
  <c r="O2" i="1" s="1"/>
  <c r="C2" i="1"/>
  <c r="M2" i="1" l="1"/>
  <c r="P2" i="1"/>
</calcChain>
</file>

<file path=xl/sharedStrings.xml><?xml version="1.0" encoding="utf-8"?>
<sst xmlns="http://schemas.openxmlformats.org/spreadsheetml/2006/main" count="35017" uniqueCount="6133">
  <si>
    <t>Order_ID</t>
  </si>
  <si>
    <t>Order_Date</t>
  </si>
  <si>
    <t>Month</t>
  </si>
  <si>
    <t>Customer_ID</t>
  </si>
  <si>
    <t>Product_Category</t>
  </si>
  <si>
    <t>Product_Name</t>
  </si>
  <si>
    <t>Quantity</t>
  </si>
  <si>
    <t>Unit_Price</t>
  </si>
  <si>
    <t>Region</t>
  </si>
  <si>
    <t>Payment_Method</t>
  </si>
  <si>
    <t>Discount_%</t>
  </si>
  <si>
    <t>Total sales</t>
  </si>
  <si>
    <t>Total Average</t>
  </si>
  <si>
    <t>count</t>
  </si>
  <si>
    <t>Rating</t>
  </si>
  <si>
    <t>Average of rating</t>
  </si>
  <si>
    <t>State</t>
  </si>
  <si>
    <t>ORD10000</t>
  </si>
  <si>
    <t>CUST456</t>
  </si>
  <si>
    <t>Unknown</t>
  </si>
  <si>
    <t>Product_175</t>
  </si>
  <si>
    <t>South</t>
  </si>
  <si>
    <t>UPI</t>
  </si>
  <si>
    <t>Maharashtra</t>
  </si>
  <si>
    <t>ORD10001</t>
  </si>
  <si>
    <t>CUST317</t>
  </si>
  <si>
    <t>Clothing</t>
  </si>
  <si>
    <t>Product_105</t>
  </si>
  <si>
    <t>Debit Card</t>
  </si>
  <si>
    <t>ORD10002</t>
  </si>
  <si>
    <t>CUST727</t>
  </si>
  <si>
    <t>Toys</t>
  </si>
  <si>
    <t>West</t>
  </si>
  <si>
    <t>Gujrat</t>
  </si>
  <si>
    <t>ORD10003</t>
  </si>
  <si>
    <t>CUST439</t>
  </si>
  <si>
    <t>Beauty</t>
  </si>
  <si>
    <t>Product_142</t>
  </si>
  <si>
    <t>ORD10004</t>
  </si>
  <si>
    <t>CUST990</t>
  </si>
  <si>
    <t>Sports</t>
  </si>
  <si>
    <t>Product_95</t>
  </si>
  <si>
    <t>Cash on Delivery</t>
  </si>
  <si>
    <t>ORD10005</t>
  </si>
  <si>
    <t>CUST745</t>
  </si>
  <si>
    <t>Product_132</t>
  </si>
  <si>
    <t>Central</t>
  </si>
  <si>
    <t>Delhi</t>
  </si>
  <si>
    <t>ORD10006</t>
  </si>
  <si>
    <t>CUST712</t>
  </si>
  <si>
    <t>Electronics</t>
  </si>
  <si>
    <t>Product_36</t>
  </si>
  <si>
    <t>ORD10007</t>
  </si>
  <si>
    <t>CUST986</t>
  </si>
  <si>
    <t>Product_58</t>
  </si>
  <si>
    <t>ORD10008</t>
  </si>
  <si>
    <t>CUST750</t>
  </si>
  <si>
    <t>ORD10009</t>
  </si>
  <si>
    <t>CUST258</t>
  </si>
  <si>
    <t>Product_160</t>
  </si>
  <si>
    <t>ORD10010</t>
  </si>
  <si>
    <t>CUST764</t>
  </si>
  <si>
    <t>Home</t>
  </si>
  <si>
    <t>Product_134</t>
  </si>
  <si>
    <t>North</t>
  </si>
  <si>
    <t>Punjab</t>
  </si>
  <si>
    <t>ORD10011</t>
  </si>
  <si>
    <t>CUST190</t>
  </si>
  <si>
    <t>Product_8</t>
  </si>
  <si>
    <t>ORD10012</t>
  </si>
  <si>
    <t>CUST124</t>
  </si>
  <si>
    <t>Product_109</t>
  </si>
  <si>
    <t>Credit Card</t>
  </si>
  <si>
    <t>ORD10013</t>
  </si>
  <si>
    <t>CUST338</t>
  </si>
  <si>
    <t>Product_73</t>
  </si>
  <si>
    <t>ORD10014</t>
  </si>
  <si>
    <t>CUST643</t>
  </si>
  <si>
    <t>Product_125</t>
  </si>
  <si>
    <t>ORD10015</t>
  </si>
  <si>
    <t>CUST847</t>
  </si>
  <si>
    <t>Product_16</t>
  </si>
  <si>
    <t>ORD10016</t>
  </si>
  <si>
    <t>CUST294</t>
  </si>
  <si>
    <t>Product_168</t>
  </si>
  <si>
    <t>ORD10017</t>
  </si>
  <si>
    <t>CUST523</t>
  </si>
  <si>
    <t>Net Banking</t>
  </si>
  <si>
    <t>ORD10018</t>
  </si>
  <si>
    <t>CUST344</t>
  </si>
  <si>
    <t>Product_5</t>
  </si>
  <si>
    <t>ORD10019</t>
  </si>
  <si>
    <t>CUST834</t>
  </si>
  <si>
    <t>ORD10020</t>
  </si>
  <si>
    <t>Product_29</t>
  </si>
  <si>
    <t>ORD10021</t>
  </si>
  <si>
    <t>CUST877</t>
  </si>
  <si>
    <t>ORD10022</t>
  </si>
  <si>
    <t>CUST253</t>
  </si>
  <si>
    <t>Product_182</t>
  </si>
  <si>
    <t>ORD10023</t>
  </si>
  <si>
    <t>CUST835</t>
  </si>
  <si>
    <t>Product_150</t>
  </si>
  <si>
    <t>East</t>
  </si>
  <si>
    <t>Bihar</t>
  </si>
  <si>
    <t>ORD10024</t>
  </si>
  <si>
    <t>CUST308</t>
  </si>
  <si>
    <t>Product_57</t>
  </si>
  <si>
    <t>ORD10025</t>
  </si>
  <si>
    <t>CUST794</t>
  </si>
  <si>
    <t>Product_192</t>
  </si>
  <si>
    <t>ORD10026</t>
  </si>
  <si>
    <t>CUST407</t>
  </si>
  <si>
    <t>Product_71</t>
  </si>
  <si>
    <t>ORD10027</t>
  </si>
  <si>
    <t>CUST919</t>
  </si>
  <si>
    <t>Product_112</t>
  </si>
  <si>
    <t>ORD10028</t>
  </si>
  <si>
    <t>CUST993</t>
  </si>
  <si>
    <t>Product_53</t>
  </si>
  <si>
    <t>ORD10029</t>
  </si>
  <si>
    <t>CUST544</t>
  </si>
  <si>
    <t>Product_22</t>
  </si>
  <si>
    <t>ORD10030</t>
  </si>
  <si>
    <t>CUST691</t>
  </si>
  <si>
    <t>Product_158</t>
  </si>
  <si>
    <t>ORD10031</t>
  </si>
  <si>
    <t>CUST996</t>
  </si>
  <si>
    <t>Product_133</t>
  </si>
  <si>
    <t>ORD10032</t>
  </si>
  <si>
    <t>CUST324</t>
  </si>
  <si>
    <t>Product_127</t>
  </si>
  <si>
    <t>ORD10033</t>
  </si>
  <si>
    <t>CUST448</t>
  </si>
  <si>
    <t>Product_52</t>
  </si>
  <si>
    <t>ORD10034</t>
  </si>
  <si>
    <t>CUST842</t>
  </si>
  <si>
    <t>Product_62</t>
  </si>
  <si>
    <t>ORD10035</t>
  </si>
  <si>
    <t>Product_117</t>
  </si>
  <si>
    <t>ORD10036</t>
  </si>
  <si>
    <t>CUST605</t>
  </si>
  <si>
    <t>Product_162</t>
  </si>
  <si>
    <t>ORD10037</t>
  </si>
  <si>
    <t>CUST472</t>
  </si>
  <si>
    <t>Product_189</t>
  </si>
  <si>
    <t>ORD10038</t>
  </si>
  <si>
    <t>CUST969</t>
  </si>
  <si>
    <t>Product_149</t>
  </si>
  <si>
    <t>ORD10039</t>
  </si>
  <si>
    <t>CUST110</t>
  </si>
  <si>
    <t>Product_139</t>
  </si>
  <si>
    <t>ORD10040</t>
  </si>
  <si>
    <t>CUST465</t>
  </si>
  <si>
    <t>Product_188</t>
  </si>
  <si>
    <t>ORD10041</t>
  </si>
  <si>
    <t>CUST193</t>
  </si>
  <si>
    <t>Product_193</t>
  </si>
  <si>
    <t>ORD10042</t>
  </si>
  <si>
    <t>CUST880</t>
  </si>
  <si>
    <t>Product_33</t>
  </si>
  <si>
    <t>ORD10043</t>
  </si>
  <si>
    <t>CUST843</t>
  </si>
  <si>
    <t>ORD10044</t>
  </si>
  <si>
    <t>CUST667</t>
  </si>
  <si>
    <t>Product_195</t>
  </si>
  <si>
    <t>ORD10045</t>
  </si>
  <si>
    <t>CUST697</t>
  </si>
  <si>
    <t>ORD10046</t>
  </si>
  <si>
    <t>CUST681</t>
  </si>
  <si>
    <t>Product_91</t>
  </si>
  <si>
    <t>ORD10047</t>
  </si>
  <si>
    <t>CUST868</t>
  </si>
  <si>
    <t>Product_161</t>
  </si>
  <si>
    <t>ORD10048</t>
  </si>
  <si>
    <t>CUST150</t>
  </si>
  <si>
    <t>Product_163</t>
  </si>
  <si>
    <t>ORD10049</t>
  </si>
  <si>
    <t>CUST109</t>
  </si>
  <si>
    <t>Product_164</t>
  </si>
  <si>
    <t>ORD10050</t>
  </si>
  <si>
    <t>CUST422</t>
  </si>
  <si>
    <t>Product_32</t>
  </si>
  <si>
    <t>ORD10051</t>
  </si>
  <si>
    <t>CUST252</t>
  </si>
  <si>
    <t>Product_106</t>
  </si>
  <si>
    <t>ORD10052</t>
  </si>
  <si>
    <t>CUST933</t>
  </si>
  <si>
    <t>Product_7</t>
  </si>
  <si>
    <t>ORD10053</t>
  </si>
  <si>
    <t>Product_121</t>
  </si>
  <si>
    <t>ORD10054</t>
  </si>
  <si>
    <t>CUST155</t>
  </si>
  <si>
    <t>Product_38</t>
  </si>
  <si>
    <t>ORD10055</t>
  </si>
  <si>
    <t>CUST105</t>
  </si>
  <si>
    <t>ORD10056</t>
  </si>
  <si>
    <t>CUST225</t>
  </si>
  <si>
    <t>Product_77</t>
  </si>
  <si>
    <t>ORD10057</t>
  </si>
  <si>
    <t>CUST184</t>
  </si>
  <si>
    <t>Product_122</t>
  </si>
  <si>
    <t>ORD10058</t>
  </si>
  <si>
    <t>CUST339</t>
  </si>
  <si>
    <t>ORD10059</t>
  </si>
  <si>
    <t>Product_155</t>
  </si>
  <si>
    <t>ORD10060</t>
  </si>
  <si>
    <t>CUST275</t>
  </si>
  <si>
    <t>Product_101</t>
  </si>
  <si>
    <t>ORD10061</t>
  </si>
  <si>
    <t>CUST622</t>
  </si>
  <si>
    <t>Product_1</t>
  </si>
  <si>
    <t>ORD10062</t>
  </si>
  <si>
    <t>CUST660</t>
  </si>
  <si>
    <t>Product_169</t>
  </si>
  <si>
    <t>ORD10063</t>
  </si>
  <si>
    <t>CUST890</t>
  </si>
  <si>
    <t>Product_131</t>
  </si>
  <si>
    <t>ORD10064</t>
  </si>
  <si>
    <t>CUST824</t>
  </si>
  <si>
    <t>ORD10065</t>
  </si>
  <si>
    <t>CUST927</t>
  </si>
  <si>
    <t>Product_82</t>
  </si>
  <si>
    <t>ORD10066</t>
  </si>
  <si>
    <t>Product_69</t>
  </si>
  <si>
    <t>ORD10067</t>
  </si>
  <si>
    <t>CUST828</t>
  </si>
  <si>
    <t>ORD10068</t>
  </si>
  <si>
    <t>CUST421</t>
  </si>
  <si>
    <t>ORD10069</t>
  </si>
  <si>
    <t>CUST685</t>
  </si>
  <si>
    <t>Product_46</t>
  </si>
  <si>
    <t>ORD10070</t>
  </si>
  <si>
    <t>CUST561</t>
  </si>
  <si>
    <t>Product_79</t>
  </si>
  <si>
    <t>ORD10071</t>
  </si>
  <si>
    <t>CUST736</t>
  </si>
  <si>
    <t>Product_141</t>
  </si>
  <si>
    <t>ORD10072</t>
  </si>
  <si>
    <t>Product_37</t>
  </si>
  <si>
    <t>ORD10073</t>
  </si>
  <si>
    <t>CUST305</t>
  </si>
  <si>
    <t>Product_152</t>
  </si>
  <si>
    <t>ORD10074</t>
  </si>
  <si>
    <t>ORD10075</t>
  </si>
  <si>
    <t>CUST911</t>
  </si>
  <si>
    <t>Product_6</t>
  </si>
  <si>
    <t>ORD10076</t>
  </si>
  <si>
    <t>Product_43</t>
  </si>
  <si>
    <t>ORD10077</t>
  </si>
  <si>
    <t>CUST799</t>
  </si>
  <si>
    <t>Product_61</t>
  </si>
  <si>
    <t>ORD10078</t>
  </si>
  <si>
    <t>CUST628</t>
  </si>
  <si>
    <t>Product_92</t>
  </si>
  <si>
    <t>ORD10079</t>
  </si>
  <si>
    <t>CUST495</t>
  </si>
  <si>
    <t>Product_27</t>
  </si>
  <si>
    <t>ORD10080</t>
  </si>
  <si>
    <t>CUST463</t>
  </si>
  <si>
    <t>ORD10081</t>
  </si>
  <si>
    <t>ORD10082</t>
  </si>
  <si>
    <t>CUST229</t>
  </si>
  <si>
    <t>Product_47</t>
  </si>
  <si>
    <t>ORD10083</t>
  </si>
  <si>
    <t>ORD10084</t>
  </si>
  <si>
    <t>CUST654</t>
  </si>
  <si>
    <t>Product_14</t>
  </si>
  <si>
    <t>ORD10085</t>
  </si>
  <si>
    <t>CUST352</t>
  </si>
  <si>
    <t>Product_84</t>
  </si>
  <si>
    <t>ORD10086</t>
  </si>
  <si>
    <t>CUST114</t>
  </si>
  <si>
    <t>Product_72</t>
  </si>
  <si>
    <t>ORD10087</t>
  </si>
  <si>
    <t>CUST677</t>
  </si>
  <si>
    <t>ORD10088</t>
  </si>
  <si>
    <t>CUST144</t>
  </si>
  <si>
    <t>Product_66</t>
  </si>
  <si>
    <t>ORD10089</t>
  </si>
  <si>
    <t>CUST952</t>
  </si>
  <si>
    <t>Product_146</t>
  </si>
  <si>
    <t>ORD10090</t>
  </si>
  <si>
    <t>CUST170</t>
  </si>
  <si>
    <t>Product_123</t>
  </si>
  <si>
    <t>ORD10091</t>
  </si>
  <si>
    <t>CUST856</t>
  </si>
  <si>
    <t>ORD10092</t>
  </si>
  <si>
    <t>CUST164</t>
  </si>
  <si>
    <t>Product_3</t>
  </si>
  <si>
    <t>ORD10093</t>
  </si>
  <si>
    <t>CUST632</t>
  </si>
  <si>
    <t>Product_200</t>
  </si>
  <si>
    <t>ORD10094</t>
  </si>
  <si>
    <t>CUST636</t>
  </si>
  <si>
    <t>Product_157</t>
  </si>
  <si>
    <t>ORD10095</t>
  </si>
  <si>
    <t>CUST127</t>
  </si>
  <si>
    <t>Product_197</t>
  </si>
  <si>
    <t>ORD10096</t>
  </si>
  <si>
    <t>CUST405</t>
  </si>
  <si>
    <t>ORD10097</t>
  </si>
  <si>
    <t>CUST153</t>
  </si>
  <si>
    <t>Product_54</t>
  </si>
  <si>
    <t>ORD10098</t>
  </si>
  <si>
    <t>CUST761</t>
  </si>
  <si>
    <t>ORD10099</t>
  </si>
  <si>
    <t>CUST642</t>
  </si>
  <si>
    <t>Product_25</t>
  </si>
  <si>
    <t>ORD10100</t>
  </si>
  <si>
    <t>CUST528</t>
  </si>
  <si>
    <t>ORD10101</t>
  </si>
  <si>
    <t>CUST343</t>
  </si>
  <si>
    <t>Product_140</t>
  </si>
  <si>
    <t>ORD10102</t>
  </si>
  <si>
    <t>CUST748</t>
  </si>
  <si>
    <t>Product_113</t>
  </si>
  <si>
    <t>ORD10103</t>
  </si>
  <si>
    <t>CUST454</t>
  </si>
  <si>
    <t>Product_45</t>
  </si>
  <si>
    <t>ORD10104</t>
  </si>
  <si>
    <t>CUST143</t>
  </si>
  <si>
    <t>Product_170</t>
  </si>
  <si>
    <t>ORD10105</t>
  </si>
  <si>
    <t>CUST823</t>
  </si>
  <si>
    <t>Product_12</t>
  </si>
  <si>
    <t>ORD10106</t>
  </si>
  <si>
    <t>CUST963</t>
  </si>
  <si>
    <t>Product_177</t>
  </si>
  <si>
    <t>ORD10107</t>
  </si>
  <si>
    <t>CUST411</t>
  </si>
  <si>
    <t>Product_179</t>
  </si>
  <si>
    <t>ORD10108</t>
  </si>
  <si>
    <t>CUST350</t>
  </si>
  <si>
    <t>Product_23</t>
  </si>
  <si>
    <t>ORD10109</t>
  </si>
  <si>
    <t>CUST670</t>
  </si>
  <si>
    <t>ORD10110</t>
  </si>
  <si>
    <t>CUST659</t>
  </si>
  <si>
    <t>ORD10111</t>
  </si>
  <si>
    <t>CUST644</t>
  </si>
  <si>
    <t>Product_138</t>
  </si>
  <si>
    <t>ORD10112</t>
  </si>
  <si>
    <t>CUST502</t>
  </si>
  <si>
    <t>Product_28</t>
  </si>
  <si>
    <t>ORD10113</t>
  </si>
  <si>
    <t>CUST568</t>
  </si>
  <si>
    <t>Product_144</t>
  </si>
  <si>
    <t>ORD10114</t>
  </si>
  <si>
    <t>CUST571</t>
  </si>
  <si>
    <t>Product_74</t>
  </si>
  <si>
    <t>ORD10115</t>
  </si>
  <si>
    <t>CUST733</t>
  </si>
  <si>
    <t>Product_143</t>
  </si>
  <si>
    <t>ORD10116</t>
  </si>
  <si>
    <t>CUST117</t>
  </si>
  <si>
    <t>Product_64</t>
  </si>
  <si>
    <t>ORD10117</t>
  </si>
  <si>
    <t>CUST588</t>
  </si>
  <si>
    <t>Product_100</t>
  </si>
  <si>
    <t>ORD10118</t>
  </si>
  <si>
    <t>CUST321</t>
  </si>
  <si>
    <t>ORD10119</t>
  </si>
  <si>
    <t>Product_186</t>
  </si>
  <si>
    <t>ORD10120</t>
  </si>
  <si>
    <t>CUST663</t>
  </si>
  <si>
    <t>Product_11</t>
  </si>
  <si>
    <t>ORD10121</t>
  </si>
  <si>
    <t>CUST949</t>
  </si>
  <si>
    <t>Product_136</t>
  </si>
  <si>
    <t>ORD10122</t>
  </si>
  <si>
    <t>CUST580</t>
  </si>
  <si>
    <t>Product_4</t>
  </si>
  <si>
    <t>ORD10123</t>
  </si>
  <si>
    <t>CUST262</t>
  </si>
  <si>
    <t>Product_90</t>
  </si>
  <si>
    <t>ORD10124</t>
  </si>
  <si>
    <t>CUST326</t>
  </si>
  <si>
    <t>Product_166</t>
  </si>
  <si>
    <t>ORD10125</t>
  </si>
  <si>
    <t>CUST279</t>
  </si>
  <si>
    <t>ORD10126</t>
  </si>
  <si>
    <t>CUST540</t>
  </si>
  <si>
    <t>Product_18</t>
  </si>
  <si>
    <t>ORD10127</t>
  </si>
  <si>
    <t>CUST226</t>
  </si>
  <si>
    <t>Product_148</t>
  </si>
  <si>
    <t>ORD10128</t>
  </si>
  <si>
    <t>CUST210</t>
  </si>
  <si>
    <t>Product_83</t>
  </si>
  <si>
    <t>ORD10129</t>
  </si>
  <si>
    <t>CUST974</t>
  </si>
  <si>
    <t>ORD10130</t>
  </si>
  <si>
    <t>CUST408</t>
  </si>
  <si>
    <t>ORD10131</t>
  </si>
  <si>
    <t>CUST780</t>
  </si>
  <si>
    <t>ORD10132</t>
  </si>
  <si>
    <t>CUST312</t>
  </si>
  <si>
    <t>Product_10</t>
  </si>
  <si>
    <t>ORD10133</t>
  </si>
  <si>
    <t>CUST915</t>
  </si>
  <si>
    <t>ORD10134</t>
  </si>
  <si>
    <t>CUST798</t>
  </si>
  <si>
    <t>Product_114</t>
  </si>
  <si>
    <t>ORD10135</t>
  </si>
  <si>
    <t>CUST692</t>
  </si>
  <si>
    <t>Product_75</t>
  </si>
  <si>
    <t>ORD10136</t>
  </si>
  <si>
    <t>CUST173</t>
  </si>
  <si>
    <t>Product_17</t>
  </si>
  <si>
    <t>ORD10137</t>
  </si>
  <si>
    <t>CUST261</t>
  </si>
  <si>
    <t>Product_120</t>
  </si>
  <si>
    <t>ORD10138</t>
  </si>
  <si>
    <t>CUST449</t>
  </si>
  <si>
    <t>Product_19</t>
  </si>
  <si>
    <t>ORD10139</t>
  </si>
  <si>
    <t>Product_26</t>
  </si>
  <si>
    <t>ORD10140</t>
  </si>
  <si>
    <t>CUST980</t>
  </si>
  <si>
    <t>Product_167</t>
  </si>
  <si>
    <t>ORD10141</t>
  </si>
  <si>
    <t>CUST747</t>
  </si>
  <si>
    <t>Product_107</t>
  </si>
  <si>
    <t>ORD10142</t>
  </si>
  <si>
    <t>CUST276</t>
  </si>
  <si>
    <t>ORD10143</t>
  </si>
  <si>
    <t>CUST916</t>
  </si>
  <si>
    <t>ORD10144</t>
  </si>
  <si>
    <t>CUST754</t>
  </si>
  <si>
    <t>ORD10145</t>
  </si>
  <si>
    <t>CUST658</t>
  </si>
  <si>
    <t>Product_118</t>
  </si>
  <si>
    <t>ORD10146</t>
  </si>
  <si>
    <t>Product_173</t>
  </si>
  <si>
    <t>ORD10147</t>
  </si>
  <si>
    <t>Product_50</t>
  </si>
  <si>
    <t>ORD10148</t>
  </si>
  <si>
    <t>CUST562</t>
  </si>
  <si>
    <t>ORD10149</t>
  </si>
  <si>
    <t>CUST113</t>
  </si>
  <si>
    <t>ORD10150</t>
  </si>
  <si>
    <t>CUST881</t>
  </si>
  <si>
    <t>ORD10151</t>
  </si>
  <si>
    <t>CUST634</t>
  </si>
  <si>
    <t>Product_104</t>
  </si>
  <si>
    <t>ORD10152</t>
  </si>
  <si>
    <t>CUST120</t>
  </si>
  <si>
    <t>ORD10153</t>
  </si>
  <si>
    <t>CUST956</t>
  </si>
  <si>
    <t>Product_30</t>
  </si>
  <si>
    <t>ORD10154</t>
  </si>
  <si>
    <t>CUST771</t>
  </si>
  <si>
    <t>ORD10155</t>
  </si>
  <si>
    <t>CUST363</t>
  </si>
  <si>
    <t>ORD10156</t>
  </si>
  <si>
    <t>ORD10157</t>
  </si>
  <si>
    <t>ORD10158</t>
  </si>
  <si>
    <t>CUST362</t>
  </si>
  <si>
    <t>ORD10159</t>
  </si>
  <si>
    <t>CUST760</t>
  </si>
  <si>
    <t>ORD10160</t>
  </si>
  <si>
    <t>CUST387</t>
  </si>
  <si>
    <t>ORD10161</t>
  </si>
  <si>
    <t>ORD10162</t>
  </si>
  <si>
    <t>CUST273</t>
  </si>
  <si>
    <t>Product_15</t>
  </si>
  <si>
    <t>ORD10163</t>
  </si>
  <si>
    <t>CUST364</t>
  </si>
  <si>
    <t>Product_98</t>
  </si>
  <si>
    <t>ORD10164</t>
  </si>
  <si>
    <t>CUST590</t>
  </si>
  <si>
    <t>Product_85</t>
  </si>
  <si>
    <t>ORD10165</t>
  </si>
  <si>
    <t>Product_178</t>
  </si>
  <si>
    <t>ORD10166</t>
  </si>
  <si>
    <t>CUST553</t>
  </si>
  <si>
    <t>ORD10167</t>
  </si>
  <si>
    <t>CUST895</t>
  </si>
  <si>
    <t>ORD10168</t>
  </si>
  <si>
    <t>Product_198</t>
  </si>
  <si>
    <t>ORD10169</t>
  </si>
  <si>
    <t>ORD10170</t>
  </si>
  <si>
    <t>CUST386</t>
  </si>
  <si>
    <t>ORD10171</t>
  </si>
  <si>
    <t>ORD10172</t>
  </si>
  <si>
    <t>Product_39</t>
  </si>
  <si>
    <t>ORD10173</t>
  </si>
  <si>
    <t>Product_44</t>
  </si>
  <si>
    <t>ORD10174</t>
  </si>
  <si>
    <t>CUST318</t>
  </si>
  <si>
    <t>ORD10175</t>
  </si>
  <si>
    <t>CUST715</t>
  </si>
  <si>
    <t>ORD10176</t>
  </si>
  <si>
    <t>CUST140</t>
  </si>
  <si>
    <t>ORD10177</t>
  </si>
  <si>
    <t>CUST773</t>
  </si>
  <si>
    <t>ORD10178</t>
  </si>
  <si>
    <t>CUST232</t>
  </si>
  <si>
    <t>Product_180</t>
  </si>
  <si>
    <t>ORD10179</t>
  </si>
  <si>
    <t>CUST503</t>
  </si>
  <si>
    <t>ORD10180</t>
  </si>
  <si>
    <t>CUST311</t>
  </si>
  <si>
    <t>Product_111</t>
  </si>
  <si>
    <t>ORD10181</t>
  </si>
  <si>
    <t>CUST808</t>
  </si>
  <si>
    <t>ORD10182</t>
  </si>
  <si>
    <t>CUST759</t>
  </si>
  <si>
    <t>ORD10183</t>
  </si>
  <si>
    <t>CUST811</t>
  </si>
  <si>
    <t>Product_145</t>
  </si>
  <si>
    <t>ORD10184</t>
  </si>
  <si>
    <t>CUST905</t>
  </si>
  <si>
    <t>Product_124</t>
  </si>
  <si>
    <t>ORD10185</t>
  </si>
  <si>
    <t>CUST383</t>
  </si>
  <si>
    <t>Product_81</t>
  </si>
  <si>
    <t>ORD10186</t>
  </si>
  <si>
    <t>CUST331</t>
  </si>
  <si>
    <t>Product_86</t>
  </si>
  <si>
    <t>ORD10187</t>
  </si>
  <si>
    <t>CUST244</t>
  </si>
  <si>
    <t>Product_48</t>
  </si>
  <si>
    <t>ORD10188</t>
  </si>
  <si>
    <t>CUST587</t>
  </si>
  <si>
    <t>ORD10189</t>
  </si>
  <si>
    <t>CUST162</t>
  </si>
  <si>
    <t>ORD10190</t>
  </si>
  <si>
    <t>ORD10191</t>
  </si>
  <si>
    <t>CUST680</t>
  </si>
  <si>
    <t>ORD10192</t>
  </si>
  <si>
    <t>ORD10193</t>
  </si>
  <si>
    <t>CUST752</t>
  </si>
  <si>
    <t>ORD10194</t>
  </si>
  <si>
    <t>CUST530</t>
  </si>
  <si>
    <t>ORD10195</t>
  </si>
  <si>
    <t>CUST936</t>
  </si>
  <si>
    <t>Product_190</t>
  </si>
  <si>
    <t>ORD10196</t>
  </si>
  <si>
    <t>ORD10197</t>
  </si>
  <si>
    <t>CUST924</t>
  </si>
  <si>
    <t>ORD10198</t>
  </si>
  <si>
    <t>CUST172</t>
  </si>
  <si>
    <t>ORD10199</t>
  </si>
  <si>
    <t>ORD10200</t>
  </si>
  <si>
    <t>CUST431</t>
  </si>
  <si>
    <t>ORD10201</t>
  </si>
  <si>
    <t>CUST303</t>
  </si>
  <si>
    <t>Product_31</t>
  </si>
  <si>
    <t>ORD10202</t>
  </si>
  <si>
    <t>CUST296</t>
  </si>
  <si>
    <t>ORD10203</t>
  </si>
  <si>
    <t>CUST999</t>
  </si>
  <si>
    <t>ORD10204</t>
  </si>
  <si>
    <t>CUST531</t>
  </si>
  <si>
    <t>Product_68</t>
  </si>
  <si>
    <t>ORD10205</t>
  </si>
  <si>
    <t>CUST592</t>
  </si>
  <si>
    <t>ORD10206</t>
  </si>
  <si>
    <t>CUST705</t>
  </si>
  <si>
    <t>ORD10207</t>
  </si>
  <si>
    <t>ORD10208</t>
  </si>
  <si>
    <t>CUST651</t>
  </si>
  <si>
    <t>ORD10209</t>
  </si>
  <si>
    <t>CUST444</t>
  </si>
  <si>
    <t>ORD10210</t>
  </si>
  <si>
    <t>CUST934</t>
  </si>
  <si>
    <t>ORD10211</t>
  </si>
  <si>
    <t>CUST889</t>
  </si>
  <si>
    <t>ORD10212</t>
  </si>
  <si>
    <t>CUST358</t>
  </si>
  <si>
    <t>ORD10213</t>
  </si>
  <si>
    <t>ORD10214</t>
  </si>
  <si>
    <t>CUST191</t>
  </si>
  <si>
    <t>Product_191</t>
  </si>
  <si>
    <t>ORD10215</t>
  </si>
  <si>
    <t>CUST228</t>
  </si>
  <si>
    <t>ORD10216</t>
  </si>
  <si>
    <t>CUST848</t>
  </si>
  <si>
    <t>ORD10217</t>
  </si>
  <si>
    <t>CUST719</t>
  </si>
  <si>
    <t>ORD10218</t>
  </si>
  <si>
    <t>CUST804</t>
  </si>
  <si>
    <t>ORD10219</t>
  </si>
  <si>
    <t>ORD10220</t>
  </si>
  <si>
    <t>Product_42</t>
  </si>
  <si>
    <t>ORD10221</t>
  </si>
  <si>
    <t>ORD10222</t>
  </si>
  <si>
    <t>ORD10223</t>
  </si>
  <si>
    <t>CUST948</t>
  </si>
  <si>
    <t>ORD10224</t>
  </si>
  <si>
    <t>CUST356</t>
  </si>
  <si>
    <t>ORD10225</t>
  </si>
  <si>
    <t>CUST433</t>
  </si>
  <si>
    <t>ORD10226</t>
  </si>
  <si>
    <t>CUST917</t>
  </si>
  <si>
    <t>ORD10227</t>
  </si>
  <si>
    <t>Product_93</t>
  </si>
  <si>
    <t>ORD10228</t>
  </si>
  <si>
    <t>CUST178</t>
  </si>
  <si>
    <t>ORD10229</t>
  </si>
  <si>
    <t>ORD10230</t>
  </si>
  <si>
    <t>CUST298</t>
  </si>
  <si>
    <t>ORD10231</t>
  </si>
  <si>
    <t>CUST187</t>
  </si>
  <si>
    <t>ORD10232</t>
  </si>
  <si>
    <t>CUST539</t>
  </si>
  <si>
    <t>ORD10233</t>
  </si>
  <si>
    <t>CUST546</t>
  </si>
  <si>
    <t>ORD10234</t>
  </si>
  <si>
    <t>CUST838</t>
  </si>
  <si>
    <t>ORD10235</t>
  </si>
  <si>
    <t>ORD10236</t>
  </si>
  <si>
    <t>CUST862</t>
  </si>
  <si>
    <t>ORD10237</t>
  </si>
  <si>
    <t>CUST432</t>
  </si>
  <si>
    <t>ORD10238</t>
  </si>
  <si>
    <t>CUST795</t>
  </si>
  <si>
    <t>Product_13</t>
  </si>
  <si>
    <t>ORD10239</t>
  </si>
  <si>
    <t>CUST337</t>
  </si>
  <si>
    <t>ORD10240</t>
  </si>
  <si>
    <t>CUST621</t>
  </si>
  <si>
    <t>ORD10241</t>
  </si>
  <si>
    <t>ORD10242</t>
  </si>
  <si>
    <t>CUST334</t>
  </si>
  <si>
    <t>Product_60</t>
  </si>
  <si>
    <t>ORD10243</t>
  </si>
  <si>
    <t>CUST460</t>
  </si>
  <si>
    <t>ORD10244</t>
  </si>
  <si>
    <t>CUST614</t>
  </si>
  <si>
    <t>ORD10245</t>
  </si>
  <si>
    <t>CUST416</t>
  </si>
  <si>
    <t>ORD10246</t>
  </si>
  <si>
    <t>CUST526</t>
  </si>
  <si>
    <t>ORD10247</t>
  </si>
  <si>
    <t>CUST288</t>
  </si>
  <si>
    <t>ORD10248</t>
  </si>
  <si>
    <t>CUST171</t>
  </si>
  <si>
    <t>ORD10249</t>
  </si>
  <si>
    <t>CUST992</t>
  </si>
  <si>
    <t>Product_165</t>
  </si>
  <si>
    <t>ORD10250</t>
  </si>
  <si>
    <t>ORD10251</t>
  </si>
  <si>
    <t>CUST559</t>
  </si>
  <si>
    <t>Product_130</t>
  </si>
  <si>
    <t>ORD10252</t>
  </si>
  <si>
    <t>CUST852</t>
  </si>
  <si>
    <t>ORD10253</t>
  </si>
  <si>
    <t>CUST855</t>
  </si>
  <si>
    <t>ORD10254</t>
  </si>
  <si>
    <t>CUST537</t>
  </si>
  <si>
    <t>ORD10255</t>
  </si>
  <si>
    <t>CUST245</t>
  </si>
  <si>
    <t>ORD10256</t>
  </si>
  <si>
    <t>CUST123</t>
  </si>
  <si>
    <t>Product_108</t>
  </si>
  <si>
    <t>ORD10257</t>
  </si>
  <si>
    <t>CUST906</t>
  </si>
  <si>
    <t>ORD10258</t>
  </si>
  <si>
    <t>CUST112</t>
  </si>
  <si>
    <t>Product_21</t>
  </si>
  <si>
    <t>ORD10259</t>
  </si>
  <si>
    <t>CUST774</t>
  </si>
  <si>
    <t>Product_63</t>
  </si>
  <si>
    <t>ORD10260</t>
  </si>
  <si>
    <t>CUST696</t>
  </si>
  <si>
    <t>ORD10261</t>
  </si>
  <si>
    <t>CUST901</t>
  </si>
  <si>
    <t>ORD10262</t>
  </si>
  <si>
    <t>CUST647</t>
  </si>
  <si>
    <t>ORD10263</t>
  </si>
  <si>
    <t>CUST655</t>
  </si>
  <si>
    <t>ORD10264</t>
  </si>
  <si>
    <t>CUST314</t>
  </si>
  <si>
    <t>ORD10265</t>
  </si>
  <si>
    <t>CUST212</t>
  </si>
  <si>
    <t>ORD10266</t>
  </si>
  <si>
    <t>CUST399</t>
  </si>
  <si>
    <t>ORD10267</t>
  </si>
  <si>
    <t>ORD10268</t>
  </si>
  <si>
    <t>CUST266</t>
  </si>
  <si>
    <t>ORD10269</t>
  </si>
  <si>
    <t>Product_187</t>
  </si>
  <si>
    <t>ORD10270</t>
  </si>
  <si>
    <t>CUST958</t>
  </si>
  <si>
    <t>Product_126</t>
  </si>
  <si>
    <t>ORD10271</t>
  </si>
  <si>
    <t>CUST415</t>
  </si>
  <si>
    <t>ORD10272</t>
  </si>
  <si>
    <t>ORD10273</t>
  </si>
  <si>
    <t>CUST188</t>
  </si>
  <si>
    <t>Product_65</t>
  </si>
  <si>
    <t>ORD10274</t>
  </si>
  <si>
    <t>CUST196</t>
  </si>
  <si>
    <t>Product_171</t>
  </si>
  <si>
    <t>ORD10275</t>
  </si>
  <si>
    <t>Product_199</t>
  </si>
  <si>
    <t>ORD10276</t>
  </si>
  <si>
    <t>CUST189</t>
  </si>
  <si>
    <t>ORD10277</t>
  </si>
  <si>
    <t>CUST223</t>
  </si>
  <si>
    <t>ORD10278</t>
  </si>
  <si>
    <t>ORD10279</t>
  </si>
  <si>
    <t>CUST815</t>
  </si>
  <si>
    <t>Product_94</t>
  </si>
  <si>
    <t>ORD10280</t>
  </si>
  <si>
    <t>Product_96</t>
  </si>
  <si>
    <t>ORD10281</t>
  </si>
  <si>
    <t>CUST435</t>
  </si>
  <si>
    <t>ORD10282</t>
  </si>
  <si>
    <t>ORD10283</t>
  </si>
  <si>
    <t>Product_184</t>
  </si>
  <si>
    <t>ORD10284</t>
  </si>
  <si>
    <t>CUST545</t>
  </si>
  <si>
    <t>ORD10285</t>
  </si>
  <si>
    <t>CUST662</t>
  </si>
  <si>
    <t>ORD10286</t>
  </si>
  <si>
    <t>Product_20</t>
  </si>
  <si>
    <t>ORD10287</t>
  </si>
  <si>
    <t>CUST918</t>
  </si>
  <si>
    <t>Product_183</t>
  </si>
  <si>
    <t>ORD10288</t>
  </si>
  <si>
    <t>ORD10289</t>
  </si>
  <si>
    <t>CUST516</t>
  </si>
  <si>
    <t>ORD10290</t>
  </si>
  <si>
    <t>CUST740</t>
  </si>
  <si>
    <t>ORD10291</t>
  </si>
  <si>
    <t>CUST596</t>
  </si>
  <si>
    <t>Product_99</t>
  </si>
  <si>
    <t>ORD10292</t>
  </si>
  <si>
    <t>Product_40</t>
  </si>
  <si>
    <t>ORD10293</t>
  </si>
  <si>
    <t>ORD10294</t>
  </si>
  <si>
    <t>CUST426</t>
  </si>
  <si>
    <t>ORD10295</t>
  </si>
  <si>
    <t>CUST977</t>
  </si>
  <si>
    <t>ORD10296</t>
  </si>
  <si>
    <t>ORD10297</t>
  </si>
  <si>
    <t>CUST858</t>
  </si>
  <si>
    <t>ORD10298</t>
  </si>
  <si>
    <t>CUST624</t>
  </si>
  <si>
    <t>ORD10299</t>
  </si>
  <si>
    <t>ORD10300</t>
  </si>
  <si>
    <t>ORD10301</t>
  </si>
  <si>
    <t>CUST290</t>
  </si>
  <si>
    <t>ORD10302</t>
  </si>
  <si>
    <t>ORD10303</t>
  </si>
  <si>
    <t>Product_97</t>
  </si>
  <si>
    <t>ORD10304</t>
  </si>
  <si>
    <t>CUST566</t>
  </si>
  <si>
    <t>ORD10305</t>
  </si>
  <si>
    <t>CUST481</t>
  </si>
  <si>
    <t>ORD10306</t>
  </si>
  <si>
    <t>CUST138</t>
  </si>
  <si>
    <t>ORD10307</t>
  </si>
  <si>
    <t>ORD10308</t>
  </si>
  <si>
    <t>CUST683</t>
  </si>
  <si>
    <t>ORD10309</t>
  </si>
  <si>
    <t>CUST615</t>
  </si>
  <si>
    <t>ORD10310</t>
  </si>
  <si>
    <t>CUST648</t>
  </si>
  <si>
    <t>ORD10311</t>
  </si>
  <si>
    <t>CUST483</t>
  </si>
  <si>
    <t>ORD10312</t>
  </si>
  <si>
    <t>CUST613</t>
  </si>
  <si>
    <t>ORD10313</t>
  </si>
  <si>
    <t>CUST725</t>
  </si>
  <si>
    <t>ORD10314</t>
  </si>
  <si>
    <t>CUST291</t>
  </si>
  <si>
    <t>ORD10315</t>
  </si>
  <si>
    <t>CUST417</t>
  </si>
  <si>
    <t>ORD10316</t>
  </si>
  <si>
    <t>CUST968</t>
  </si>
  <si>
    <t>ORD10317</t>
  </si>
  <si>
    <t>ORD10318</t>
  </si>
  <si>
    <t>CUST688</t>
  </si>
  <si>
    <t>ORD10319</t>
  </si>
  <si>
    <t>CUST506</t>
  </si>
  <si>
    <t>ORD10320</t>
  </si>
  <si>
    <t>CUST146</t>
  </si>
  <si>
    <t>ORD10321</t>
  </si>
  <si>
    <t>CUST233</t>
  </si>
  <si>
    <t>ORD10322</t>
  </si>
  <si>
    <t>CUST572</t>
  </si>
  <si>
    <t>ORD10323</t>
  </si>
  <si>
    <t>ORD10324</t>
  </si>
  <si>
    <t>CUST785</t>
  </si>
  <si>
    <t>Product_2</t>
  </si>
  <si>
    <t>ORD10325</t>
  </si>
  <si>
    <t>ORD10326</t>
  </si>
  <si>
    <t>ORD10327</t>
  </si>
  <si>
    <t>CUST269</t>
  </si>
  <si>
    <t>ORD10328</t>
  </si>
  <si>
    <t>CUST239</t>
  </si>
  <si>
    <t>ORD10329</t>
  </si>
  <si>
    <t>CUST192</t>
  </si>
  <si>
    <t>ORD10330</t>
  </si>
  <si>
    <t>CUST601</t>
  </si>
  <si>
    <t>Product_102</t>
  </si>
  <si>
    <t>ORD10331</t>
  </si>
  <si>
    <t>CUST770</t>
  </si>
  <si>
    <t>ORD10332</t>
  </si>
  <si>
    <t>CUST797</t>
  </si>
  <si>
    <t>ORD10333</t>
  </si>
  <si>
    <t>CUST393</t>
  </si>
  <si>
    <t>Product_24</t>
  </si>
  <si>
    <t>ORD10334</t>
  </si>
  <si>
    <t>CUST347</t>
  </si>
  <si>
    <t>ORD10335</t>
  </si>
  <si>
    <t>CUST603</t>
  </si>
  <si>
    <t>ORD10336</t>
  </si>
  <si>
    <t>ORD10337</t>
  </si>
  <si>
    <t>ORD10338</t>
  </si>
  <si>
    <t>ORD10339</t>
  </si>
  <si>
    <t>ORD10340</t>
  </si>
  <si>
    <t>CUST892</t>
  </si>
  <si>
    <t>ORD10341</t>
  </si>
  <si>
    <t>CUST943</t>
  </si>
  <si>
    <t>ORD10342</t>
  </si>
  <si>
    <t>CUST875</t>
  </si>
  <si>
    <t>Product_147</t>
  </si>
  <si>
    <t>ORD10343</t>
  </si>
  <si>
    <t>CUST979</t>
  </si>
  <si>
    <t>ORD10344</t>
  </si>
  <si>
    <t>CUST898</t>
  </si>
  <si>
    <t>ORD10345</t>
  </si>
  <si>
    <t>CUST209</t>
  </si>
  <si>
    <t>ORD10346</t>
  </si>
  <si>
    <t>CUST981</t>
  </si>
  <si>
    <t>ORD10347</t>
  </si>
  <si>
    <t>CUST462</t>
  </si>
  <si>
    <t>Product_156</t>
  </si>
  <si>
    <t>ORD10348</t>
  </si>
  <si>
    <t>ORD10349</t>
  </si>
  <si>
    <t>ORD10350</t>
  </si>
  <si>
    <t>CUST995</t>
  </si>
  <si>
    <t>ORD10351</t>
  </si>
  <si>
    <t>ORD10352</t>
  </si>
  <si>
    <t>ORD10353</t>
  </si>
  <si>
    <t>CUST297</t>
  </si>
  <si>
    <t>ORD10354</t>
  </si>
  <si>
    <t>CUST944</t>
  </si>
  <si>
    <t>ORD10355</t>
  </si>
  <si>
    <t>ORD10356</t>
  </si>
  <si>
    <t>CUST447</t>
  </si>
  <si>
    <t>ORD10357</t>
  </si>
  <si>
    <t>CUST182</t>
  </si>
  <si>
    <t>ORD10358</t>
  </si>
  <si>
    <t>CUST839</t>
  </si>
  <si>
    <t>ORD10359</t>
  </si>
  <si>
    <t>CUST286</t>
  </si>
  <si>
    <t>ORD10360</t>
  </si>
  <si>
    <t>ORD10361</t>
  </si>
  <si>
    <t>CUST909</t>
  </si>
  <si>
    <t>Product_129</t>
  </si>
  <si>
    <t>ORD10362</t>
  </si>
  <si>
    <t>CUST485</t>
  </si>
  <si>
    <t>ORD10363</t>
  </si>
  <si>
    <t>CUST818</t>
  </si>
  <si>
    <t>Product_110</t>
  </si>
  <si>
    <t>ORD10364</t>
  </si>
  <si>
    <t>CUST504</t>
  </si>
  <si>
    <t>ORD10365</t>
  </si>
  <si>
    <t>ORD10366</t>
  </si>
  <si>
    <t>CUST870</t>
  </si>
  <si>
    <t>ORD10367</t>
  </si>
  <si>
    <t>CUST219</t>
  </si>
  <si>
    <t>ORD10368</t>
  </si>
  <si>
    <t>ORD10369</t>
  </si>
  <si>
    <t>CUST786</t>
  </si>
  <si>
    <t>ORD10370</t>
  </si>
  <si>
    <t>CUST482</t>
  </si>
  <si>
    <t>ORD10371</t>
  </si>
  <si>
    <t>ORD10372</t>
  </si>
  <si>
    <t>ORD10373</t>
  </si>
  <si>
    <t>CUST345</t>
  </si>
  <si>
    <t>ORD10374</t>
  </si>
  <si>
    <t>CUST676</t>
  </si>
  <si>
    <t>ORD10375</t>
  </si>
  <si>
    <t>CUST645</t>
  </si>
  <si>
    <t>ORD10376</t>
  </si>
  <si>
    <t>CUST984</t>
  </si>
  <si>
    <t>ORD10377</t>
  </si>
  <si>
    <t>CUST899</t>
  </si>
  <si>
    <t>ORD10378</t>
  </si>
  <si>
    <t>Product_70</t>
  </si>
  <si>
    <t>ORD10379</t>
  </si>
  <si>
    <t>CUST602</t>
  </si>
  <si>
    <t>ORD10380</t>
  </si>
  <si>
    <t>CUST302</t>
  </si>
  <si>
    <t>ORD10381</t>
  </si>
  <si>
    <t>CUST612</t>
  </si>
  <si>
    <t>ORD10382</t>
  </si>
  <si>
    <t>CUST563</t>
  </si>
  <si>
    <t>ORD10383</t>
  </si>
  <si>
    <t>CUST618</t>
  </si>
  <si>
    <t>ORD10384</t>
  </si>
  <si>
    <t>CUST174</t>
  </si>
  <si>
    <t>Product_9</t>
  </si>
  <si>
    <t>ORD10385</t>
  </si>
  <si>
    <t>CUST101</t>
  </si>
  <si>
    <t>ORD10386</t>
  </si>
  <si>
    <t>CUST222</t>
  </si>
  <si>
    <t>ORD10387</t>
  </si>
  <si>
    <t>CUST900</t>
  </si>
  <si>
    <t>ORD10388</t>
  </si>
  <si>
    <t>CUST285</t>
  </si>
  <si>
    <t>Product_135</t>
  </si>
  <si>
    <t>ORD10389</t>
  </si>
  <si>
    <t>ORD10390</t>
  </si>
  <si>
    <t>CUST152</t>
  </si>
  <si>
    <t>Product_154</t>
  </si>
  <si>
    <t>ORD10391</t>
  </si>
  <si>
    <t>CUST125</t>
  </si>
  <si>
    <t>ORD10392</t>
  </si>
  <si>
    <t>CUST836</t>
  </si>
  <si>
    <t>ORD10393</t>
  </si>
  <si>
    <t>CUST932</t>
  </si>
  <si>
    <t>ORD10394</t>
  </si>
  <si>
    <t>ORD10395</t>
  </si>
  <si>
    <t>ORD10396</t>
  </si>
  <si>
    <t>ORD10397</t>
  </si>
  <si>
    <t>CUST950</t>
  </si>
  <si>
    <t>ORD10398</t>
  </si>
  <si>
    <t>CUST846</t>
  </si>
  <si>
    <t>ORD10399</t>
  </si>
  <si>
    <t>ORD10400</t>
  </si>
  <si>
    <t>ORD10401</t>
  </si>
  <si>
    <t>CUST379</t>
  </si>
  <si>
    <t>ORD10402</t>
  </si>
  <si>
    <t>Product_56</t>
  </si>
  <si>
    <t>ORD10403</t>
  </si>
  <si>
    <t>ORD10404</t>
  </si>
  <si>
    <t>CUST418</t>
  </si>
  <si>
    <t>ORD10405</t>
  </si>
  <si>
    <t>ORD10406</t>
  </si>
  <si>
    <t>CUST616</t>
  </si>
  <si>
    <t>Product_49</t>
  </si>
  <si>
    <t>ORD10407</t>
  </si>
  <si>
    <t>ORD10408</t>
  </si>
  <si>
    <t>ORD10409</t>
  </si>
  <si>
    <t>CUST142</t>
  </si>
  <si>
    <t>Product_196</t>
  </si>
  <si>
    <t>ORD10410</t>
  </si>
  <si>
    <t>ORD10411</t>
  </si>
  <si>
    <t>CUST131</t>
  </si>
  <si>
    <t>ORD10412</t>
  </si>
  <si>
    <t>CUST480</t>
  </si>
  <si>
    <t>ORD10413</t>
  </si>
  <si>
    <t>CUST803</t>
  </si>
  <si>
    <t>ORD10414</t>
  </si>
  <si>
    <t>ORD10415</t>
  </si>
  <si>
    <t>CUST513</t>
  </si>
  <si>
    <t>ORD10416</t>
  </si>
  <si>
    <t>CUST186</t>
  </si>
  <si>
    <t>ORD10417</t>
  </si>
  <si>
    <t>CUST700</t>
  </si>
  <si>
    <t>ORD10418</t>
  </si>
  <si>
    <t>CUST475</t>
  </si>
  <si>
    <t>ORD10419</t>
  </si>
  <si>
    <t>ORD10420</t>
  </si>
  <si>
    <t>ORD10421</t>
  </si>
  <si>
    <t>ORD10422</t>
  </si>
  <si>
    <t>CUST205</t>
  </si>
  <si>
    <t>ORD10423</t>
  </si>
  <si>
    <t>ORD10424</t>
  </si>
  <si>
    <t>Product_172</t>
  </si>
  <si>
    <t>ORD10425</t>
  </si>
  <si>
    <t>CUST524</t>
  </si>
  <si>
    <t>ORD10426</t>
  </si>
  <si>
    <t>CUST381</t>
  </si>
  <si>
    <t>ORD10427</t>
  </si>
  <si>
    <t>ORD10428</t>
  </si>
  <si>
    <t>Product_194</t>
  </si>
  <si>
    <t>ORD10429</t>
  </si>
  <si>
    <t>CUST867</t>
  </si>
  <si>
    <t>ORD10430</t>
  </si>
  <si>
    <t>ORD10431</t>
  </si>
  <si>
    <t>CUST306</t>
  </si>
  <si>
    <t>ORD10432</t>
  </si>
  <si>
    <t>CUST879</t>
  </si>
  <si>
    <t>Product_153</t>
  </si>
  <si>
    <t>ORD10433</t>
  </si>
  <si>
    <t>CUST349</t>
  </si>
  <si>
    <t>ORD10434</t>
  </si>
  <si>
    <t>CUST573</t>
  </si>
  <si>
    <t>Product_41</t>
  </si>
  <si>
    <t>ORD10435</t>
  </si>
  <si>
    <t>CUST468</t>
  </si>
  <si>
    <t>ORD10436</t>
  </si>
  <si>
    <t>ORD10437</t>
  </si>
  <si>
    <t>ORD10438</t>
  </si>
  <si>
    <t>CUST726</t>
  </si>
  <si>
    <t>ORD10439</t>
  </si>
  <si>
    <t>ORD10440</t>
  </si>
  <si>
    <t>CUST413</t>
  </si>
  <si>
    <t>ORD10441</t>
  </si>
  <si>
    <t>CUST772</t>
  </si>
  <si>
    <t>ORD10442</t>
  </si>
  <si>
    <t>ORD10443</t>
  </si>
  <si>
    <t>ORD10444</t>
  </si>
  <si>
    <t>CUST118</t>
  </si>
  <si>
    <t>ORD10445</t>
  </si>
  <si>
    <t>ORD10446</t>
  </si>
  <si>
    <t>CUST166</t>
  </si>
  <si>
    <t>ORD10447</t>
  </si>
  <si>
    <t>CUST346</t>
  </si>
  <si>
    <t>ORD10448</t>
  </si>
  <si>
    <t>ORD10449</t>
  </si>
  <si>
    <t>CUST484</t>
  </si>
  <si>
    <t>ORD10450</t>
  </si>
  <si>
    <t>ORD10451</t>
  </si>
  <si>
    <t>ORD10452</t>
  </si>
  <si>
    <t>CUST860</t>
  </si>
  <si>
    <t>ORD10453</t>
  </si>
  <si>
    <t>CUST903</t>
  </si>
  <si>
    <t>ORD10454</t>
  </si>
  <si>
    <t>ORD10455</t>
  </si>
  <si>
    <t>CUST805</t>
  </si>
  <si>
    <t>ORD10456</t>
  </si>
  <si>
    <t>CUST641</t>
  </si>
  <si>
    <t>Product_76</t>
  </si>
  <si>
    <t>ORD10457</t>
  </si>
  <si>
    <t>ORD10458</t>
  </si>
  <si>
    <t>ORD10459</t>
  </si>
  <si>
    <t>ORD10460</t>
  </si>
  <si>
    <t>CUST709</t>
  </si>
  <si>
    <t>ORD10461</t>
  </si>
  <si>
    <t>CUST122</t>
  </si>
  <si>
    <t>ORD10462</t>
  </si>
  <si>
    <t>CUST884</t>
  </si>
  <si>
    <t>ORD10463</t>
  </si>
  <si>
    <t>ORD10464</t>
  </si>
  <si>
    <t>CUST287</t>
  </si>
  <si>
    <t>ORD10465</t>
  </si>
  <si>
    <t>CUST371</t>
  </si>
  <si>
    <t>Product_87</t>
  </si>
  <si>
    <t>ORD10466</t>
  </si>
  <si>
    <t>CUST231</t>
  </si>
  <si>
    <t>ORD10467</t>
  </si>
  <si>
    <t>CUST103</t>
  </si>
  <si>
    <t>ORD10468</t>
  </si>
  <si>
    <t>CUST830</t>
  </si>
  <si>
    <t>ORD10469</t>
  </si>
  <si>
    <t>ORD10470</t>
  </si>
  <si>
    <t>ORD10471</t>
  </si>
  <si>
    <t>CUST167</t>
  </si>
  <si>
    <t>ORD10472</t>
  </si>
  <si>
    <t>CUST609</t>
  </si>
  <si>
    <t>ORD10473</t>
  </si>
  <si>
    <t>CUST813</t>
  </si>
  <si>
    <t>ORD10474</t>
  </si>
  <si>
    <t>CUST104</t>
  </si>
  <si>
    <t>ORD10475</t>
  </si>
  <si>
    <t>CUST866</t>
  </si>
  <si>
    <t>ORD10476</t>
  </si>
  <si>
    <t>ORD10477</t>
  </si>
  <si>
    <t>ORD10478</t>
  </si>
  <si>
    <t>CUST412</t>
  </si>
  <si>
    <t>ORD10479</t>
  </si>
  <si>
    <t>CUST731</t>
  </si>
  <si>
    <t>Product_80</t>
  </si>
  <si>
    <t>ORD10480</t>
  </si>
  <si>
    <t>CUST637</t>
  </si>
  <si>
    <t>ORD10481</t>
  </si>
  <si>
    <t>CUST796</t>
  </si>
  <si>
    <t>ORD10482</t>
  </si>
  <si>
    <t>ORD10483</t>
  </si>
  <si>
    <t>ORD10484</t>
  </si>
  <si>
    <t>CUST825</t>
  </si>
  <si>
    <t>ORD10485</t>
  </si>
  <si>
    <t>CUST967</t>
  </si>
  <si>
    <t>ORD10486</t>
  </si>
  <si>
    <t>ORD10487</t>
  </si>
  <si>
    <t>ORD10488</t>
  </si>
  <si>
    <t>CUST404</t>
  </si>
  <si>
    <t>ORD10489</t>
  </si>
  <si>
    <t>CUST534</t>
  </si>
  <si>
    <t>ORD10490</t>
  </si>
  <si>
    <t>CUST520</t>
  </si>
  <si>
    <t>ORD10491</t>
  </si>
  <si>
    <t>CUST983</t>
  </si>
  <si>
    <t>ORD10492</t>
  </si>
  <si>
    <t>Product_51</t>
  </si>
  <si>
    <t>ORD10493</t>
  </si>
  <si>
    <t>CUST694</t>
  </si>
  <si>
    <t>ORD10494</t>
  </si>
  <si>
    <t>CUST668</t>
  </si>
  <si>
    <t>ORD10495</t>
  </si>
  <si>
    <t>CUST716</t>
  </si>
  <si>
    <t>ORD10496</t>
  </si>
  <si>
    <t>CUST722</t>
  </si>
  <si>
    <t>ORD10497</t>
  </si>
  <si>
    <t>ORD10498</t>
  </si>
  <si>
    <t>ORD10499</t>
  </si>
  <si>
    <t>CUST735</t>
  </si>
  <si>
    <t>ORD10500</t>
  </si>
  <si>
    <t>CUST650</t>
  </si>
  <si>
    <t>ORD10501</t>
  </si>
  <si>
    <t>CUST584</t>
  </si>
  <si>
    <t>ORD10502</t>
  </si>
  <si>
    <t>ORD10503</t>
  </si>
  <si>
    <t>CUST547</t>
  </si>
  <si>
    <t>ORD10504</t>
  </si>
  <si>
    <t>ORD10505</t>
  </si>
  <si>
    <t>CUST354</t>
  </si>
  <si>
    <t>ORD10506</t>
  </si>
  <si>
    <t>ORD10507</t>
  </si>
  <si>
    <t>CUST129</t>
  </si>
  <si>
    <t>ORD10508</t>
  </si>
  <si>
    <t>CUST204</t>
  </si>
  <si>
    <t>ORD10509</t>
  </si>
  <si>
    <t>CUST121</t>
  </si>
  <si>
    <t>ORD10510</t>
  </si>
  <si>
    <t>CUST489</t>
  </si>
  <si>
    <t>Product_128</t>
  </si>
  <si>
    <t>ORD10511</t>
  </si>
  <si>
    <t>ORD10512</t>
  </si>
  <si>
    <t>ORD10513</t>
  </si>
  <si>
    <t>ORD10514</t>
  </si>
  <si>
    <t>CUST533</t>
  </si>
  <si>
    <t>ORD10515</t>
  </si>
  <si>
    <t>CUST897</t>
  </si>
  <si>
    <t>ORD10516</t>
  </si>
  <si>
    <t>ORD10517</t>
  </si>
  <si>
    <t>CUST247</t>
  </si>
  <si>
    <t>ORD10518</t>
  </si>
  <si>
    <t>CUST942</t>
  </si>
  <si>
    <t>ORD10519</t>
  </si>
  <si>
    <t>CUST549</t>
  </si>
  <si>
    <t>ORD10520</t>
  </si>
  <si>
    <t>ORD10521</t>
  </si>
  <si>
    <t>ORD10522</t>
  </si>
  <si>
    <t>CUST395</t>
  </si>
  <si>
    <t>ORD10523</t>
  </si>
  <si>
    <t>CUST255</t>
  </si>
  <si>
    <t>ORD10524</t>
  </si>
  <si>
    <t>ORD10525</t>
  </si>
  <si>
    <t>CUST441</t>
  </si>
  <si>
    <t>ORD10526</t>
  </si>
  <si>
    <t>Product_159</t>
  </si>
  <si>
    <t>ORD10527</t>
  </si>
  <si>
    <t>CUST283</t>
  </si>
  <si>
    <t>ORD10528</t>
  </si>
  <si>
    <t>Product_181</t>
  </si>
  <si>
    <t>ORD10529</t>
  </si>
  <si>
    <t>ORD10530</t>
  </si>
  <si>
    <t>ORD10531</t>
  </si>
  <si>
    <t>ORD10532</t>
  </si>
  <si>
    <t>ORD10533</t>
  </si>
  <si>
    <t>CUST730</t>
  </si>
  <si>
    <t>ORD10534</t>
  </si>
  <si>
    <t>CUST756</t>
  </si>
  <si>
    <t>ORD10535</t>
  </si>
  <si>
    <t>CUST197</t>
  </si>
  <si>
    <t>ORD10536</t>
  </si>
  <si>
    <t>CUST954</t>
  </si>
  <si>
    <t>ORD10537</t>
  </si>
  <si>
    <t>CUST964</t>
  </si>
  <si>
    <t>ORD10538</t>
  </si>
  <si>
    <t>ORD10539</t>
  </si>
  <si>
    <t>CUST914</t>
  </si>
  <si>
    <t>ORD10540</t>
  </si>
  <si>
    <t>ORD10541</t>
  </si>
  <si>
    <t>ORD10542</t>
  </si>
  <si>
    <t>CUST248</t>
  </si>
  <si>
    <t>ORD10543</t>
  </si>
  <si>
    <t>CUST594</t>
  </si>
  <si>
    <t>ORD10544</t>
  </si>
  <si>
    <t>CUST373</t>
  </si>
  <si>
    <t>ORD10545</t>
  </si>
  <si>
    <t>CUST250</t>
  </si>
  <si>
    <t>ORD10546</t>
  </si>
  <si>
    <t>CUST451</t>
  </si>
  <si>
    <t>ORD10547</t>
  </si>
  <si>
    <t>CUST928</t>
  </si>
  <si>
    <t>ORD10548</t>
  </si>
  <si>
    <t>CUST684</t>
  </si>
  <si>
    <t>Product_176</t>
  </si>
  <si>
    <t>ORD10549</t>
  </si>
  <si>
    <t>Product_55</t>
  </si>
  <si>
    <t>ORD10550</t>
  </si>
  <si>
    <t>ORD10551</t>
  </si>
  <si>
    <t>CUST156</t>
  </si>
  <si>
    <t>ORD10552</t>
  </si>
  <si>
    <t>CUST783</t>
  </si>
  <si>
    <t>ORD10553</t>
  </si>
  <si>
    <t>ORD10554</t>
  </si>
  <si>
    <t>ORD10555</t>
  </si>
  <si>
    <t>CUST831</t>
  </si>
  <si>
    <t>ORD10556</t>
  </si>
  <si>
    <t>CUST246</t>
  </si>
  <si>
    <t>Product_103</t>
  </si>
  <si>
    <t>ORD10557</t>
  </si>
  <si>
    <t>ORD10558</t>
  </si>
  <si>
    <t>ORD10559</t>
  </si>
  <si>
    <t>ORD10560</t>
  </si>
  <si>
    <t>CUST703</t>
  </si>
  <si>
    <t>ORD10561</t>
  </si>
  <si>
    <t>CUST100</t>
  </si>
  <si>
    <t>ORD10562</t>
  </si>
  <si>
    <t>CUST699</t>
  </si>
  <si>
    <t>ORD10563</t>
  </si>
  <si>
    <t>CUST627</t>
  </si>
  <si>
    <t>Product_89</t>
  </si>
  <si>
    <t>ORD10564</t>
  </si>
  <si>
    <t>ORD10565</t>
  </si>
  <si>
    <t>CUST108</t>
  </si>
  <si>
    <t>ORD10566</t>
  </si>
  <si>
    <t>ORD10567</t>
  </si>
  <si>
    <t>CUST629</t>
  </si>
  <si>
    <t>ORD10568</t>
  </si>
  <si>
    <t>ORD10569</t>
  </si>
  <si>
    <t>ORD10570</t>
  </si>
  <si>
    <t>CUST107</t>
  </si>
  <si>
    <t>ORD10571</t>
  </si>
  <si>
    <t>ORD10572</t>
  </si>
  <si>
    <t>CUST595</t>
  </si>
  <si>
    <t>ORD10573</t>
  </si>
  <si>
    <t>CUST940</t>
  </si>
  <si>
    <t>ORD10574</t>
  </si>
  <si>
    <t>ORD10575</t>
  </si>
  <si>
    <t>ORD10576</t>
  </si>
  <si>
    <t>CUST869</t>
  </si>
  <si>
    <t>ORD10577</t>
  </si>
  <si>
    <t>ORD10578</t>
  </si>
  <si>
    <t>ORD10579</t>
  </si>
  <si>
    <t>CUST887</t>
  </si>
  <si>
    <t>ORD10580</t>
  </si>
  <si>
    <t>CUST970</t>
  </si>
  <si>
    <t>ORD10581</t>
  </si>
  <si>
    <t>ORD10582</t>
  </si>
  <si>
    <t>ORD10583</t>
  </si>
  <si>
    <t>ORD10584</t>
  </si>
  <si>
    <t>CUST391</t>
  </si>
  <si>
    <t>Product_78</t>
  </si>
  <si>
    <t>ORD10585</t>
  </si>
  <si>
    <t>ORD10586</t>
  </si>
  <si>
    <t>CUST865</t>
  </si>
  <si>
    <t>ORD10587</t>
  </si>
  <si>
    <t>CUST521</t>
  </si>
  <si>
    <t>ORD10588</t>
  </si>
  <si>
    <t>ORD10589</t>
  </si>
  <si>
    <t>CUST501</t>
  </si>
  <si>
    <t>ORD10590</t>
  </si>
  <si>
    <t>CUST973</t>
  </si>
  <si>
    <t>ORD10591</t>
  </si>
  <si>
    <t>ORD10592</t>
  </si>
  <si>
    <t>CUST207</t>
  </si>
  <si>
    <t>Product_35</t>
  </si>
  <si>
    <t>ORD10593</t>
  </si>
  <si>
    <t>ORD10594</t>
  </si>
  <si>
    <t>CUST896</t>
  </si>
  <si>
    <t>ORD10595</t>
  </si>
  <si>
    <t>CUST912</t>
  </si>
  <si>
    <t>ORD10596</t>
  </si>
  <si>
    <t>CUST394</t>
  </si>
  <si>
    <t>ORD10597</t>
  </si>
  <si>
    <t>ORD10598</t>
  </si>
  <si>
    <t>CUST185</t>
  </si>
  <si>
    <t>ORD10599</t>
  </si>
  <si>
    <t>CUST666</t>
  </si>
  <si>
    <t>ORD10600</t>
  </si>
  <si>
    <t>ORD10601</t>
  </si>
  <si>
    <t>CUST678</t>
  </si>
  <si>
    <t>ORD10602</t>
  </si>
  <si>
    <t>ORD10603</t>
  </si>
  <si>
    <t>CUST377</t>
  </si>
  <si>
    <t>ORD10604</t>
  </si>
  <si>
    <t>CUST966</t>
  </si>
  <si>
    <t>ORD10605</t>
  </si>
  <si>
    <t>CUST165</t>
  </si>
  <si>
    <t>ORD10606</t>
  </si>
  <si>
    <t>CUST646</t>
  </si>
  <si>
    <t>ORD10607</t>
  </si>
  <si>
    <t>ORD10608</t>
  </si>
  <si>
    <t>CUST991</t>
  </si>
  <si>
    <t>ORD10609</t>
  </si>
  <si>
    <t>CUST486</t>
  </si>
  <si>
    <t>ORD10610</t>
  </si>
  <si>
    <t>Product_59</t>
  </si>
  <si>
    <t>ORD10611</t>
  </si>
  <si>
    <t>ORD10612</t>
  </si>
  <si>
    <t>CUST816</t>
  </si>
  <si>
    <t>ORD10613</t>
  </si>
  <si>
    <t>CUST652</t>
  </si>
  <si>
    <t>ORD10614</t>
  </si>
  <si>
    <t>ORD10615</t>
  </si>
  <si>
    <t>CUST359</t>
  </si>
  <si>
    <t>ORD10616</t>
  </si>
  <si>
    <t>ORD10617</t>
  </si>
  <si>
    <t>CUST671</t>
  </si>
  <si>
    <t>ORD10618</t>
  </si>
  <si>
    <t>ORD10619</t>
  </si>
  <si>
    <t>CUST357</t>
  </si>
  <si>
    <t>ORD10620</t>
  </si>
  <si>
    <t>CUST284</t>
  </si>
  <si>
    <t>ORD10621</t>
  </si>
  <si>
    <t>ORD10622</t>
  </si>
  <si>
    <t>ORD10623</t>
  </si>
  <si>
    <t>Product_185</t>
  </si>
  <si>
    <t>ORD10624</t>
  </si>
  <si>
    <t>ORD10625</t>
  </si>
  <si>
    <t>CUST268</t>
  </si>
  <si>
    <t>ORD10626</t>
  </si>
  <si>
    <t>CUST376</t>
  </si>
  <si>
    <t>ORD10627</t>
  </si>
  <si>
    <t>CUST322</t>
  </si>
  <si>
    <t>ORD10628</t>
  </si>
  <si>
    <t>CUST214</t>
  </si>
  <si>
    <t>ORD10629</t>
  </si>
  <si>
    <t>CUST137</t>
  </si>
  <si>
    <t>ORD10630</t>
  </si>
  <si>
    <t>CUST242</t>
  </si>
  <si>
    <t>ORD10631</t>
  </si>
  <si>
    <t>ORD10632</t>
  </si>
  <si>
    <t>ORD10633</t>
  </si>
  <si>
    <t>ORD10634</t>
  </si>
  <si>
    <t>ORD10635</t>
  </si>
  <si>
    <t>CUST809</t>
  </si>
  <si>
    <t>ORD10636</t>
  </si>
  <si>
    <t>CUST925</t>
  </si>
  <si>
    <t>ORD10637</t>
  </si>
  <si>
    <t>Product_115</t>
  </si>
  <si>
    <t>ORD10638</t>
  </si>
  <si>
    <t>CUST904</t>
  </si>
  <si>
    <t>Product_34</t>
  </si>
  <si>
    <t>ORD10639</t>
  </si>
  <si>
    <t>CUST176</t>
  </si>
  <si>
    <t>ORD10640</t>
  </si>
  <si>
    <t>ORD10641</t>
  </si>
  <si>
    <t>ORD10642</t>
  </si>
  <si>
    <t>ORD10643</t>
  </si>
  <si>
    <t>ORD10644</t>
  </si>
  <si>
    <t>CUST375</t>
  </si>
  <si>
    <t>ORD10645</t>
  </si>
  <si>
    <t>ORD10646</t>
  </si>
  <si>
    <t>CUST264</t>
  </si>
  <si>
    <t>ORD10647</t>
  </si>
  <si>
    <t>ORD10648</t>
  </si>
  <si>
    <t>CUST762</t>
  </si>
  <si>
    <t>ORD10649</t>
  </si>
  <si>
    <t>ORD10650</t>
  </si>
  <si>
    <t>ORD10651</t>
  </si>
  <si>
    <t>CUST518</t>
  </si>
  <si>
    <t>ORD10652</t>
  </si>
  <si>
    <t>ORD10653</t>
  </si>
  <si>
    <t>ORD10654</t>
  </si>
  <si>
    <t>CUST844</t>
  </si>
  <si>
    <t>ORD10655</t>
  </si>
  <si>
    <t>ORD10656</t>
  </si>
  <si>
    <t>ORD10657</t>
  </si>
  <si>
    <t>ORD10658</t>
  </si>
  <si>
    <t>CUST555</t>
  </si>
  <si>
    <t>ORD10659</t>
  </si>
  <si>
    <t>ORD10660</t>
  </si>
  <si>
    <t>ORD10661</t>
  </si>
  <si>
    <t>CUST693</t>
  </si>
  <si>
    <t>ORD10662</t>
  </si>
  <si>
    <t>ORD10663</t>
  </si>
  <si>
    <t>CUST579</t>
  </si>
  <si>
    <t>ORD10664</t>
  </si>
  <si>
    <t>CUST466</t>
  </si>
  <si>
    <t>ORD10665</t>
  </si>
  <si>
    <t>ORD10666</t>
  </si>
  <si>
    <t>ORD10667</t>
  </si>
  <si>
    <t>CUST742</t>
  </si>
  <si>
    <t>ORD10668</t>
  </si>
  <si>
    <t>CUST126</t>
  </si>
  <si>
    <t>ORD10669</t>
  </si>
  <si>
    <t>ORD10670</t>
  </si>
  <si>
    <t>ORD10671</t>
  </si>
  <si>
    <t>Product_137</t>
  </si>
  <si>
    <t>ORD10672</t>
  </si>
  <si>
    <t>CUST199</t>
  </si>
  <si>
    <t>ORD10673</t>
  </si>
  <si>
    <t>CUST971</t>
  </si>
  <si>
    <t>ORD10674</t>
  </si>
  <si>
    <t>CUST278</t>
  </si>
  <si>
    <t>ORD10675</t>
  </si>
  <si>
    <t>ORD10676</t>
  </si>
  <si>
    <t>CUST551</t>
  </si>
  <si>
    <t>ORD10677</t>
  </si>
  <si>
    <t>ORD10678</t>
  </si>
  <si>
    <t>CUST514</t>
  </si>
  <si>
    <t>ORD10679</t>
  </si>
  <si>
    <t>CUST810</t>
  </si>
  <si>
    <t>ORD10680</t>
  </si>
  <si>
    <t>ORD10681</t>
  </si>
  <si>
    <t>CUST708</t>
  </si>
  <si>
    <t>ORD10682</t>
  </si>
  <si>
    <t>CUST438</t>
  </si>
  <si>
    <t>ORD10683</t>
  </si>
  <si>
    <t>ORD10684</t>
  </si>
  <si>
    <t>CUST115</t>
  </si>
  <si>
    <t>ORD10685</t>
  </si>
  <si>
    <t>CUST656</t>
  </si>
  <si>
    <t>ORD10686</t>
  </si>
  <si>
    <t>ORD10687</t>
  </si>
  <si>
    <t>CUST978</t>
  </si>
  <si>
    <t>ORD10688</t>
  </si>
  <si>
    <t>ORD10689</t>
  </si>
  <si>
    <t>ORD10690</t>
  </si>
  <si>
    <t>ORD10691</t>
  </si>
  <si>
    <t>CUST672</t>
  </si>
  <si>
    <t>ORD10692</t>
  </si>
  <si>
    <t>CUST455</t>
  </si>
  <si>
    <t>ORD10693</t>
  </si>
  <si>
    <t>CUST550</t>
  </si>
  <si>
    <t>ORD10694</t>
  </si>
  <si>
    <t>CUST854</t>
  </si>
  <si>
    <t>ORD10695</t>
  </si>
  <si>
    <t>CUST583</t>
  </si>
  <si>
    <t>ORD10696</t>
  </si>
  <si>
    <t>CUST581</t>
  </si>
  <si>
    <t>ORD10697</t>
  </si>
  <si>
    <t>CUST519</t>
  </si>
  <si>
    <t>ORD10698</t>
  </si>
  <si>
    <t>ORD10699</t>
  </si>
  <si>
    <t>CUST300</t>
  </si>
  <si>
    <t>ORD10700</t>
  </si>
  <si>
    <t>CUST953</t>
  </si>
  <si>
    <t>ORD10701</t>
  </si>
  <si>
    <t>ORD10702</t>
  </si>
  <si>
    <t>CUST945</t>
  </si>
  <si>
    <t>ORD10703</t>
  </si>
  <si>
    <t>ORD10704</t>
  </si>
  <si>
    <t>ORD10705</t>
  </si>
  <si>
    <t>CUST436</t>
  </si>
  <si>
    <t>ORD10706</t>
  </si>
  <si>
    <t>ORD10707</t>
  </si>
  <si>
    <t>CUST674</t>
  </si>
  <si>
    <t>ORD10708</t>
  </si>
  <si>
    <t>ORD10709</t>
  </si>
  <si>
    <t>ORD10710</t>
  </si>
  <si>
    <t>CUST959</t>
  </si>
  <si>
    <t>ORD10711</t>
  </si>
  <si>
    <t>ORD10712</t>
  </si>
  <si>
    <t>ORD10713</t>
  </si>
  <si>
    <t>ORD10714</t>
  </si>
  <si>
    <t>CUST536</t>
  </si>
  <si>
    <t>ORD10715</t>
  </si>
  <si>
    <t>CUST872</t>
  </si>
  <si>
    <t>ORD10716</t>
  </si>
  <si>
    <t>CUST183</t>
  </si>
  <si>
    <t>ORD10717</t>
  </si>
  <si>
    <t>ORD10718</t>
  </si>
  <si>
    <t>CUST365</t>
  </si>
  <si>
    <t>ORD10719</t>
  </si>
  <si>
    <t>CUST564</t>
  </si>
  <si>
    <t>ORD10720</t>
  </si>
  <si>
    <t>CUST538</t>
  </si>
  <si>
    <t>ORD10721</t>
  </si>
  <si>
    <t>ORD10722</t>
  </si>
  <si>
    <t>ORD10723</t>
  </si>
  <si>
    <t>ORD10724</t>
  </si>
  <si>
    <t>CUST511</t>
  </si>
  <si>
    <t>ORD10725</t>
  </si>
  <si>
    <t>CUST211</t>
  </si>
  <si>
    <t>Product_174</t>
  </si>
  <si>
    <t>ORD10726</t>
  </si>
  <si>
    <t>ORD10727</t>
  </si>
  <si>
    <t>CUST994</t>
  </si>
  <si>
    <t>ORD10728</t>
  </si>
  <si>
    <t>CUST469</t>
  </si>
  <si>
    <t>ORD10729</t>
  </si>
  <si>
    <t>ORD10730</t>
  </si>
  <si>
    <t>ORD10731</t>
  </si>
  <si>
    <t>ORD10732</t>
  </si>
  <si>
    <t>ORD10733</t>
  </si>
  <si>
    <t>ORD10734</t>
  </si>
  <si>
    <t>CUST240</t>
  </si>
  <si>
    <t>ORD10735</t>
  </si>
  <si>
    <t>CUST714</t>
  </si>
  <si>
    <t>ORD10736</t>
  </si>
  <si>
    <t>ORD10737</t>
  </si>
  <si>
    <t>CUST106</t>
  </si>
  <si>
    <t>ORD10738</t>
  </si>
  <si>
    <t>CUST593</t>
  </si>
  <si>
    <t>ORD10739</t>
  </si>
  <si>
    <t>ORD10740</t>
  </si>
  <si>
    <t>CUST458</t>
  </si>
  <si>
    <t>ORD10741</t>
  </si>
  <si>
    <t>CUST168</t>
  </si>
  <si>
    <t>ORD10742</t>
  </si>
  <si>
    <t>ORD10743</t>
  </si>
  <si>
    <t>ORD10744</t>
  </si>
  <si>
    <t>ORD10745</t>
  </si>
  <si>
    <t>ORD10746</t>
  </si>
  <si>
    <t>ORD10747</t>
  </si>
  <si>
    <t>CUST147</t>
  </si>
  <si>
    <t>ORD10748</t>
  </si>
  <si>
    <t>ORD10749</t>
  </si>
  <si>
    <t>CUST737</t>
  </si>
  <si>
    <t>ORD10750</t>
  </si>
  <si>
    <t>ORD10751</t>
  </si>
  <si>
    <t>CUST450</t>
  </si>
  <si>
    <t>ORD10752</t>
  </si>
  <si>
    <t>ORD10753</t>
  </si>
  <si>
    <t>CUST440</t>
  </si>
  <si>
    <t>ORD10754</t>
  </si>
  <si>
    <t>CUST767</t>
  </si>
  <si>
    <t>ORD10755</t>
  </si>
  <si>
    <t>CUST560</t>
  </si>
  <si>
    <t>ORD10756</t>
  </si>
  <si>
    <t>ORD10757</t>
  </si>
  <si>
    <t>ORD10758</t>
  </si>
  <si>
    <t>ORD10759</t>
  </si>
  <si>
    <t>ORD10760</t>
  </si>
  <si>
    <t>CUST819</t>
  </si>
  <si>
    <t>ORD10761</t>
  </si>
  <si>
    <t>CUST790</t>
  </si>
  <si>
    <t>ORD10762</t>
  </si>
  <si>
    <t>ORD10763</t>
  </si>
  <si>
    <t>CUST390</t>
  </si>
  <si>
    <t>ORD10764</t>
  </si>
  <si>
    <t>CUST793</t>
  </si>
  <si>
    <t>ORD10765</t>
  </si>
  <si>
    <t>CUST367</t>
  </si>
  <si>
    <t>ORD10766</t>
  </si>
  <si>
    <t>ORD10767</t>
  </si>
  <si>
    <t>CUST316</t>
  </si>
  <si>
    <t>ORD10768</t>
  </si>
  <si>
    <t>CUST478</t>
  </si>
  <si>
    <t>ORD10769</t>
  </si>
  <si>
    <t>CUST604</t>
  </si>
  <si>
    <t>ORD10770</t>
  </si>
  <si>
    <t>ORD10771</t>
  </si>
  <si>
    <t>ORD10772</t>
  </si>
  <si>
    <t>ORD10773</t>
  </si>
  <si>
    <t>ORD10774</t>
  </si>
  <si>
    <t>CUST957</t>
  </si>
  <si>
    <t>ORD10775</t>
  </si>
  <si>
    <t>CUST935</t>
  </si>
  <si>
    <t>ORD10776</t>
  </si>
  <si>
    <t>CUST272</t>
  </si>
  <si>
    <t>ORD10777</t>
  </si>
  <si>
    <t>ORD10778</t>
  </si>
  <si>
    <t>ORD10779</t>
  </si>
  <si>
    <t>ORD10780</t>
  </si>
  <si>
    <t>ORD10781</t>
  </si>
  <si>
    <t>CUST488</t>
  </si>
  <si>
    <t>ORD10782</t>
  </si>
  <si>
    <t>ORD10783</t>
  </si>
  <si>
    <t>CUST876</t>
  </si>
  <si>
    <t>ORD10784</t>
  </si>
  <si>
    <t>ORD10785</t>
  </si>
  <si>
    <t>ORD10786</t>
  </si>
  <si>
    <t>ORD10787</t>
  </si>
  <si>
    <t>ORD10788</t>
  </si>
  <si>
    <t>CUST874</t>
  </si>
  <si>
    <t>ORD10789</t>
  </si>
  <si>
    <t>ORD10790</t>
  </si>
  <si>
    <t>ORD10791</t>
  </si>
  <si>
    <t>CUST607</t>
  </si>
  <si>
    <t>ORD10792</t>
  </si>
  <si>
    <t>CUST556</t>
  </si>
  <si>
    <t>ORD10793</t>
  </si>
  <si>
    <t>ORD10794</t>
  </si>
  <si>
    <t>ORD10795</t>
  </si>
  <si>
    <t>CUST292</t>
  </si>
  <si>
    <t>ORD10796</t>
  </si>
  <si>
    <t>CUST512</t>
  </si>
  <si>
    <t>ORD10797</t>
  </si>
  <si>
    <t>ORD10798</t>
  </si>
  <si>
    <t>CUST295</t>
  </si>
  <si>
    <t>Product_116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</si>
  <si>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</si>
  <si>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</si>
  <si>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</si>
  <si>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</si>
  <si>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</si>
  <si>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</si>
  <si>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</si>
  <si>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</si>
  <si>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</si>
  <si>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CUST282</t>
  </si>
  <si>
    <t>ORD10808</t>
  </si>
  <si>
    <t>CUST717</t>
  </si>
  <si>
    <t>ORD10809</t>
  </si>
  <si>
    <t>CUST891</t>
  </si>
  <si>
    <t>ORD10810</t>
  </si>
  <si>
    <t>ORD10811</t>
  </si>
  <si>
    <t>ORD10812</t>
  </si>
  <si>
    <t>CUST853</t>
  </si>
  <si>
    <t>ORD10813</t>
  </si>
  <si>
    <t>CUST802</t>
  </si>
  <si>
    <t>ORD10814</t>
  </si>
  <si>
    <t>ORD10815</t>
  </si>
  <si>
    <t>CUST913</t>
  </si>
  <si>
    <t>ORD10816</t>
  </si>
  <si>
    <t>ORD10817</t>
  </si>
  <si>
    <t>CUST861</t>
  </si>
  <si>
    <t>ORD10818</t>
  </si>
  <si>
    <t>CUST398</t>
  </si>
  <si>
    <t>ORD10819</t>
  </si>
  <si>
    <t>ORD10820</t>
  </si>
  <si>
    <t>ORD10821</t>
  </si>
  <si>
    <t>CUST711</t>
  </si>
  <si>
    <t>ORD10822</t>
  </si>
  <si>
    <t>ORD10823</t>
  </si>
  <si>
    <t>CUST743</t>
  </si>
  <si>
    <t>ORD10824</t>
  </si>
  <si>
    <t>CUST464</t>
  </si>
  <si>
    <t>ORD10825</t>
  </si>
  <si>
    <t>ORD10826</t>
  </si>
  <si>
    <t>ORD10827</t>
  </si>
  <si>
    <t>ORD10828</t>
  </si>
  <si>
    <t>ORD10829</t>
  </si>
  <si>
    <t>ORD10830</t>
  </si>
  <si>
    <t>ORD10831</t>
  </si>
  <si>
    <t>CUST829</t>
  </si>
  <si>
    <t>ORD10832</t>
  </si>
  <si>
    <t>ORD10833</t>
  </si>
  <si>
    <t>ORD10834</t>
  </si>
  <si>
    <t>ORD10835</t>
  </si>
  <si>
    <t>Product_119</t>
  </si>
  <si>
    <t>ORD10836</t>
  </si>
  <si>
    <t>CUST194</t>
  </si>
  <si>
    <t>ORD10837</t>
  </si>
  <si>
    <t>ORD10838</t>
  </si>
  <si>
    <t>ORD10839</t>
  </si>
  <si>
    <t>ORD10840</t>
  </si>
  <si>
    <t>CUST382</t>
  </si>
  <si>
    <t>ORD10841</t>
  </si>
  <si>
    <t>ORD10842</t>
  </si>
  <si>
    <t>CUST841</t>
  </si>
  <si>
    <t>ORD10843</t>
  </si>
  <si>
    <t>CUST494</t>
  </si>
  <si>
    <t>ORD10844</t>
  </si>
  <si>
    <t>CUST586</t>
  </si>
  <si>
    <t>ORD10845</t>
  </si>
  <si>
    <t>ORD10846</t>
  </si>
  <si>
    <t>CUST237</t>
  </si>
  <si>
    <t>ORD10847</t>
  </si>
  <si>
    <t>ORD10848</t>
  </si>
  <si>
    <t>CUST263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</si>
  <si>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</si>
  <si>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</si>
  <si>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</si>
  <si>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</si>
  <si>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</si>
  <si>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</si>
  <si>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</si>
  <si>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</si>
  <si>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CUST657</t>
  </si>
  <si>
    <t>ORD10857</t>
  </si>
  <si>
    <t>ORD10858</t>
  </si>
  <si>
    <t>ORD10859</t>
  </si>
  <si>
    <t>ORD10860</t>
  </si>
  <si>
    <t>ORD10861</t>
  </si>
  <si>
    <t>ORD10862</t>
  </si>
  <si>
    <t>ORD10863</t>
  </si>
  <si>
    <t>CUST499</t>
  </si>
  <si>
    <t>ORD10864</t>
  </si>
  <si>
    <t>CUST508</t>
  </si>
  <si>
    <t>ORD10865</t>
  </si>
  <si>
    <t>ORD10866</t>
  </si>
  <si>
    <t>CUST744</t>
  </si>
  <si>
    <t>ORD10867</t>
  </si>
  <si>
    <t>CUST342</t>
  </si>
  <si>
    <t>ORD10868</t>
  </si>
  <si>
    <t>CUST923</t>
  </si>
  <si>
    <t>ORD10869</t>
  </si>
  <si>
    <t>ORD10870</t>
  </si>
  <si>
    <t>ORD10871</t>
  </si>
  <si>
    <t>ORD10872</t>
  </si>
  <si>
    <t>ORD10873</t>
  </si>
  <si>
    <t>CUST698</t>
  </si>
  <si>
    <t>ORD10874</t>
  </si>
  <si>
    <t>ORD10875</t>
  </si>
  <si>
    <t>CUST985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</si>
  <si>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</si>
  <si>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</si>
  <si>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</si>
  <si>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</si>
  <si>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</si>
  <si>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</si>
  <si>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</si>
  <si>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</si>
  <si>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</si>
  <si>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ORD10885</t>
  </si>
  <si>
    <t>CUST582</t>
  </si>
  <si>
    <t>ORD10886</t>
  </si>
  <si>
    <t>ORD10887</t>
  </si>
  <si>
    <t>CUST160</t>
  </si>
  <si>
    <t>ORD10888</t>
  </si>
  <si>
    <t>ORD10889</t>
  </si>
  <si>
    <t>CUST623</t>
  </si>
  <si>
    <t>ORD10890</t>
  </si>
  <si>
    <t>CUST361</t>
  </si>
  <si>
    <t>Product_88</t>
  </si>
  <si>
    <t>ORD10891</t>
  </si>
  <si>
    <t>ORD10892</t>
  </si>
  <si>
    <t>ORD10893</t>
  </si>
  <si>
    <t>CUST820</t>
  </si>
  <si>
    <t>ORD10894</t>
  </si>
  <si>
    <t>ORD10895</t>
  </si>
  <si>
    <t>ORD10896</t>
  </si>
  <si>
    <t>ORD10897</t>
  </si>
  <si>
    <t>ORD10898</t>
  </si>
  <si>
    <t>CUST661</t>
  </si>
  <si>
    <t>ORD10899</t>
  </si>
  <si>
    <t>CUST907</t>
  </si>
  <si>
    <t>ORD10900</t>
  </si>
  <si>
    <t>ORD10901</t>
  </si>
  <si>
    <t>ORD10902</t>
  </si>
  <si>
    <t>ORD10903</t>
  </si>
  <si>
    <t>CUST695</t>
  </si>
  <si>
    <t>ORD10904</t>
  </si>
  <si>
    <t>ORD10905</t>
  </si>
  <si>
    <t>ORD10906</t>
  </si>
  <si>
    <t>ORD10907</t>
  </si>
  <si>
    <t>ORD10908</t>
  </si>
  <si>
    <t>ORD10909</t>
  </si>
  <si>
    <t>ORD10910</t>
  </si>
  <si>
    <t>CUST922</t>
  </si>
  <si>
    <t>ORD10911</t>
  </si>
  <si>
    <t>ORD10912</t>
  </si>
  <si>
    <t>ORD10913</t>
  </si>
  <si>
    <t>ORD10914</t>
  </si>
  <si>
    <t>ORD10915</t>
  </si>
  <si>
    <t>ORD10916</t>
  </si>
  <si>
    <t>CUST385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</si>
  <si>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</si>
  <si>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</si>
  <si>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</si>
  <si>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</si>
  <si>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</si>
  <si>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</si>
  <si>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</si>
  <si>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</si>
  <si>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</si>
  <si>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</si>
  <si>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</si>
  <si>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CUST527</t>
  </si>
  <si>
    <t>ORD10928</t>
  </si>
  <si>
    <t>ORD10929</t>
  </si>
  <si>
    <t>CUST849</t>
  </si>
  <si>
    <t>ORD10930</t>
  </si>
  <si>
    <t>ORD10931</t>
  </si>
  <si>
    <t>CUST310</t>
  </si>
  <si>
    <t>ORD10932</t>
  </si>
  <si>
    <t>ORD10933</t>
  </si>
  <si>
    <t>CUST552</t>
  </si>
  <si>
    <t>ORD10934</t>
  </si>
  <si>
    <t>CUST626</t>
  </si>
  <si>
    <t>ORD10935</t>
  </si>
  <si>
    <t>ORD10936</t>
  </si>
  <si>
    <t>CUST133</t>
  </si>
  <si>
    <t>ORD10937</t>
  </si>
  <si>
    <t>ORD10938</t>
  </si>
  <si>
    <t>CUST784</t>
  </si>
  <si>
    <t>ORD10939</t>
  </si>
  <si>
    <t>CUST380</t>
  </si>
  <si>
    <t>ORD10940</t>
  </si>
  <si>
    <t>ORD10941</t>
  </si>
  <si>
    <t>CUST348</t>
  </si>
  <si>
    <t>ORD10942</t>
  </si>
  <si>
    <t>ORD10943</t>
  </si>
  <si>
    <t>ORD10944</t>
  </si>
  <si>
    <t>ORD10945</t>
  </si>
  <si>
    <t>CUST327</t>
  </si>
  <si>
    <t>ORD10946</t>
  </si>
  <si>
    <t>ORD10947</t>
  </si>
  <si>
    <t>ORD10948</t>
  </si>
  <si>
    <t>ORD10949</t>
  </si>
  <si>
    <t>ORD10950</t>
  </si>
  <si>
    <t>CUST330</t>
  </si>
  <si>
    <t>ORD10951</t>
  </si>
  <si>
    <t>CUST939</t>
  </si>
  <si>
    <t>ORD10952</t>
  </si>
  <si>
    <t>ORD10953</t>
  </si>
  <si>
    <t>CUST493</t>
  </si>
  <si>
    <t>ORD10954</t>
  </si>
  <si>
    <t>ORD10955</t>
  </si>
  <si>
    <t>ORD10956</t>
  </si>
  <si>
    <t>CUST955</t>
  </si>
  <si>
    <t>ORD10957</t>
  </si>
  <si>
    <t>CUST487</t>
  </si>
  <si>
    <t>ORD10958</t>
  </si>
  <si>
    <t>ORD10959</t>
  </si>
  <si>
    <t>ORD10960</t>
  </si>
  <si>
    <t>ORD10961</t>
  </si>
  <si>
    <t>CUST690</t>
  </si>
  <si>
    <t>ORD10962</t>
  </si>
  <si>
    <t>ORD10963</t>
  </si>
  <si>
    <t>ORD10964</t>
  </si>
  <si>
    <t>ORD10965</t>
  </si>
  <si>
    <t>ORD10966</t>
  </si>
  <si>
    <t>CUST428</t>
  </si>
  <si>
    <t>ORD10967</t>
  </si>
  <si>
    <t>ORD10968</t>
  </si>
  <si>
    <t>CUST369</t>
  </si>
  <si>
    <t>ORD10969</t>
  </si>
  <si>
    <t>ORD10970</t>
  </si>
  <si>
    <t>ORD10971</t>
  </si>
  <si>
    <t>CUST213</t>
  </si>
  <si>
    <t>ORD10972</t>
  </si>
  <si>
    <t>CUST585</t>
  </si>
  <si>
    <t>ORD10973</t>
  </si>
  <si>
    <t>ORD10974</t>
  </si>
  <si>
    <t>ORD10975</t>
  </si>
  <si>
    <t>ORD10976</t>
  </si>
  <si>
    <t>CUST749</t>
  </si>
  <si>
    <t>ORD10977</t>
  </si>
  <si>
    <t>ORD10978</t>
  </si>
  <si>
    <t>CUST452</t>
  </si>
  <si>
    <t>ORD10979</t>
  </si>
  <si>
    <t>ORD10980</t>
  </si>
  <si>
    <t>CUST453</t>
  </si>
  <si>
    <t>ORD10981</t>
  </si>
  <si>
    <t>ORD10982</t>
  </si>
  <si>
    <t>ORD10983</t>
  </si>
  <si>
    <t>ORD10984</t>
  </si>
  <si>
    <t>ORD10985</t>
  </si>
  <si>
    <t>CUST972</t>
  </si>
  <si>
    <t>ORD10986</t>
  </si>
  <si>
    <t>ORD10987</t>
  </si>
  <si>
    <t>CUST515</t>
  </si>
  <si>
    <t>ORD10988</t>
  </si>
  <si>
    <t>ORD10989</t>
  </si>
  <si>
    <t>CUST443</t>
  </si>
  <si>
    <t>ORD10990</t>
  </si>
  <si>
    <t>ORD10991</t>
  </si>
  <si>
    <t>ORD10992</t>
  </si>
  <si>
    <t>CUST368</t>
  </si>
  <si>
    <t>ORD10993</t>
  </si>
  <si>
    <t>CUST710</t>
  </si>
  <si>
    <t>ORD10994</t>
  </si>
  <si>
    <t>CUST776</t>
  </si>
  <si>
    <t>ORD10995</t>
  </si>
  <si>
    <t>CUST625</t>
  </si>
  <si>
    <t>ORD10996</t>
  </si>
  <si>
    <t>ORD10997</t>
  </si>
  <si>
    <t>ORD10998</t>
  </si>
  <si>
    <t>CUST260</t>
  </si>
  <si>
    <t>ORD10999</t>
  </si>
  <si>
    <t>CUST929</t>
  </si>
  <si>
    <t>ORD11000</t>
  </si>
  <si>
    <t>ORD11001</t>
  </si>
  <si>
    <t>ORD11002</t>
  </si>
  <si>
    <t>ORD11003</t>
  </si>
  <si>
    <t>ORD11004</t>
  </si>
  <si>
    <t>CUST734</t>
  </si>
  <si>
    <t>ORD11005</t>
  </si>
  <si>
    <t>CUST732</t>
  </si>
  <si>
    <t>ORD11006</t>
  </si>
  <si>
    <t>CUST638</t>
  </si>
  <si>
    <t>Product_151</t>
  </si>
  <si>
    <t>ORD11007</t>
  </si>
  <si>
    <t>CUST198</t>
  </si>
  <si>
    <t>ORD11008</t>
  </si>
  <si>
    <t>ORD11009</t>
  </si>
  <si>
    <t>CUST976</t>
  </si>
  <si>
    <t>ORD11010</t>
  </si>
  <si>
    <t>ORD11011</t>
  </si>
  <si>
    <t>CUST227</t>
  </si>
  <si>
    <t>ORD11012</t>
  </si>
  <si>
    <t>ORD11013</t>
  </si>
  <si>
    <t>ORD11014</t>
  </si>
  <si>
    <t>ORD11015</t>
  </si>
  <si>
    <t>CUST434</t>
  </si>
  <si>
    <t>ORD11016</t>
  </si>
  <si>
    <t>ORD11017</t>
  </si>
  <si>
    <t>ORD11018</t>
  </si>
  <si>
    <t>ORD11019</t>
  </si>
  <si>
    <t>ORD11020</t>
  </si>
  <si>
    <t>CUST845</t>
  </si>
  <si>
    <t>ORD11021</t>
  </si>
  <si>
    <t>ORD11022</t>
  </si>
  <si>
    <t>ORD11023</t>
  </si>
  <si>
    <t>ORD11024</t>
  </si>
  <si>
    <t>CUST259</t>
  </si>
  <si>
    <t>ORD11025</t>
  </si>
  <si>
    <t>CUST235</t>
  </si>
  <si>
    <t>ORD11026</t>
  </si>
  <si>
    <t>ORD11027</t>
  </si>
  <si>
    <t>ORD11028</t>
  </si>
  <si>
    <t>ORD11029</t>
  </si>
  <si>
    <t>ORD11030</t>
  </si>
  <si>
    <t>CUST665</t>
  </si>
  <si>
    <t>ORD11031</t>
  </si>
  <si>
    <t>ORD11032</t>
  </si>
  <si>
    <t>CUST351</t>
  </si>
  <si>
    <t>ORD11033</t>
  </si>
  <si>
    <t>ORD11034</t>
  </si>
  <si>
    <t>ORD11035</t>
  </si>
  <si>
    <t>ORD11036</t>
  </si>
  <si>
    <t>ORD11037</t>
  </si>
  <si>
    <t>CUST230</t>
  </si>
  <si>
    <t>ORD11038</t>
  </si>
  <si>
    <t>CUST639</t>
  </si>
  <si>
    <t>ORD11039</t>
  </si>
  <si>
    <t>CUST765</t>
  </si>
  <si>
    <t>ORD11040</t>
  </si>
  <si>
    <t>CUST894</t>
  </si>
  <si>
    <t>ORD11041</t>
  </si>
  <si>
    <t>ORD11042</t>
  </si>
  <si>
    <t>ORD11043</t>
  </si>
  <si>
    <t>ORD11044</t>
  </si>
  <si>
    <t>ORD11045</t>
  </si>
  <si>
    <t>CUST425</t>
  </si>
  <si>
    <t>ORD11046</t>
  </si>
  <si>
    <t>ORD11047</t>
  </si>
  <si>
    <t>ORD11048</t>
  </si>
  <si>
    <t>CUST218</t>
  </si>
  <si>
    <t>ORD11049</t>
  </si>
  <si>
    <t>CUST517</t>
  </si>
  <si>
    <t>ORD11050</t>
  </si>
  <si>
    <t>ORD11051</t>
  </si>
  <si>
    <t>CUST396</t>
  </si>
  <si>
    <t>ORD11052</t>
  </si>
  <si>
    <t>ORD11053</t>
  </si>
  <si>
    <t>CUST931</t>
  </si>
  <si>
    <t>ORD11054</t>
  </si>
  <si>
    <t>CUST753</t>
  </si>
  <si>
    <t>ORD11055</t>
  </si>
  <si>
    <t>ORD11056</t>
  </si>
  <si>
    <t>ORD11057</t>
  </si>
  <si>
    <t>CUST723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</si>
  <si>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</si>
  <si>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</si>
  <si>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</si>
  <si>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</si>
  <si>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</si>
  <si>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</si>
  <si>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</si>
  <si>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</si>
  <si>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</si>
  <si>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</si>
  <si>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CUST333</t>
  </si>
  <si>
    <t>ORD11068</t>
  </si>
  <si>
    <t>CUST673</t>
  </si>
  <si>
    <t>ORD11069</t>
  </si>
  <si>
    <t>ORD11070</t>
  </si>
  <si>
    <t>ORD11071</t>
  </si>
  <si>
    <t>ORD11072</t>
  </si>
  <si>
    <t>CUST704</t>
  </si>
  <si>
    <t>ORD11073</t>
  </si>
  <si>
    <t>CUST145</t>
  </si>
  <si>
    <t>ORD11074</t>
  </si>
  <si>
    <t>ORD11075</t>
  </si>
  <si>
    <t>ORD11076</t>
  </si>
  <si>
    <t>ORD11077</t>
  </si>
  <si>
    <t>CUST728</t>
  </si>
  <si>
    <t>ORD11078</t>
  </si>
  <si>
    <t>CUST777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</si>
  <si>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</si>
  <si>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</si>
  <si>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</si>
  <si>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</si>
  <si>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</si>
  <si>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</si>
  <si>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</si>
  <si>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</si>
  <si>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CUST821</t>
  </si>
  <si>
    <t>ORD11087</t>
  </si>
  <si>
    <t>ORD11088</t>
  </si>
  <si>
    <t>ORD11089</t>
  </si>
  <si>
    <t>ORD11090</t>
  </si>
  <si>
    <t>CUST707</t>
  </si>
  <si>
    <t>ORD11091</t>
  </si>
  <si>
    <t>ORD11092</t>
  </si>
  <si>
    <t>ORD11093</t>
  </si>
  <si>
    <t>ORD11094</t>
  </si>
  <si>
    <t>CUST791</t>
  </si>
  <si>
    <t>ORD11095</t>
  </si>
  <si>
    <t>CUST332</t>
  </si>
  <si>
    <t>ORD11096</t>
  </si>
  <si>
    <t>ORD11097</t>
  </si>
  <si>
    <t>ORD11098</t>
  </si>
  <si>
    <t>ORD11099</t>
  </si>
  <si>
    <t>CUST406</t>
  </si>
  <si>
    <t>ORD11100</t>
  </si>
  <si>
    <t>CUST476</t>
  </si>
  <si>
    <t>ORD11101</t>
  </si>
  <si>
    <t>ORD11102</t>
  </si>
  <si>
    <t>CUST424</t>
  </si>
  <si>
    <t>ORD11103</t>
  </si>
  <si>
    <t>ORD11104</t>
  </si>
  <si>
    <t>ORD11105</t>
  </si>
  <si>
    <t>ORD11106</t>
  </si>
  <si>
    <t>ORD11107</t>
  </si>
  <si>
    <t>ORD11108</t>
  </si>
  <si>
    <t>ORD11109</t>
  </si>
  <si>
    <t>CUST498</t>
  </si>
  <si>
    <t>ORD11110</t>
  </si>
  <si>
    <t>ORD11111</t>
  </si>
  <si>
    <t>CUST267</t>
  </si>
  <si>
    <t>ORD11112</t>
  </si>
  <si>
    <t>CUST751</t>
  </si>
  <si>
    <t>ORD11113</t>
  </si>
  <si>
    <t>CUST459</t>
  </si>
  <si>
    <t>ORD11114</t>
  </si>
  <si>
    <t>CUST575</t>
  </si>
  <si>
    <t>ORD11115</t>
  </si>
  <si>
    <t>ORD11116</t>
  </si>
  <si>
    <t>ORD11117</t>
  </si>
  <si>
    <t>CUST746</t>
  </si>
  <si>
    <t>ORD11118</t>
  </si>
  <si>
    <t>ORD11119</t>
  </si>
  <si>
    <t>ORD11120</t>
  </si>
  <si>
    <t>ORD11121</t>
  </si>
  <si>
    <t>ORD11122</t>
  </si>
  <si>
    <t>ORD11123</t>
  </si>
  <si>
    <t>ORD11124</t>
  </si>
  <si>
    <t>CUST497</t>
  </si>
  <si>
    <t>ORD11125</t>
  </si>
  <si>
    <t>ORD11126</t>
  </si>
  <si>
    <t>CUST409</t>
  </si>
  <si>
    <t>ORD11127</t>
  </si>
  <si>
    <t>ORD11128</t>
  </si>
  <si>
    <t>ORD11129</t>
  </si>
  <si>
    <t>ORD11130</t>
  </si>
  <si>
    <t>CUST840</t>
  </si>
  <si>
    <t>ORD11131</t>
  </si>
  <si>
    <t>ORD11132</t>
  </si>
  <si>
    <t>CUST221</t>
  </si>
  <si>
    <t>ORD11133</t>
  </si>
  <si>
    <t>CUST908</t>
  </si>
  <si>
    <t>ORD11134</t>
  </si>
  <si>
    <t>ORD11135</t>
  </si>
  <si>
    <t>ORD11136</t>
  </si>
  <si>
    <t>CUST769</t>
  </si>
  <si>
    <t>ORD11137</t>
  </si>
  <si>
    <t>ORD11138</t>
  </si>
  <si>
    <t>ORD11139</t>
  </si>
  <si>
    <t>ORD11140</t>
  </si>
  <si>
    <t>ORD11141</t>
  </si>
  <si>
    <t>CUST788</t>
  </si>
  <si>
    <t>ORD11142</t>
  </si>
  <si>
    <t>ORD11143</t>
  </si>
  <si>
    <t>ORD11144</t>
  </si>
  <si>
    <t>CUST158</t>
  </si>
  <si>
    <t>ORD11145</t>
  </si>
  <si>
    <t>ORD11146</t>
  </si>
  <si>
    <t>ORD11147</t>
  </si>
  <si>
    <t>CUST281</t>
  </si>
  <si>
    <t>ORD11148</t>
  </si>
  <si>
    <t>CUST208</t>
  </si>
  <si>
    <t>ORD11149</t>
  </si>
  <si>
    <t>CUST567</t>
  </si>
  <si>
    <t>ORD11150</t>
  </si>
  <si>
    <t>ORD11151</t>
  </si>
  <si>
    <t>ORD11152</t>
  </si>
  <si>
    <t>CUST713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</si>
  <si>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</si>
  <si>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</si>
  <si>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</si>
  <si>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</si>
  <si>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</si>
  <si>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</si>
  <si>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</si>
  <si>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</si>
  <si>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CUST180</t>
  </si>
  <si>
    <t>ORD11161</t>
  </si>
  <si>
    <t>CUST664</t>
  </si>
  <si>
    <t>ORD11162</t>
  </si>
  <si>
    <t>CUST169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</si>
  <si>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</si>
  <si>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</si>
  <si>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</si>
  <si>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</si>
  <si>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</si>
  <si>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</si>
  <si>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</si>
  <si>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</si>
  <si>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</si>
  <si>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</si>
  <si>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</si>
  <si>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</si>
  <si>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</si>
  <si>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</si>
  <si>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CUST679</t>
  </si>
  <si>
    <t>ORD11177</t>
  </si>
  <si>
    <t>ORD11178</t>
  </si>
  <si>
    <t>CUST265</t>
  </si>
  <si>
    <t>ORD11179</t>
  </si>
  <si>
    <t>CUST982</t>
  </si>
  <si>
    <t>ORD11180</t>
  </si>
  <si>
    <t>ORD11181</t>
  </si>
  <si>
    <t>ORD11182</t>
  </si>
  <si>
    <t>CUST997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</si>
  <si>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</si>
  <si>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</si>
  <si>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</si>
  <si>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</si>
  <si>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</si>
  <si>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</si>
  <si>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</si>
  <si>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</si>
  <si>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CUST893</t>
  </si>
  <si>
    <t>ORD11191</t>
  </si>
  <si>
    <t>ORD11192</t>
  </si>
  <si>
    <t>CUST721</t>
  </si>
  <si>
    <t>ORD11193</t>
  </si>
  <si>
    <t>ORD11194</t>
  </si>
  <si>
    <t>ORD11195</t>
  </si>
  <si>
    <t>ORD11196</t>
  </si>
  <si>
    <t>CUST610</t>
  </si>
  <si>
    <t>ORD11197</t>
  </si>
  <si>
    <t>ORD11198</t>
  </si>
  <si>
    <t>ORD11199</t>
  </si>
  <si>
    <t>ORD11200</t>
  </si>
  <si>
    <t>ORD11201</t>
  </si>
  <si>
    <t>CUST522</t>
  </si>
  <si>
    <t>ORD11202</t>
  </si>
  <si>
    <t>ORD11203</t>
  </si>
  <si>
    <t>ORD11204</t>
  </si>
  <si>
    <t>CUST102</t>
  </si>
  <si>
    <t>ORD11205</t>
  </si>
  <si>
    <t>ORD11206</t>
  </si>
  <si>
    <t>ORD11207</t>
  </si>
  <si>
    <t>ORD11208</t>
  </si>
  <si>
    <t>CUST175</t>
  </si>
  <si>
    <t>ORD11209</t>
  </si>
  <si>
    <t>CUST965</t>
  </si>
  <si>
    <t>ORD11210</t>
  </si>
  <si>
    <t>ORD11211</t>
  </si>
  <si>
    <t>CUST135</t>
  </si>
  <si>
    <t>ORD11212</t>
  </si>
  <si>
    <t>CUST251</t>
  </si>
  <si>
    <t>ORD11213</t>
  </si>
  <si>
    <t>CUST729</t>
  </si>
  <si>
    <t>ORD11214</t>
  </si>
  <si>
    <t>ORD11215</t>
  </si>
  <si>
    <t>ORD11216</t>
  </si>
  <si>
    <t>ORD11217</t>
  </si>
  <si>
    <t>ORD11218</t>
  </si>
  <si>
    <t>ORD11219</t>
  </si>
  <si>
    <t>ORD11220</t>
  </si>
  <si>
    <t>CUST234</t>
  </si>
  <si>
    <t>ORD11221</t>
  </si>
  <si>
    <t>ORD11222</t>
  </si>
  <si>
    <t>ORD11223</t>
  </si>
  <si>
    <t>CUST763</t>
  </si>
  <si>
    <t>ORD11224</t>
  </si>
  <si>
    <t>ORD11225</t>
  </si>
  <si>
    <t>ORD11226</t>
  </si>
  <si>
    <t>ORD11227</t>
  </si>
  <si>
    <t>CUST479</t>
  </si>
  <si>
    <t>ORD11228</t>
  </si>
  <si>
    <t>CUST355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</si>
  <si>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</si>
  <si>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</si>
  <si>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</si>
  <si>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</si>
  <si>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</si>
  <si>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</si>
  <si>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</si>
  <si>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</si>
  <si>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CUST951</t>
  </si>
  <si>
    <t>ORD11237</t>
  </si>
  <si>
    <t>ORD11238</t>
  </si>
  <si>
    <t>ORD11239</t>
  </si>
  <si>
    <t>CUST766</t>
  </si>
  <si>
    <t>ORD11240</t>
  </si>
  <si>
    <t>ORD11241</t>
  </si>
  <si>
    <t>CUST119</t>
  </si>
  <si>
    <t>ORD11242</t>
  </si>
  <si>
    <t>ORD11243</t>
  </si>
  <si>
    <t>ORD11244</t>
  </si>
  <si>
    <t>ORD11245</t>
  </si>
  <si>
    <t>ORD11246</t>
  </si>
  <si>
    <t>ORD11247</t>
  </si>
  <si>
    <t>CUST789</t>
  </si>
  <si>
    <t>ORD11248</t>
  </si>
  <si>
    <t>ORD11249</t>
  </si>
  <si>
    <t>ORD11250</t>
  </si>
  <si>
    <t>ORD11251</t>
  </si>
  <si>
    <t>CUST768</t>
  </si>
  <si>
    <t>ORD11252</t>
  </si>
  <si>
    <t>ORD11253</t>
  </si>
  <si>
    <t>ORD11254</t>
  </si>
  <si>
    <t>ORD11255</t>
  </si>
  <si>
    <t>CUST315</t>
  </si>
  <si>
    <t>ORD11256</t>
  </si>
  <si>
    <t>ORD11257</t>
  </si>
  <si>
    <t>CUST249</t>
  </si>
  <si>
    <t>ORD11258</t>
  </si>
  <si>
    <t>ORD11259</t>
  </si>
  <si>
    <t>CUST926</t>
  </si>
  <si>
    <t>Product_67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</si>
  <si>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</si>
  <si>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</si>
  <si>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</si>
  <si>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</si>
  <si>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</si>
  <si>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</si>
  <si>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</si>
  <si>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</si>
  <si>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</si>
  <si>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</si>
  <si>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</si>
  <si>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</si>
  <si>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</si>
  <si>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</si>
  <si>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</si>
  <si>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CUST139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</si>
  <si>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</si>
  <si>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</si>
  <si>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</si>
  <si>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</si>
  <si>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</si>
  <si>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</si>
  <si>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</si>
  <si>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</si>
  <si>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</si>
  <si>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</si>
  <si>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</si>
  <si>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</si>
  <si>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</si>
  <si>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</si>
  <si>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</si>
  <si>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</si>
  <si>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CUST701</t>
  </si>
  <si>
    <t>ORD11291</t>
  </si>
  <si>
    <t>ORD11292</t>
  </si>
  <si>
    <t>ORD11293</t>
  </si>
  <si>
    <t>CUST525</t>
  </si>
  <si>
    <t>ORD11294</t>
  </si>
  <si>
    <t>ORD11295</t>
  </si>
  <si>
    <t>ORD11296</t>
  </si>
  <si>
    <t>ORD11297</t>
  </si>
  <si>
    <t>ORD11298</t>
  </si>
  <si>
    <t>CUST254</t>
  </si>
  <si>
    <t>ORD11299</t>
  </si>
  <si>
    <t>ORD11300</t>
  </si>
  <si>
    <t>ORD11301</t>
  </si>
  <si>
    <t>ORD11302</t>
  </si>
  <si>
    <t>CUST633</t>
  </si>
  <si>
    <t>ORD11303</t>
  </si>
  <si>
    <t>ORD11304</t>
  </si>
  <si>
    <t>CUST814</t>
  </si>
  <si>
    <t>ORD11305</t>
  </si>
  <si>
    <t>ORD11306</t>
  </si>
  <si>
    <t>ORD11307</t>
  </si>
  <si>
    <t>ORD11308</t>
  </si>
  <si>
    <t>ORD11309</t>
  </si>
  <si>
    <t>ORD11310</t>
  </si>
  <si>
    <t>ORD11311</t>
  </si>
  <si>
    <t>CUST370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</si>
  <si>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</si>
  <si>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</si>
  <si>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</si>
  <si>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</si>
  <si>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</si>
  <si>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</si>
  <si>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</si>
  <si>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</si>
  <si>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</si>
  <si>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</si>
  <si>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</si>
  <si>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CUST569</t>
  </si>
  <si>
    <t>ORD11323</t>
  </si>
  <si>
    <t>ORD11324</t>
  </si>
  <si>
    <t>ORD11325</t>
  </si>
  <si>
    <t>ORD11326</t>
  </si>
  <si>
    <t>ORD11327</t>
  </si>
  <si>
    <t>ORD11328</t>
  </si>
  <si>
    <t>CUST289</t>
  </si>
  <si>
    <t>ORD11329</t>
  </si>
  <si>
    <t>ORD11330</t>
  </si>
  <si>
    <t>ORD11331</t>
  </si>
  <si>
    <t>ORD11332</t>
  </si>
  <si>
    <t>CUST961</t>
  </si>
  <si>
    <t>ORD11333</t>
  </si>
  <si>
    <t>ORD11334</t>
  </si>
  <si>
    <t>ORD11335</t>
  </si>
  <si>
    <t>ORD11336</t>
  </si>
  <si>
    <t>ORD11337</t>
  </si>
  <si>
    <t>CUST457</t>
  </si>
  <si>
    <t>ORD11338</t>
  </si>
  <si>
    <t>ORD11339</t>
  </si>
  <si>
    <t>CUST857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</si>
  <si>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</si>
  <si>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</si>
  <si>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</si>
  <si>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</si>
  <si>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</si>
  <si>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</si>
  <si>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</si>
  <si>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</si>
  <si>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</si>
  <si>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</si>
  <si>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</si>
  <si>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</si>
  <si>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</si>
  <si>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</si>
  <si>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</si>
  <si>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</si>
  <si>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</si>
  <si>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</si>
  <si>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</si>
  <si>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</si>
  <si>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</si>
  <si>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</si>
  <si>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</si>
  <si>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</si>
  <si>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</si>
  <si>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</si>
  <si>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</si>
  <si>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</si>
  <si>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</si>
  <si>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</si>
  <si>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</si>
  <si>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</si>
  <si>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</si>
  <si>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</si>
  <si>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</si>
  <si>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</si>
  <si>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CUST591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</si>
  <si>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</si>
  <si>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</si>
  <si>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</si>
  <si>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</si>
  <si>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</si>
  <si>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</si>
  <si>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</si>
  <si>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</si>
  <si>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</si>
  <si>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</si>
  <si>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</si>
  <si>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</si>
  <si>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CUST598</t>
  </si>
  <si>
    <t>ORD11388</t>
  </si>
  <si>
    <t>CUST724</t>
  </si>
  <si>
    <t>ORD11389</t>
  </si>
  <si>
    <t>ORD11390</t>
  </si>
  <si>
    <t>ORD11391</t>
  </si>
  <si>
    <t>ORD11392</t>
  </si>
  <si>
    <t>ORD11393</t>
  </si>
  <si>
    <t>ORD11394</t>
  </si>
  <si>
    <t>CUST720</t>
  </si>
  <si>
    <t>ORD11395</t>
  </si>
  <si>
    <t>CUST496</t>
  </si>
  <si>
    <t>ORD11396</t>
  </si>
  <si>
    <t>CUST353</t>
  </si>
  <si>
    <t>ORD11397</t>
  </si>
  <si>
    <t>CUST157</t>
  </si>
  <si>
    <t>ORD11398</t>
  </si>
  <si>
    <t>ORD11399</t>
  </si>
  <si>
    <t>ORD11400</t>
  </si>
  <si>
    <t>CUST301</t>
  </si>
  <si>
    <t>ORD11401</t>
  </si>
  <si>
    <t>ORD11402</t>
  </si>
  <si>
    <t>CUST128</t>
  </si>
  <si>
    <t>ORD11403</t>
  </si>
  <si>
    <t>ORD11404</t>
  </si>
  <si>
    <t>CUST864</t>
  </si>
  <si>
    <t>ORD11405</t>
  </si>
  <si>
    <t>CUST159</t>
  </si>
  <si>
    <t>ORD11406</t>
  </si>
  <si>
    <t>ORD11407</t>
  </si>
  <si>
    <t>ORD11408</t>
  </si>
  <si>
    <t>ORD11409</t>
  </si>
  <si>
    <t>CUST491</t>
  </si>
  <si>
    <t>ORD11410</t>
  </si>
  <si>
    <t>ORD11411</t>
  </si>
  <si>
    <t>ORD11412</t>
  </si>
  <si>
    <t>ORD11413</t>
  </si>
  <si>
    <t>ORD11414</t>
  </si>
  <si>
    <t>CUST941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</si>
  <si>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</si>
  <si>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</si>
  <si>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</si>
  <si>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</si>
  <si>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</si>
  <si>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</si>
  <si>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</si>
  <si>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</si>
  <si>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</si>
  <si>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</si>
  <si>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</si>
  <si>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</si>
  <si>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</si>
  <si>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</si>
  <si>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CUST148</t>
  </si>
  <si>
    <t>ORD11429</t>
  </si>
  <si>
    <t>CUST256</t>
  </si>
  <si>
    <t>ORD11430</t>
  </si>
  <si>
    <t>ORD11431</t>
  </si>
  <si>
    <t>ORD11432</t>
  </si>
  <si>
    <t>ORD11433</t>
  </si>
  <si>
    <t>ORD11434</t>
  </si>
  <si>
    <t>CUST374</t>
  </si>
  <si>
    <t>ORD11435</t>
  </si>
  <si>
    <t>ORD11436</t>
  </si>
  <si>
    <t>ORD11437</t>
  </si>
  <si>
    <t>ORD11438</t>
  </si>
  <si>
    <t>ORD11439</t>
  </si>
  <si>
    <t>CUST203</t>
  </si>
  <si>
    <t>ORD11440</t>
  </si>
  <si>
    <t>ORD11441</t>
  </si>
  <si>
    <t>ORD11442</t>
  </si>
  <si>
    <t>ORD11443</t>
  </si>
  <si>
    <t>ORD11444</t>
  </si>
  <si>
    <t>CUST445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</si>
  <si>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</si>
  <si>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</si>
  <si>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</si>
  <si>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</si>
  <si>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</si>
  <si>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</si>
  <si>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</si>
  <si>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</si>
  <si>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CUST328</t>
  </si>
  <si>
    <t>ORD11453</t>
  </si>
  <si>
    <t>CUST833</t>
  </si>
  <si>
    <t>ORD11454</t>
  </si>
  <si>
    <t>ORD11455</t>
  </si>
  <si>
    <t>ORD11456</t>
  </si>
  <si>
    <t>ORD11457</t>
  </si>
  <si>
    <t>CUST570</t>
  </si>
  <si>
    <t>ORD11458</t>
  </si>
  <si>
    <t>ORD11459</t>
  </si>
  <si>
    <t>ORD11460</t>
  </si>
  <si>
    <t>CUST509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</si>
  <si>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</si>
  <si>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</si>
  <si>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</si>
  <si>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</si>
  <si>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</si>
  <si>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</si>
  <si>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</si>
  <si>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</si>
  <si>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</si>
  <si>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</si>
  <si>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</si>
  <si>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</si>
  <si>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</si>
  <si>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</si>
  <si>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</si>
  <si>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CUST577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</si>
  <si>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</si>
  <si>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</si>
  <si>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</si>
  <si>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</si>
  <si>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</si>
  <si>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</si>
  <si>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</si>
  <si>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</si>
  <si>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</si>
  <si>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</si>
  <si>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</si>
  <si>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</si>
  <si>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</si>
  <si>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CUST132</t>
  </si>
  <si>
    <t>ORD11489</t>
  </si>
  <si>
    <t>ORD11490</t>
  </si>
  <si>
    <t>ORD11491</t>
  </si>
  <si>
    <t>CUST806</t>
  </si>
  <si>
    <t>ORD11492</t>
  </si>
  <si>
    <t>ORD11493</t>
  </si>
  <si>
    <t>ORD11494</t>
  </si>
  <si>
    <t>CUST630</t>
  </si>
  <si>
    <t>ORD11495</t>
  </si>
  <si>
    <t>ORD11496</t>
  </si>
  <si>
    <t>ORD11497</t>
  </si>
  <si>
    <t>ORD11498</t>
  </si>
  <si>
    <t>CUST600</t>
  </si>
  <si>
    <t>ORD11499</t>
  </si>
  <si>
    <t>ORD11500</t>
  </si>
  <si>
    <t>ORD11501</t>
  </si>
  <si>
    <t>CUST335</t>
  </si>
  <si>
    <t>ORD11502</t>
  </si>
  <si>
    <t>ORD11503</t>
  </si>
  <si>
    <t>ORD11504</t>
  </si>
  <si>
    <t>ORD11505</t>
  </si>
  <si>
    <t>ORD11506</t>
  </si>
  <si>
    <t>ORD11507</t>
  </si>
  <si>
    <t>CUST529</t>
  </si>
  <si>
    <t>ORD11508</t>
  </si>
  <si>
    <t>ORD11509</t>
  </si>
  <si>
    <t>ORD11510</t>
  </si>
  <si>
    <t>ORD11511</t>
  </si>
  <si>
    <t>ORD11512</t>
  </si>
  <si>
    <t>CUST863</t>
  </si>
  <si>
    <t>ORD11513</t>
  </si>
  <si>
    <t>ORD11514</t>
  </si>
  <si>
    <t>ORD11515</t>
  </si>
  <si>
    <t>ORD11516</t>
  </si>
  <si>
    <t>CUST686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</si>
  <si>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</si>
  <si>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</si>
  <si>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</si>
  <si>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</si>
  <si>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</si>
  <si>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</si>
  <si>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</si>
  <si>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</si>
  <si>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</si>
  <si>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</si>
  <si>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</si>
  <si>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</si>
  <si>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</si>
  <si>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</si>
  <si>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</si>
  <si>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</si>
  <si>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</si>
  <si>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</si>
  <si>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</si>
  <si>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CUST937</t>
  </si>
  <si>
    <t>ORD11536</t>
  </si>
  <si>
    <t>ORD11537</t>
  </si>
  <si>
    <t>ORD11538</t>
  </si>
  <si>
    <t>ORD11539</t>
  </si>
  <si>
    <t>ORD11540</t>
  </si>
  <si>
    <t>ORD11541</t>
  </si>
  <si>
    <t>ORD11542</t>
  </si>
  <si>
    <t>CUST510</t>
  </si>
  <si>
    <t>ORD11543</t>
  </si>
  <si>
    <t>ORD11544</t>
  </si>
  <si>
    <t>ORD11545</t>
  </si>
  <si>
    <t>ORD11546</t>
  </si>
  <si>
    <t>ORD11547</t>
  </si>
  <si>
    <t>ORD11548</t>
  </si>
  <si>
    <t>ORD11549</t>
  </si>
  <si>
    <t>CUST467</t>
  </si>
  <si>
    <t>ORD11550</t>
  </si>
  <si>
    <t>ORD11551</t>
  </si>
  <si>
    <t>ORD11552</t>
  </si>
  <si>
    <t>CUST216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</si>
  <si>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</si>
  <si>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</si>
  <si>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</si>
  <si>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</si>
  <si>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</si>
  <si>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</si>
  <si>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</si>
  <si>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</si>
  <si>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</si>
  <si>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CUST492</t>
  </si>
  <si>
    <t>ORD11562</t>
  </si>
  <si>
    <t>CUST782</t>
  </si>
  <si>
    <t>ORD11563</t>
  </si>
  <si>
    <t>ORD11564</t>
  </si>
  <si>
    <t>ORD11565</t>
  </si>
  <si>
    <t>ORD11566</t>
  </si>
  <si>
    <t>ORD11567</t>
  </si>
  <si>
    <t>ORD11568</t>
  </si>
  <si>
    <t>ORD11569</t>
  </si>
  <si>
    <t>CUST859</t>
  </si>
  <si>
    <t>ORD11570</t>
  </si>
  <si>
    <t>ORD11571</t>
  </si>
  <si>
    <t>ORD11572</t>
  </si>
  <si>
    <t>ORD11573</t>
  </si>
  <si>
    <t>CUST200</t>
  </si>
  <si>
    <t>ORD11574</t>
  </si>
  <si>
    <t>ORD11575</t>
  </si>
  <si>
    <t>ORD11576</t>
  </si>
  <si>
    <t>ORD11577</t>
  </si>
  <si>
    <t>ORD11578</t>
  </si>
  <si>
    <t>CUST606</t>
  </si>
  <si>
    <t>ORD11579</t>
  </si>
  <si>
    <t>ORD11580</t>
  </si>
  <si>
    <t>ORD11581</t>
  </si>
  <si>
    <t>CUST649</t>
  </si>
  <si>
    <t>ORD11582</t>
  </si>
  <si>
    <t>ORD11583</t>
  </si>
  <si>
    <t>ORD11584</t>
  </si>
  <si>
    <t>CUST389</t>
  </si>
  <si>
    <t>ORD11585</t>
  </si>
  <si>
    <t>ORD11586</t>
  </si>
  <si>
    <t>ORD11587</t>
  </si>
  <si>
    <t>ORD11588</t>
  </si>
  <si>
    <t>CUST341</t>
  </si>
  <si>
    <t>ORD11589</t>
  </si>
  <si>
    <t>ORD11590</t>
  </si>
  <si>
    <t>ORD11591</t>
  </si>
  <si>
    <t>ORD11592</t>
  </si>
  <si>
    <t>ORD11593</t>
  </si>
  <si>
    <t>ORD11594</t>
  </si>
  <si>
    <t>ORD11595</t>
  </si>
  <si>
    <t>CUST437</t>
  </si>
  <si>
    <t>ORD11596</t>
  </si>
  <si>
    <t>ORD11597</t>
  </si>
  <si>
    <t>ORD11598</t>
  </si>
  <si>
    <t>CUST597</t>
  </si>
  <si>
    <t>ORD11599</t>
  </si>
  <si>
    <t>ORD11600</t>
  </si>
  <si>
    <t>ORD11601</t>
  </si>
  <si>
    <t>CUST871</t>
  </si>
  <si>
    <t>ORD11602</t>
  </si>
  <si>
    <t>CUST635</t>
  </si>
  <si>
    <t>ORD11603</t>
  </si>
  <si>
    <t>ORD11604</t>
  </si>
  <si>
    <t>CUST758</t>
  </si>
  <si>
    <t>ORD11605</t>
  </si>
  <si>
    <t>ORD11606</t>
  </si>
  <si>
    <t>ORD11607</t>
  </si>
  <si>
    <t>ORD11608</t>
  </si>
  <si>
    <t>ORD11609</t>
  </si>
  <si>
    <t>CUST414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</si>
  <si>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</si>
  <si>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</si>
  <si>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</si>
  <si>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</si>
  <si>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</si>
  <si>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</si>
  <si>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</si>
  <si>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</si>
  <si>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</si>
  <si>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</si>
  <si>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</si>
  <si>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</si>
  <si>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</si>
  <si>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</si>
  <si>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</si>
  <si>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</si>
  <si>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CUST738</t>
  </si>
  <si>
    <t>ORD11626</t>
  </si>
  <si>
    <t>ORD11627</t>
  </si>
  <si>
    <t>ORD11628</t>
  </si>
  <si>
    <t>ORD11629</t>
  </si>
  <si>
    <t>ORD11630</t>
  </si>
  <si>
    <t>CUST271</t>
  </si>
  <si>
    <t>ORD11631</t>
  </si>
  <si>
    <t>CUST397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</si>
  <si>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</si>
  <si>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</si>
  <si>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</si>
  <si>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</si>
  <si>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</si>
  <si>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</si>
  <si>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</si>
  <si>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</si>
  <si>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</si>
  <si>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</si>
  <si>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CUST921</t>
  </si>
  <si>
    <t>ORD11642</t>
  </si>
  <si>
    <t>CUST470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</si>
  <si>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</si>
  <si>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</si>
  <si>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</si>
  <si>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</si>
  <si>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</si>
  <si>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</si>
  <si>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</si>
  <si>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</si>
  <si>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</si>
  <si>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</si>
  <si>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</si>
  <si>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</si>
  <si>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</si>
  <si>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</si>
  <si>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</si>
  <si>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</si>
  <si>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</si>
  <si>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CUST116</t>
  </si>
  <si>
    <t>ORD11660</t>
  </si>
  <si>
    <t>CUST299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</si>
  <si>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</si>
  <si>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</si>
  <si>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</si>
  <si>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</si>
  <si>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</si>
  <si>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</si>
  <si>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</si>
  <si>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</si>
  <si>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</si>
  <si>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</si>
  <si>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ORD11671</t>
  </si>
  <si>
    <t>ORD11672</t>
  </si>
  <si>
    <t>ORD11673</t>
  </si>
  <si>
    <t>ORD11674</t>
  </si>
  <si>
    <t>ORD11675</t>
  </si>
  <si>
    <t>ORD11676</t>
  </si>
  <si>
    <t>CUST224</t>
  </si>
  <si>
    <t>ORD11677</t>
  </si>
  <si>
    <t>ORD11678</t>
  </si>
  <si>
    <t>ORD11679</t>
  </si>
  <si>
    <t>CUST611</t>
  </si>
  <si>
    <t>ORD11680</t>
  </si>
  <si>
    <t>ORD11681</t>
  </si>
  <si>
    <t>ORD11682</t>
  </si>
  <si>
    <t>ORD11683</t>
  </si>
  <si>
    <t>CUST423</t>
  </si>
  <si>
    <t>ORD11684</t>
  </si>
  <si>
    <t>ORD11685</t>
  </si>
  <si>
    <t>ORD11686</t>
  </si>
  <si>
    <t>CUST134</t>
  </si>
  <si>
    <t>ORD11687</t>
  </si>
  <si>
    <t>ORD11688</t>
  </si>
  <si>
    <t>CUST419</t>
  </si>
  <si>
    <t>ORD11689</t>
  </si>
  <si>
    <t>ORD11690</t>
  </si>
  <si>
    <t>ORD11691</t>
  </si>
  <si>
    <t>CUST270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</si>
  <si>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</si>
  <si>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</si>
  <si>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</si>
  <si>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</si>
  <si>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</si>
  <si>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</si>
  <si>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</si>
  <si>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</si>
  <si>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</si>
  <si>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CUST474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</si>
  <si>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</si>
  <si>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</si>
  <si>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</si>
  <si>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</si>
  <si>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</si>
  <si>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</si>
  <si>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</si>
  <si>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</si>
  <si>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</si>
  <si>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</si>
  <si>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CUST687</t>
  </si>
  <si>
    <t>ORD11711</t>
  </si>
  <si>
    <t>ORD11712</t>
  </si>
  <si>
    <t>ORD11713</t>
  </si>
  <si>
    <t>ORD11714</t>
  </si>
  <si>
    <t>CUST718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</si>
  <si>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</si>
  <si>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</si>
  <si>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</si>
  <si>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</si>
  <si>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</si>
  <si>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</si>
  <si>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</si>
  <si>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</si>
  <si>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CUST313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</si>
  <si>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</si>
  <si>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</si>
  <si>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</si>
  <si>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</si>
  <si>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</si>
  <si>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</si>
  <si>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</si>
  <si>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</si>
  <si>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</si>
  <si>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</si>
  <si>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</si>
  <si>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CUST682</t>
  </si>
  <si>
    <t>ORD11734</t>
  </si>
  <si>
    <t>ORD11735</t>
  </si>
  <si>
    <t>ORD11736</t>
  </si>
  <si>
    <t>ORD11737</t>
  </si>
  <si>
    <t>ORD11738</t>
  </si>
  <si>
    <t>ORD11739</t>
  </si>
  <si>
    <t>ORD11740</t>
  </si>
  <si>
    <t>CUST325</t>
  </si>
  <si>
    <t>ORD11741</t>
  </si>
  <si>
    <t>ORD11742</t>
  </si>
  <si>
    <t>ORD11743</t>
  </si>
  <si>
    <t>ORD11744</t>
  </si>
  <si>
    <t>ORD11745</t>
  </si>
  <si>
    <t>ORD11746</t>
  </si>
  <si>
    <t>ORD11747</t>
  </si>
  <si>
    <t>CUST111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</si>
  <si>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</si>
  <si>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</si>
  <si>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</si>
  <si>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</si>
  <si>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</si>
  <si>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</si>
  <si>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</si>
  <si>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</si>
  <si>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</si>
  <si>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</si>
  <si>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</si>
  <si>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</si>
  <si>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</si>
  <si>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</si>
  <si>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</si>
  <si>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</si>
  <si>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</si>
  <si>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</si>
  <si>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</si>
  <si>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</si>
  <si>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</si>
  <si>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</si>
  <si>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</si>
  <si>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</si>
  <si>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CUST307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</si>
  <si>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</si>
  <si>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</si>
  <si>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</si>
  <si>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</si>
  <si>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</si>
  <si>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</si>
  <si>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</si>
  <si>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</si>
  <si>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</si>
  <si>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</si>
  <si>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CUST384</t>
  </si>
  <si>
    <t>ORD11782</t>
  </si>
  <si>
    <t>ORD11783</t>
  </si>
  <si>
    <t>CUST565</t>
  </si>
  <si>
    <t>ORD11784</t>
  </si>
  <si>
    <t>ORD11785</t>
  </si>
  <si>
    <t>ORD11786</t>
  </si>
  <si>
    <t>CUST320</t>
  </si>
  <si>
    <t>ORD11787</t>
  </si>
  <si>
    <t>ORD11788</t>
  </si>
  <si>
    <t>ORD11789</t>
  </si>
  <si>
    <t>CUST429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</si>
  <si>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</si>
  <si>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</si>
  <si>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</si>
  <si>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</si>
  <si>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</si>
  <si>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</si>
  <si>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</si>
  <si>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</si>
  <si>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</si>
  <si>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CUST430</t>
  </si>
  <si>
    <t>ORD11799</t>
  </si>
  <si>
    <t>ORD11800</t>
  </si>
  <si>
    <t>ORD11801</t>
  </si>
  <si>
    <t>ORD11802</t>
  </si>
  <si>
    <t>ORD11803</t>
  </si>
  <si>
    <t>CUST542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</si>
  <si>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</si>
  <si>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</si>
  <si>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</si>
  <si>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</si>
  <si>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</si>
  <si>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</si>
  <si>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</si>
  <si>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</si>
  <si>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</si>
  <si>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</si>
  <si>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</si>
  <si>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</si>
  <si>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</si>
  <si>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</si>
  <si>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CUST589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</si>
  <si>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</si>
  <si>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</si>
  <si>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</si>
  <si>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</si>
  <si>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</si>
  <si>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</si>
  <si>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</si>
  <si>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</si>
  <si>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</si>
  <si>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</si>
  <si>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CUST574</t>
  </si>
  <si>
    <t>ORD11828</t>
  </si>
  <si>
    <t>ORD11829</t>
  </si>
  <si>
    <t>ORD11830</t>
  </si>
  <si>
    <t>ORD11831</t>
  </si>
  <si>
    <t>ORD11832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</si>
  <si>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</si>
  <si>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</si>
  <si>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</si>
  <si>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</si>
  <si>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</si>
  <si>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</si>
  <si>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</si>
  <si>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</si>
  <si>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</si>
  <si>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</si>
  <si>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</si>
  <si>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</si>
  <si>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</si>
  <si>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</si>
  <si>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</si>
  <si>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</si>
  <si>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</si>
  <si>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</si>
  <si>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</si>
  <si>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</si>
  <si>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</si>
  <si>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CUST420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</si>
  <si>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</si>
  <si>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</si>
  <si>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</si>
  <si>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</si>
  <si>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</si>
  <si>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</si>
  <si>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</si>
  <si>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</si>
  <si>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</si>
  <si>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</si>
  <si>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</si>
  <si>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</si>
  <si>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CUST578</t>
  </si>
  <si>
    <t>ORD11866</t>
  </si>
  <si>
    <t>ORD11867</t>
  </si>
  <si>
    <t>ORD11868</t>
  </si>
  <si>
    <t>CUST702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</si>
  <si>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</si>
  <si>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</si>
  <si>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</si>
  <si>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</si>
  <si>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</si>
  <si>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</si>
  <si>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</si>
  <si>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</si>
  <si>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</si>
  <si>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CUST461</t>
  </si>
  <si>
    <t>ORD11878</t>
  </si>
  <si>
    <t>ORD11879</t>
  </si>
  <si>
    <t>ORD11880</t>
  </si>
  <si>
    <t>ORD11881</t>
  </si>
  <si>
    <t>ORD11882</t>
  </si>
  <si>
    <t>ORD11883</t>
  </si>
  <si>
    <t>CUST873</t>
  </si>
  <si>
    <t>ORD11884</t>
  </si>
  <si>
    <t>ORD11885</t>
  </si>
  <si>
    <t>ORD11886</t>
  </si>
  <si>
    <t>ORD11887</t>
  </si>
  <si>
    <t>ORD11888</t>
  </si>
  <si>
    <t>ORD11889</t>
  </si>
  <si>
    <t>ORD11890</t>
  </si>
  <si>
    <t>CUST507</t>
  </si>
  <si>
    <t>ORD11891</t>
  </si>
  <si>
    <t>ORD11892</t>
  </si>
  <si>
    <t>CUST631</t>
  </si>
  <si>
    <t>ORD11893</t>
  </si>
  <si>
    <t>ORD11894</t>
  </si>
  <si>
    <t>ORD11895</t>
  </si>
  <si>
    <t>ORD11896</t>
  </si>
  <si>
    <t>CUST812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</si>
  <si>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</si>
  <si>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</si>
  <si>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</si>
  <si>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</si>
  <si>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</si>
  <si>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</si>
  <si>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</si>
  <si>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</si>
  <si>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</si>
  <si>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</si>
  <si>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</si>
  <si>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</si>
  <si>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</si>
  <si>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</si>
  <si>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</si>
  <si>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</si>
  <si>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</si>
  <si>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</si>
  <si>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</si>
  <si>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</si>
  <si>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</si>
  <si>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</si>
  <si>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</si>
  <si>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</si>
  <si>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</si>
  <si>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</si>
  <si>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</si>
  <si>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</si>
  <si>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</si>
  <si>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</si>
  <si>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</si>
  <si>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</si>
  <si>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</si>
  <si>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CUST554</t>
  </si>
  <si>
    <t>ORD11930</t>
  </si>
  <si>
    <t>ORD11931</t>
  </si>
  <si>
    <t>CUST741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</si>
  <si>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</si>
  <si>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</si>
  <si>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</si>
  <si>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</si>
  <si>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</si>
  <si>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</si>
  <si>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</si>
  <si>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</si>
  <si>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</si>
  <si>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</si>
  <si>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CUST920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</si>
  <si>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</si>
  <si>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</si>
  <si>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</si>
  <si>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</si>
  <si>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</si>
  <si>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</si>
  <si>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</si>
  <si>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</si>
  <si>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</si>
  <si>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</si>
  <si>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</si>
  <si>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</si>
  <si>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</si>
  <si>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</si>
  <si>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</si>
  <si>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</si>
  <si>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</si>
  <si>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</si>
  <si>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</si>
  <si>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</si>
  <si>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</si>
  <si>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</si>
  <si>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</si>
  <si>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</si>
  <si>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</si>
  <si>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</si>
  <si>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</si>
  <si>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CUST280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</si>
  <si>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</si>
  <si>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</si>
  <si>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</si>
  <si>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</si>
  <si>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</si>
  <si>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</si>
  <si>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</si>
  <si>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</si>
  <si>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</si>
  <si>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</si>
  <si>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</si>
  <si>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</si>
  <si>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CUST787</t>
  </si>
  <si>
    <t>ORD11981</t>
  </si>
  <si>
    <t>ORD11982</t>
  </si>
  <si>
    <t>ORD11983</t>
  </si>
  <si>
    <t>CUST817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</si>
  <si>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</si>
  <si>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</si>
  <si>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</si>
  <si>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</si>
  <si>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</si>
  <si>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</si>
  <si>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</si>
  <si>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</si>
  <si>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</si>
  <si>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</si>
  <si>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</si>
  <si>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</si>
  <si>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</si>
  <si>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</si>
  <si>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</si>
  <si>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</si>
  <si>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</si>
  <si>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</si>
  <si>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</si>
  <si>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CUST837</t>
  </si>
  <si>
    <t>ORD12003</t>
  </si>
  <si>
    <t>ORD12004</t>
  </si>
  <si>
    <t>CUST778</t>
  </si>
  <si>
    <t>ORD12005</t>
  </si>
  <si>
    <t>ORD12006</t>
  </si>
  <si>
    <t>CUST987</t>
  </si>
  <si>
    <t>ORD12007</t>
  </si>
  <si>
    <t>ORD12008</t>
  </si>
  <si>
    <t>ORD12009</t>
  </si>
  <si>
    <t>ORD12010</t>
  </si>
  <si>
    <t>ORD12011</t>
  </si>
  <si>
    <t>CUST739</t>
  </si>
  <si>
    <t>ORD12012</t>
  </si>
  <si>
    <t>ORD12013</t>
  </si>
  <si>
    <t>ORD12014</t>
  </si>
  <si>
    <t>CUST154</t>
  </si>
  <si>
    <t>ORD12015</t>
  </si>
  <si>
    <t>ORD12016</t>
  </si>
  <si>
    <t>ORD12017</t>
  </si>
  <si>
    <t>ORD12018</t>
  </si>
  <si>
    <t>ORD12019</t>
  </si>
  <si>
    <t>ORD12020</t>
  </si>
  <si>
    <t>ORD12021</t>
  </si>
  <si>
    <t>CUST163</t>
  </si>
  <si>
    <t>ORD12022</t>
  </si>
  <si>
    <t>CUST827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</si>
  <si>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</si>
  <si>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</si>
  <si>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</si>
  <si>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</si>
  <si>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</si>
  <si>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</si>
  <si>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</si>
  <si>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</si>
  <si>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</si>
  <si>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</si>
  <si>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</si>
  <si>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</si>
  <si>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</si>
  <si>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</si>
  <si>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</si>
  <si>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</si>
  <si>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</si>
  <si>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</si>
  <si>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</si>
  <si>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</si>
  <si>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</si>
  <si>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</si>
  <si>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</si>
  <si>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ORD12046</t>
  </si>
  <si>
    <t>ORD12047</t>
  </si>
  <si>
    <t>ORD12048</t>
  </si>
  <si>
    <t>ORD12049</t>
  </si>
  <si>
    <t>ORD12050</t>
  </si>
  <si>
    <t>ORD12051</t>
  </si>
  <si>
    <t>ORD12052</t>
  </si>
  <si>
    <t>CUST543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</si>
  <si>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</si>
  <si>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</si>
  <si>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</si>
  <si>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</si>
  <si>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</si>
  <si>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</si>
  <si>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</si>
  <si>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</si>
  <si>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</si>
  <si>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</si>
  <si>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</si>
  <si>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</si>
  <si>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</si>
  <si>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</si>
  <si>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</si>
  <si>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</si>
  <si>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</si>
  <si>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</si>
  <si>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</si>
  <si>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CUST277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</si>
  <si>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</si>
  <si>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</si>
  <si>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</si>
  <si>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</si>
  <si>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</si>
  <si>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</si>
  <si>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</si>
  <si>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</si>
  <si>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CUST850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</si>
  <si>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</si>
  <si>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</si>
  <si>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</si>
  <si>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</si>
  <si>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</si>
  <si>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</si>
  <si>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</si>
  <si>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</si>
  <si>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</si>
  <si>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</si>
  <si>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CUST400</t>
  </si>
  <si>
    <t>ORD12090</t>
  </si>
  <si>
    <t>CUST535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</si>
  <si>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</si>
  <si>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</si>
  <si>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</si>
  <si>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</si>
  <si>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</si>
  <si>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</si>
  <si>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</si>
  <si>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</si>
  <si>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</si>
  <si>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CUST378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</si>
  <si>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</si>
  <si>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</si>
  <si>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</si>
  <si>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</si>
  <si>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</si>
  <si>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</si>
  <si>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</si>
  <si>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</si>
  <si>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</si>
  <si>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</si>
  <si>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</si>
  <si>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</si>
  <si>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</si>
  <si>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</si>
  <si>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</si>
  <si>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</si>
  <si>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</si>
  <si>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</si>
  <si>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</si>
  <si>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</si>
  <si>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</si>
  <si>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</si>
  <si>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</si>
  <si>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</si>
  <si>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</si>
  <si>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</si>
  <si>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</si>
  <si>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</si>
  <si>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</si>
  <si>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</si>
  <si>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</si>
  <si>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</si>
  <si>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</si>
  <si>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</si>
  <si>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CUST757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</si>
  <si>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</si>
  <si>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</si>
  <si>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</si>
  <si>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</si>
  <si>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</si>
  <si>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</si>
  <si>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</si>
  <si>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</si>
  <si>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</si>
  <si>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CUST801</t>
  </si>
  <si>
    <t>ORD12143</t>
  </si>
  <si>
    <t>ORD12144</t>
  </si>
  <si>
    <t>CUST243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</si>
  <si>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</si>
  <si>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</si>
  <si>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</si>
  <si>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</si>
  <si>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</si>
  <si>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</si>
  <si>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</si>
  <si>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</si>
  <si>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</si>
  <si>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</si>
  <si>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</si>
  <si>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</si>
  <si>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</si>
  <si>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</si>
  <si>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</si>
  <si>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</si>
  <si>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CUST541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</si>
  <si>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</si>
  <si>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</si>
  <si>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</si>
  <si>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</si>
  <si>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</si>
  <si>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</si>
  <si>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</si>
  <si>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</si>
  <si>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</si>
  <si>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CUST902</t>
  </si>
  <si>
    <t>ORD12170</t>
  </si>
  <si>
    <t>ORD12171</t>
  </si>
  <si>
    <t>ORD12172</t>
  </si>
  <si>
    <t>ORD12173</t>
  </si>
  <si>
    <t>ORD12174</t>
  </si>
  <si>
    <t>ORD12175</t>
  </si>
  <si>
    <t>ORD12176</t>
  </si>
  <si>
    <t>CUST336</t>
  </si>
  <si>
    <t>ORD12177</t>
  </si>
  <si>
    <t>CUST477</t>
  </si>
  <si>
    <t>ORD12178</t>
  </si>
  <si>
    <t>CUST201</t>
  </si>
  <si>
    <t>ORD12179</t>
  </si>
  <si>
    <t>CUST388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</si>
  <si>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</si>
  <si>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</si>
  <si>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</si>
  <si>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</si>
  <si>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</si>
  <si>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</si>
  <si>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</si>
  <si>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</si>
  <si>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</si>
  <si>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</si>
  <si>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</si>
  <si>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</si>
  <si>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CUST366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</si>
  <si>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</si>
  <si>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</si>
  <si>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</si>
  <si>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</si>
  <si>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</si>
  <si>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</si>
  <si>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</si>
  <si>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</si>
  <si>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</si>
  <si>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</si>
  <si>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</si>
  <si>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</si>
  <si>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</si>
  <si>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</si>
  <si>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CUST360</t>
  </si>
  <si>
    <t>ORD12206</t>
  </si>
  <si>
    <t>ORD12207</t>
  </si>
  <si>
    <t>ORD12208</t>
  </si>
  <si>
    <t>ORD12209</t>
  </si>
  <si>
    <t>ORD12210</t>
  </si>
  <si>
    <t>ORD12211</t>
  </si>
  <si>
    <t>ORD12212</t>
  </si>
  <si>
    <t>CUST151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</si>
  <si>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</si>
  <si>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</si>
  <si>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</si>
  <si>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</si>
  <si>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</si>
  <si>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</si>
  <si>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</si>
  <si>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</si>
  <si>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CUST886</t>
  </si>
  <si>
    <t>ORD12221</t>
  </si>
  <si>
    <t>ORD12222</t>
  </si>
  <si>
    <t>ORD12223</t>
  </si>
  <si>
    <t>ORD12224</t>
  </si>
  <si>
    <t>ORD12225</t>
  </si>
  <si>
    <t>CUST878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</si>
  <si>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</si>
  <si>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</si>
  <si>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</si>
  <si>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</si>
  <si>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</si>
  <si>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</si>
  <si>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</si>
  <si>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</si>
  <si>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</si>
  <si>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</si>
  <si>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</si>
  <si>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</si>
  <si>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CUST490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</si>
  <si>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</si>
  <si>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</si>
  <si>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</si>
  <si>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</si>
  <si>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</si>
  <si>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</si>
  <si>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</si>
  <si>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</si>
  <si>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CUST669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</si>
  <si>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</si>
  <si>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</si>
  <si>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</si>
  <si>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</si>
  <si>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</si>
  <si>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</si>
  <si>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</si>
  <si>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</si>
  <si>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</si>
  <si>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</si>
  <si>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</si>
  <si>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</si>
  <si>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CUST141</t>
  </si>
  <si>
    <t>ORD12258</t>
  </si>
  <si>
    <t>ORD12259</t>
  </si>
  <si>
    <t>ORD12260</t>
  </si>
  <si>
    <t>ORD12261</t>
  </si>
  <si>
    <t>ORD12262</t>
  </si>
  <si>
    <t>ORD12263</t>
  </si>
  <si>
    <t>ORD12264</t>
  </si>
  <si>
    <t>CUST998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</si>
  <si>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</si>
  <si>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</si>
  <si>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</si>
  <si>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</si>
  <si>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</si>
  <si>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</si>
  <si>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</si>
  <si>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</si>
  <si>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</si>
  <si>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</si>
  <si>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</si>
  <si>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</si>
  <si>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</si>
  <si>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</si>
  <si>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</si>
  <si>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</si>
  <si>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</si>
  <si>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</si>
  <si>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CUST962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</si>
  <si>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</si>
  <si>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</si>
  <si>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</si>
  <si>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</si>
  <si>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</si>
  <si>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</si>
  <si>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</si>
  <si>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</si>
  <si>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</si>
  <si>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CUST989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</si>
  <si>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</si>
  <si>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</si>
  <si>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</si>
  <si>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</si>
  <si>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</si>
  <si>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</si>
  <si>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</si>
  <si>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</si>
  <si>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</si>
  <si>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</si>
  <si>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</si>
  <si>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</si>
  <si>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</si>
  <si>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</si>
  <si>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</si>
  <si>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</si>
  <si>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</si>
  <si>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</si>
  <si>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</si>
  <si>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</si>
  <si>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</si>
  <si>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</si>
  <si>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</si>
  <si>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</si>
  <si>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</si>
  <si>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</si>
  <si>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</si>
  <si>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</si>
  <si>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</si>
  <si>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</si>
  <si>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</si>
  <si>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CUST442</t>
  </si>
  <si>
    <t>ORD12323</t>
  </si>
  <si>
    <t>ORD12324</t>
  </si>
  <si>
    <t>ORD12325</t>
  </si>
  <si>
    <t>ORD12326</t>
  </si>
  <si>
    <t>CUST532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</si>
  <si>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</si>
  <si>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</si>
  <si>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</si>
  <si>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</si>
  <si>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</si>
  <si>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</si>
  <si>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</si>
  <si>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</si>
  <si>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CUST576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</si>
  <si>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</si>
  <si>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</si>
  <si>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</si>
  <si>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</si>
  <si>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</si>
  <si>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</si>
  <si>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</si>
  <si>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</si>
  <si>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CUST619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</si>
  <si>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</si>
  <si>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</si>
  <si>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</si>
  <si>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</si>
  <si>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</si>
  <si>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</si>
  <si>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</si>
  <si>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</si>
  <si>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</si>
  <si>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</si>
  <si>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</si>
  <si>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</si>
  <si>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</si>
  <si>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</si>
  <si>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</si>
  <si>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</si>
  <si>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</si>
  <si>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</si>
  <si>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</si>
  <si>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</si>
  <si>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</si>
  <si>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</si>
  <si>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</si>
  <si>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</si>
  <si>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</si>
  <si>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</si>
  <si>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</si>
  <si>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</si>
  <si>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</si>
  <si>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</si>
  <si>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</si>
  <si>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</si>
  <si>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</si>
  <si>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</si>
  <si>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CUST257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</si>
  <si>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</si>
  <si>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</si>
  <si>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</si>
  <si>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</si>
  <si>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</si>
  <si>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</si>
  <si>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</si>
  <si>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</si>
  <si>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</si>
  <si>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</si>
  <si>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</si>
  <si>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</si>
  <si>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</si>
  <si>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</si>
  <si>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</si>
  <si>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</si>
  <si>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</si>
  <si>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</si>
  <si>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</si>
  <si>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</si>
  <si>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ORD12397</t>
  </si>
  <si>
    <t>ORD12398</t>
  </si>
  <si>
    <t>ORD12399</t>
  </si>
  <si>
    <t>CUST471</t>
  </si>
  <si>
    <t>ORD12400</t>
  </si>
  <si>
    <t>ORD12401</t>
  </si>
  <si>
    <t>ORD12402</t>
  </si>
  <si>
    <t>ORD12403</t>
  </si>
  <si>
    <t>ORD12404</t>
  </si>
  <si>
    <t>CUST304</t>
  </si>
  <si>
    <t>ORD12405</t>
  </si>
  <si>
    <t>ORD12406</t>
  </si>
  <si>
    <t>ORD12407</t>
  </si>
  <si>
    <t>ORD12408</t>
  </si>
  <si>
    <t>ORD12409</t>
  </si>
  <si>
    <t>CUST217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</si>
  <si>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</si>
  <si>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</si>
  <si>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</si>
  <si>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</si>
  <si>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</si>
  <si>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</si>
  <si>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</si>
  <si>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</si>
  <si>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</si>
  <si>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CUST888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</si>
  <si>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</si>
  <si>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</si>
  <si>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</si>
  <si>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</si>
  <si>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</si>
  <si>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</si>
  <si>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</si>
  <si>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</si>
  <si>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</si>
  <si>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</si>
  <si>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</si>
  <si>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CUST446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</si>
  <si>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</si>
  <si>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</si>
  <si>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</si>
  <si>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</si>
  <si>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</si>
  <si>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</si>
  <si>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</si>
  <si>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</si>
  <si>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</si>
  <si>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</si>
  <si>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</si>
  <si>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</si>
  <si>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ORD12442</t>
  </si>
  <si>
    <t>ORD12443</t>
  </si>
  <si>
    <t>ORD12444</t>
  </si>
  <si>
    <t>ORD12445</t>
  </si>
  <si>
    <t>ORD12446</t>
  </si>
  <si>
    <t>ORD12447</t>
  </si>
  <si>
    <t>ORD12448</t>
  </si>
  <si>
    <t>CUST179</t>
  </si>
  <si>
    <t>ORD12449</t>
  </si>
  <si>
    <t>ORD12450</t>
  </si>
  <si>
    <t>ORD12451</t>
  </si>
  <si>
    <t>ORD12452</t>
  </si>
  <si>
    <t>ORD12453</t>
  </si>
  <si>
    <t>ORD12454</t>
  </si>
  <si>
    <t>ORD12455</t>
  </si>
  <si>
    <t>CUST236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</si>
  <si>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</si>
  <si>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</si>
  <si>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</si>
  <si>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</si>
  <si>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</si>
  <si>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</si>
  <si>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</si>
  <si>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</si>
  <si>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</si>
  <si>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</si>
  <si>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</si>
  <si>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</si>
  <si>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</si>
  <si>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</si>
  <si>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</si>
  <si>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</si>
  <si>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</si>
  <si>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</si>
  <si>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</si>
  <si>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</si>
  <si>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</si>
  <si>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</si>
  <si>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</si>
  <si>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</si>
  <si>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</si>
  <si>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</si>
  <si>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</si>
  <si>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</si>
  <si>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</si>
  <si>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</si>
  <si>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</si>
  <si>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</si>
  <si>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</si>
  <si>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</si>
  <si>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CUST401</t>
  </si>
  <si>
    <t>ORD12490</t>
  </si>
  <si>
    <t>CUST206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</si>
  <si>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</si>
  <si>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</si>
  <si>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</si>
  <si>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</si>
  <si>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</si>
  <si>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</si>
  <si>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</si>
  <si>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</si>
  <si>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</si>
  <si>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</si>
  <si>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</si>
  <si>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</si>
  <si>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</si>
  <si>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</si>
  <si>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</si>
  <si>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</si>
  <si>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</si>
  <si>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</si>
  <si>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</si>
  <si>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</si>
  <si>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CUST195</t>
  </si>
  <si>
    <t>ORD12511</t>
  </si>
  <si>
    <t>ORD12512</t>
  </si>
  <si>
    <t>ORD12513</t>
  </si>
  <si>
    <t>ORD12514</t>
  </si>
  <si>
    <t>ORD12515</t>
  </si>
  <si>
    <t>ORD12516</t>
  </si>
  <si>
    <t>ORD12517</t>
  </si>
  <si>
    <t>CUST392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</si>
  <si>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</si>
  <si>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</si>
  <si>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</si>
  <si>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</si>
  <si>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</si>
  <si>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</si>
  <si>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</si>
  <si>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</si>
  <si>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</si>
  <si>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</si>
  <si>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</si>
  <si>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</si>
  <si>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</si>
  <si>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</si>
  <si>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</si>
  <si>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</si>
  <si>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</si>
  <si>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</si>
  <si>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</si>
  <si>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</si>
  <si>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</si>
  <si>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</si>
  <si>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</si>
  <si>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</si>
  <si>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</si>
  <si>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</si>
  <si>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</si>
  <si>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</si>
  <si>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</si>
  <si>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</si>
  <si>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</si>
  <si>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</si>
  <si>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</si>
  <si>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</si>
  <si>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</si>
  <si>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</si>
  <si>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</si>
  <si>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</si>
  <si>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</si>
  <si>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</si>
  <si>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</si>
  <si>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</si>
  <si>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CUST136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</si>
  <si>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</si>
  <si>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</si>
  <si>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</si>
  <si>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</si>
  <si>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</si>
  <si>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</si>
  <si>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</si>
  <si>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</si>
  <si>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</si>
  <si>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</si>
  <si>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</si>
  <si>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</si>
  <si>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CUST883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</si>
  <si>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</si>
  <si>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</si>
  <si>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</si>
  <si>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</si>
  <si>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</si>
  <si>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</si>
  <si>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</si>
  <si>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</si>
  <si>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</si>
  <si>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</si>
  <si>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</si>
  <si>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</si>
  <si>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CUST329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</si>
  <si>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</si>
  <si>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</si>
  <si>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</si>
  <si>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</si>
  <si>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</si>
  <si>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</si>
  <si>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</si>
  <si>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</si>
  <si>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</si>
  <si>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</si>
  <si>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</si>
  <si>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</si>
  <si>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</si>
  <si>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</si>
  <si>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</si>
  <si>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</si>
  <si>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</si>
  <si>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</si>
  <si>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</si>
  <si>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</si>
  <si>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</si>
  <si>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</si>
  <si>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</si>
  <si>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</si>
  <si>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</si>
  <si>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</si>
  <si>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</si>
  <si>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CUST220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</si>
  <si>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</si>
  <si>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</si>
  <si>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</si>
  <si>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</si>
  <si>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</si>
  <si>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</si>
  <si>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</si>
  <si>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</si>
  <si>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</si>
  <si>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</si>
  <si>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</si>
  <si>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</si>
  <si>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</si>
  <si>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CUST241</t>
  </si>
  <si>
    <t>ORD12624</t>
  </si>
  <si>
    <t>ORD12625</t>
  </si>
  <si>
    <t>ORD12626</t>
  </si>
  <si>
    <t>ORD12627</t>
  </si>
  <si>
    <t>CUST947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</si>
  <si>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</si>
  <si>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</si>
  <si>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</si>
  <si>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</si>
  <si>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</si>
  <si>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</si>
  <si>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</si>
  <si>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</si>
  <si>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</si>
  <si>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</si>
  <si>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</si>
  <si>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</si>
  <si>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CUST851</t>
  </si>
  <si>
    <t>ORD12640</t>
  </si>
  <si>
    <t>ORD12641</t>
  </si>
  <si>
    <t>ORD12642</t>
  </si>
  <si>
    <t>ORD12643</t>
  </si>
  <si>
    <t>ORD12644</t>
  </si>
  <si>
    <t>ORD12645</t>
  </si>
  <si>
    <t>CUST548</t>
  </si>
  <si>
    <t>ORD12646</t>
  </si>
  <si>
    <t>ORD12647</t>
  </si>
  <si>
    <t>CUST309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</si>
  <si>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</si>
  <si>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</si>
  <si>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</si>
  <si>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</si>
  <si>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</si>
  <si>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</si>
  <si>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</si>
  <si>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</si>
  <si>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</si>
  <si>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</si>
  <si>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</si>
  <si>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</si>
  <si>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</si>
  <si>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</si>
  <si>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</si>
  <si>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CUST675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</si>
  <si>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</si>
  <si>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</si>
  <si>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</si>
  <si>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</si>
  <si>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</si>
  <si>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</si>
  <si>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</si>
  <si>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</si>
  <si>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</si>
  <si>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</si>
  <si>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</si>
  <si>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</si>
  <si>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</si>
  <si>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</si>
  <si>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CUST161</t>
  </si>
  <si>
    <t>ORD12677</t>
  </si>
  <si>
    <t>ORD12678</t>
  </si>
  <si>
    <t>ORD12679</t>
  </si>
  <si>
    <t>ORD12680</t>
  </si>
  <si>
    <t>CUST946</t>
  </si>
  <si>
    <t>ORD12681</t>
  </si>
  <si>
    <t>CUST807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</si>
  <si>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</si>
  <si>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</si>
  <si>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</si>
  <si>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</si>
  <si>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</si>
  <si>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</si>
  <si>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</si>
  <si>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</si>
  <si>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</si>
  <si>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</si>
  <si>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CUST500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</si>
  <si>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</si>
  <si>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</si>
  <si>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</si>
  <si>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</si>
  <si>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</si>
  <si>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</si>
  <si>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</si>
  <si>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</si>
  <si>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</si>
  <si>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</si>
  <si>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</si>
  <si>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</si>
  <si>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</si>
  <si>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</si>
  <si>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</si>
  <si>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</si>
  <si>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</si>
  <si>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</si>
  <si>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</si>
  <si>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</si>
  <si>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</si>
  <si>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CUST822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</si>
  <si>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</si>
  <si>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</si>
  <si>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</si>
  <si>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</si>
  <si>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</si>
  <si>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</si>
  <si>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</si>
  <si>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</si>
  <si>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</si>
  <si>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</si>
  <si>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</si>
  <si>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</si>
  <si>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</si>
  <si>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</si>
  <si>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</si>
  <si>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</si>
  <si>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</si>
  <si>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</si>
  <si>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CUST427</t>
  </si>
  <si>
    <t>ORD12731</t>
  </si>
  <si>
    <t>ORD12732</t>
  </si>
  <si>
    <t>ORD12733</t>
  </si>
  <si>
    <t>ORD12734</t>
  </si>
  <si>
    <t>CUST800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</si>
  <si>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</si>
  <si>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</si>
  <si>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</si>
  <si>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</si>
  <si>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</si>
  <si>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</si>
  <si>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</si>
  <si>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</si>
  <si>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</si>
  <si>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</si>
  <si>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</si>
  <si>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</si>
  <si>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</si>
  <si>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</si>
  <si>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</si>
  <si>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</si>
  <si>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</si>
  <si>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</si>
  <si>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</si>
  <si>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</si>
  <si>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</si>
  <si>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</si>
  <si>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</si>
  <si>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</si>
  <si>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</si>
  <si>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</si>
  <si>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</si>
  <si>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CUST653</t>
  </si>
  <si>
    <t>ORD12762</t>
  </si>
  <si>
    <t>ORD12763</t>
  </si>
  <si>
    <t>ORD12764</t>
  </si>
  <si>
    <t>ORD12765</t>
  </si>
  <si>
    <t>CUST781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</si>
  <si>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</si>
  <si>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</si>
  <si>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</si>
  <si>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</si>
  <si>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</si>
  <si>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</si>
  <si>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</si>
  <si>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</si>
  <si>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</si>
  <si>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</si>
  <si>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</si>
  <si>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</si>
  <si>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</si>
  <si>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</si>
  <si>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</si>
  <si>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</si>
  <si>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</si>
  <si>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</si>
  <si>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</si>
  <si>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</si>
  <si>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</si>
  <si>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CUST599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</si>
  <si>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</si>
  <si>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</si>
  <si>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</si>
  <si>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</si>
  <si>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</si>
  <si>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</si>
  <si>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</si>
  <si>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</si>
  <si>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</si>
  <si>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</si>
  <si>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</si>
  <si>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</si>
  <si>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</si>
  <si>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</si>
  <si>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</si>
  <si>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</si>
  <si>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</si>
  <si>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</si>
  <si>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</si>
  <si>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</si>
  <si>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</si>
  <si>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</si>
  <si>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</si>
  <si>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</si>
  <si>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</si>
  <si>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</si>
  <si>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</si>
  <si>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CUST826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</si>
  <si>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</si>
  <si>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</si>
  <si>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</si>
  <si>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</si>
  <si>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</si>
  <si>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</si>
  <si>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</si>
  <si>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</si>
  <si>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</si>
  <si>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</si>
  <si>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</si>
  <si>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</si>
  <si>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</si>
  <si>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</si>
  <si>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</si>
  <si>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</si>
  <si>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</si>
  <si>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</si>
  <si>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</si>
  <si>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</si>
  <si>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</si>
  <si>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</si>
  <si>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</si>
  <si>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</si>
  <si>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</si>
  <si>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</si>
  <si>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CUST938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</si>
  <si>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</si>
  <si>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</si>
  <si>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</si>
  <si>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</si>
  <si>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</si>
  <si>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</si>
  <si>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</si>
  <si>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</si>
  <si>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</si>
  <si>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</si>
  <si>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</si>
  <si>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</si>
  <si>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</si>
  <si>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</si>
  <si>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</si>
  <si>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</si>
  <si>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</si>
  <si>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</si>
  <si>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</si>
  <si>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</si>
  <si>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</si>
  <si>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</si>
  <si>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</si>
  <si>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</si>
  <si>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</si>
  <si>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</si>
  <si>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</si>
  <si>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</si>
  <si>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</si>
  <si>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</si>
  <si>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</si>
  <si>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</si>
  <si>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</si>
  <si>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</si>
  <si>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</si>
  <si>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</si>
  <si>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</si>
  <si>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</si>
  <si>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</si>
  <si>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</si>
  <si>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</si>
  <si>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</si>
  <si>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</si>
  <si>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</si>
  <si>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</si>
  <si>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</si>
  <si>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</si>
  <si>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</si>
  <si>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</si>
  <si>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</si>
  <si>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</si>
  <si>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</si>
  <si>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</si>
  <si>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</si>
  <si>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</si>
  <si>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</si>
  <si>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</si>
  <si>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</si>
  <si>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</si>
  <si>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</si>
  <si>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</si>
  <si>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</si>
  <si>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</si>
  <si>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</si>
  <si>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</si>
  <si>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</si>
  <si>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</si>
  <si>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</si>
  <si>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</si>
  <si>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</si>
  <si>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CUST323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</si>
  <si>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</si>
  <si>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</si>
  <si>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</si>
  <si>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</si>
  <si>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</si>
  <si>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</si>
  <si>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</si>
  <si>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</si>
  <si>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</si>
  <si>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</si>
  <si>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</si>
  <si>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</si>
  <si>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</si>
  <si>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</si>
  <si>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</si>
  <si>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</si>
  <si>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</si>
  <si>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</si>
  <si>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</si>
  <si>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</si>
  <si>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</si>
  <si>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</si>
  <si>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</si>
  <si>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</si>
  <si>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</si>
  <si>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</si>
  <si>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</si>
  <si>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</si>
  <si>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</si>
  <si>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</si>
  <si>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</si>
  <si>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</si>
  <si>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CUST215</t>
  </si>
  <si>
    <t>ORD12942</t>
  </si>
  <si>
    <t>ORD12943</t>
  </si>
  <si>
    <t>ORD12944</t>
  </si>
  <si>
    <t>CUST960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</si>
  <si>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</si>
  <si>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</si>
  <si>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</si>
  <si>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</si>
  <si>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</si>
  <si>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</si>
  <si>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</si>
  <si>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</si>
  <si>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</si>
  <si>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</si>
  <si>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</si>
  <si>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</si>
  <si>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</si>
  <si>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</si>
  <si>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CUST403</t>
  </si>
  <si>
    <t>ORD12959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</si>
  <si>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</si>
  <si>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</si>
  <si>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</si>
  <si>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</si>
  <si>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</si>
  <si>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</si>
  <si>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</si>
  <si>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</si>
  <si>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CUST640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</si>
  <si>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</si>
  <si>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</si>
  <si>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</si>
  <si>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</si>
  <si>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</si>
  <si>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</si>
  <si>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</si>
  <si>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</si>
  <si>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</si>
  <si>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</si>
  <si>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</si>
  <si>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</si>
  <si>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</si>
  <si>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</si>
  <si>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</si>
  <si>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</si>
  <si>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</si>
  <si>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</si>
  <si>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</si>
  <si>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</si>
  <si>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</si>
  <si>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</si>
  <si>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</si>
  <si>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</si>
  <si>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</si>
  <si>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</si>
  <si>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</si>
  <si>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</si>
  <si>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</si>
  <si>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</si>
  <si>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</si>
  <si>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</si>
  <si>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</si>
  <si>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</si>
  <si>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</si>
  <si>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</si>
  <si>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</si>
  <si>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</si>
  <si>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</si>
  <si>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</si>
  <si>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</si>
  <si>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</si>
  <si>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</si>
  <si>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</si>
  <si>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</si>
  <si>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</si>
  <si>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</si>
  <si>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</si>
  <si>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</si>
  <si>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</si>
  <si>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</si>
  <si>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</si>
  <si>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</si>
  <si>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</si>
  <si>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</si>
  <si>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</si>
  <si>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</si>
  <si>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</si>
  <si>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</si>
  <si>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</si>
  <si>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</si>
  <si>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</si>
  <si>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</si>
  <si>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</si>
  <si>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</si>
  <si>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CUST557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</si>
  <si>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</si>
  <si>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</si>
  <si>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</si>
  <si>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</si>
  <si>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</si>
  <si>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</si>
  <si>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</si>
  <si>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</si>
  <si>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CUST372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</si>
  <si>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</si>
  <si>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</si>
  <si>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</si>
  <si>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</si>
  <si>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</si>
  <si>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</si>
  <si>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</si>
  <si>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</si>
  <si>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</si>
  <si>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</si>
  <si>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</si>
  <si>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</si>
  <si>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</si>
  <si>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</si>
  <si>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</si>
  <si>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</si>
  <si>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</si>
  <si>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</si>
  <si>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</si>
  <si>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</si>
  <si>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</si>
  <si>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</si>
  <si>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</si>
  <si>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</si>
  <si>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</si>
  <si>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</si>
  <si>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</si>
  <si>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</si>
  <si>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</si>
  <si>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</si>
  <si>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</si>
  <si>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</si>
  <si>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</si>
  <si>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</si>
  <si>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</si>
  <si>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</si>
  <si>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</si>
  <si>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</si>
  <si>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</si>
  <si>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</si>
  <si>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</si>
  <si>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</si>
  <si>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CUST620</t>
  </si>
  <si>
    <t>ORD13083</t>
  </si>
  <si>
    <t>CUST706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</si>
  <si>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</si>
  <si>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</si>
  <si>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</si>
  <si>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</si>
  <si>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</si>
  <si>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</si>
  <si>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</si>
  <si>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</si>
  <si>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</si>
  <si>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</si>
  <si>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</si>
  <si>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</si>
  <si>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</si>
  <si>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</si>
  <si>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</si>
  <si>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CUST792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</si>
  <si>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</si>
  <si>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</si>
  <si>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</si>
  <si>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</si>
  <si>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</si>
  <si>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</si>
  <si>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</si>
  <si>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</si>
  <si>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</si>
  <si>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</si>
  <si>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</si>
  <si>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</si>
  <si>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</si>
  <si>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</si>
  <si>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</si>
  <si>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</si>
  <si>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</si>
  <si>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</si>
  <si>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</si>
  <si>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</si>
  <si>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</si>
  <si>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</si>
  <si>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</si>
  <si>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</si>
  <si>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</si>
  <si>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</si>
  <si>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</si>
  <si>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</si>
  <si>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</si>
  <si>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</si>
  <si>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</si>
  <si>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</si>
  <si>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</si>
  <si>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</si>
  <si>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</si>
  <si>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</si>
  <si>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</si>
  <si>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</si>
  <si>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</si>
  <si>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CUST149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</si>
  <si>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</si>
  <si>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</si>
  <si>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</si>
  <si>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</si>
  <si>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</si>
  <si>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</si>
  <si>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</si>
  <si>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</si>
  <si>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</si>
  <si>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</si>
  <si>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</si>
  <si>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</si>
  <si>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</si>
  <si>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</si>
  <si>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</si>
  <si>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</si>
  <si>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</si>
  <si>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</si>
  <si>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</si>
  <si>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</si>
  <si>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</si>
  <si>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</si>
  <si>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</si>
  <si>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</si>
  <si>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</si>
  <si>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</si>
  <si>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</si>
  <si>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</si>
  <si>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</si>
  <si>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</si>
  <si>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</si>
  <si>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</si>
  <si>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</si>
  <si>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</si>
  <si>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</si>
  <si>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</si>
  <si>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</si>
  <si>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</si>
  <si>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</si>
  <si>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CUST319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</si>
  <si>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</si>
  <si>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</si>
  <si>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</si>
  <si>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</si>
  <si>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</si>
  <si>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</si>
  <si>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</si>
  <si>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</si>
  <si>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</si>
  <si>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</si>
  <si>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</si>
  <si>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</si>
  <si>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</si>
  <si>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</si>
  <si>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</si>
  <si>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</si>
  <si>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</si>
  <si>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</si>
  <si>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</si>
  <si>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</si>
  <si>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</si>
  <si>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</si>
  <si>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</si>
  <si>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</si>
  <si>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</si>
  <si>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</si>
  <si>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</si>
  <si>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</si>
  <si>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</si>
  <si>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</si>
  <si>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</si>
  <si>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</si>
  <si>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</si>
  <si>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</si>
  <si>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</si>
  <si>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</si>
  <si>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</si>
  <si>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</si>
  <si>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</si>
  <si>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</si>
  <si>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</si>
  <si>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</si>
  <si>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</si>
  <si>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</si>
  <si>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</si>
  <si>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</si>
  <si>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</si>
  <si>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CUST689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</si>
  <si>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</si>
  <si>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</si>
  <si>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</si>
  <si>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</si>
  <si>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</si>
  <si>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</si>
  <si>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</si>
  <si>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</si>
  <si>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</si>
  <si>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CUST930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</si>
  <si>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</si>
  <si>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</si>
  <si>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</si>
  <si>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</si>
  <si>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</si>
  <si>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</si>
  <si>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</si>
  <si>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</si>
  <si>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</si>
  <si>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</si>
  <si>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</si>
  <si>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</si>
  <si>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</si>
  <si>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</si>
  <si>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</si>
  <si>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</si>
  <si>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</si>
  <si>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</si>
  <si>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</si>
  <si>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</si>
  <si>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</si>
  <si>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</si>
  <si>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</si>
  <si>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</si>
  <si>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</si>
  <si>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</si>
  <si>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</si>
  <si>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</si>
  <si>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</si>
  <si>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</si>
  <si>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</si>
  <si>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</si>
  <si>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CUST238</t>
  </si>
  <si>
    <t>ORD13265</t>
  </si>
  <si>
    <t>ORD13266</t>
  </si>
  <si>
    <t>ORD13267</t>
  </si>
  <si>
    <t>CUST402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</si>
  <si>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</si>
  <si>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</si>
  <si>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</si>
  <si>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</si>
  <si>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</si>
  <si>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</si>
  <si>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</si>
  <si>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</si>
  <si>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</si>
  <si>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</si>
  <si>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</si>
  <si>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</si>
  <si>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</si>
  <si>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</si>
  <si>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</si>
  <si>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</si>
  <si>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</si>
  <si>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</si>
  <si>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</si>
  <si>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</si>
  <si>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</si>
  <si>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</si>
  <si>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</si>
  <si>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</si>
  <si>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</si>
  <si>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</si>
  <si>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</si>
  <si>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</si>
  <si>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</si>
  <si>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</si>
  <si>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</si>
  <si>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</si>
  <si>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</si>
  <si>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</si>
  <si>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</si>
  <si>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</si>
  <si>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</si>
  <si>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</si>
  <si>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</si>
  <si>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</si>
  <si>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</si>
  <si>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</si>
  <si>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</si>
  <si>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</si>
  <si>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</si>
  <si>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</si>
  <si>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</si>
  <si>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</si>
  <si>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</si>
  <si>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</si>
  <si>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</si>
  <si>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</si>
  <si>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</si>
  <si>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</si>
  <si>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</si>
  <si>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</si>
  <si>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</si>
  <si>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</si>
  <si>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</si>
  <si>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</si>
  <si>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</si>
  <si>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</si>
  <si>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</si>
  <si>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</si>
  <si>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</si>
  <si>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</si>
  <si>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</si>
  <si>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</si>
  <si>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</si>
  <si>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</si>
  <si>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</si>
  <si>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</si>
  <si>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</si>
  <si>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</si>
  <si>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CUST775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</si>
  <si>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</si>
  <si>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</si>
  <si>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</si>
  <si>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</si>
  <si>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</si>
  <si>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</si>
  <si>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</si>
  <si>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</si>
  <si>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</si>
  <si>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</si>
  <si>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</si>
  <si>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</si>
  <si>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</si>
  <si>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</si>
  <si>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</si>
  <si>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</si>
  <si>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</si>
  <si>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</si>
  <si>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</si>
  <si>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</si>
  <si>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</si>
  <si>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</si>
  <si>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</si>
  <si>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</si>
  <si>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</si>
  <si>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</si>
  <si>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</si>
  <si>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</si>
  <si>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</si>
  <si>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</si>
  <si>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</si>
  <si>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</si>
  <si>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</si>
  <si>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</si>
  <si>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</si>
  <si>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</si>
  <si>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</si>
  <si>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</si>
  <si>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</si>
  <si>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</si>
  <si>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</si>
  <si>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</si>
  <si>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</si>
  <si>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</si>
  <si>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</si>
  <si>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</si>
  <si>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</si>
  <si>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</si>
  <si>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</si>
  <si>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</si>
  <si>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</si>
  <si>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</si>
  <si>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</si>
  <si>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</si>
  <si>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</si>
  <si>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</si>
  <si>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</si>
  <si>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</si>
  <si>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</si>
  <si>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</si>
  <si>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</si>
  <si>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</si>
  <si>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</si>
  <si>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CUST608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</si>
  <si>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</si>
  <si>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</si>
  <si>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</si>
  <si>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</si>
  <si>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</si>
  <si>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</si>
  <si>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</si>
  <si>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</si>
  <si>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</si>
  <si>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</si>
  <si>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</si>
  <si>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</si>
  <si>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</si>
  <si>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</si>
  <si>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</si>
  <si>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</si>
  <si>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</si>
  <si>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</si>
  <si>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</si>
  <si>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CUST340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</si>
  <si>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</si>
  <si>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</si>
  <si>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</si>
  <si>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</si>
  <si>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</si>
  <si>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</si>
  <si>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</si>
  <si>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</si>
  <si>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</si>
  <si>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</si>
  <si>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</si>
  <si>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</si>
  <si>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</si>
  <si>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</si>
  <si>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</si>
  <si>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</si>
  <si>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</si>
  <si>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</si>
  <si>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</si>
  <si>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</si>
  <si>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</si>
  <si>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</si>
  <si>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</si>
  <si>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</si>
  <si>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</si>
  <si>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</si>
  <si>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</si>
  <si>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</si>
  <si>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</si>
  <si>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</si>
  <si>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</si>
  <si>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</si>
  <si>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</si>
  <si>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</si>
  <si>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</si>
  <si>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</si>
  <si>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</si>
  <si>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</si>
  <si>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</si>
  <si>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</si>
  <si>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</si>
  <si>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</si>
  <si>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</si>
  <si>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</si>
  <si>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</si>
  <si>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</si>
  <si>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</si>
  <si>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</si>
  <si>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CUST617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</si>
  <si>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</si>
  <si>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</si>
  <si>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</si>
  <si>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</si>
  <si>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</si>
  <si>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</si>
  <si>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</si>
  <si>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</si>
  <si>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</si>
  <si>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</si>
  <si>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</si>
  <si>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</si>
  <si>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</si>
  <si>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</si>
  <si>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</si>
  <si>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</si>
  <si>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</si>
  <si>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</si>
  <si>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CUST885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</si>
  <si>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</si>
  <si>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</si>
  <si>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</si>
  <si>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</si>
  <si>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</si>
  <si>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</si>
  <si>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</si>
  <si>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</si>
  <si>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</si>
  <si>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</si>
  <si>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</si>
  <si>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</si>
  <si>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</si>
  <si>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</si>
  <si>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</si>
  <si>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</si>
  <si>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</si>
  <si>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</si>
  <si>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</si>
  <si>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</si>
  <si>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</si>
  <si>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</si>
  <si>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</si>
  <si>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</si>
  <si>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</si>
  <si>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</si>
  <si>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</si>
  <si>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</si>
  <si>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</si>
  <si>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</si>
  <si>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</si>
  <si>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</si>
  <si>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</si>
  <si>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</si>
  <si>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</si>
  <si>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</si>
  <si>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</si>
  <si>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</si>
  <si>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</si>
  <si>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</si>
  <si>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</si>
  <si>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</si>
  <si>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</si>
  <si>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</si>
  <si>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</si>
  <si>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</si>
  <si>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</si>
  <si>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</si>
  <si>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</si>
  <si>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</si>
  <si>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</si>
  <si>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</si>
  <si>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</si>
  <si>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</si>
  <si>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</si>
  <si>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</si>
  <si>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</si>
  <si>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</si>
  <si>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</si>
  <si>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</si>
  <si>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</si>
  <si>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</si>
  <si>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</si>
  <si>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</si>
  <si>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</si>
  <si>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</si>
  <si>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</si>
  <si>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</si>
  <si>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CUST975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</si>
  <si>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</si>
  <si>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</si>
  <si>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</si>
  <si>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</si>
  <si>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</si>
  <si>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</si>
  <si>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</si>
  <si>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</si>
  <si>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</si>
  <si>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</si>
  <si>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</si>
  <si>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</si>
  <si>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</si>
  <si>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</si>
  <si>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</si>
  <si>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</si>
  <si>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</si>
  <si>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</si>
  <si>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</si>
  <si>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</si>
  <si>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</si>
  <si>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</si>
  <si>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</si>
  <si>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</si>
  <si>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</si>
  <si>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</si>
  <si>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</si>
  <si>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</si>
  <si>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</si>
  <si>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</si>
  <si>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</si>
  <si>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</si>
  <si>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</si>
  <si>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</si>
  <si>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</si>
  <si>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</si>
  <si>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</si>
  <si>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</si>
  <si>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</si>
  <si>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</si>
  <si>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</si>
  <si>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</si>
  <si>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</si>
  <si>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</si>
  <si>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</si>
  <si>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</si>
  <si>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</si>
  <si>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</si>
  <si>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</si>
  <si>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</si>
  <si>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</si>
  <si>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</si>
  <si>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</si>
  <si>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</si>
  <si>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</si>
  <si>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</si>
  <si>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</si>
  <si>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</si>
  <si>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</si>
  <si>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</si>
  <si>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</si>
  <si>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</si>
  <si>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</si>
  <si>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</si>
  <si>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</si>
  <si>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</si>
  <si>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</si>
  <si>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</si>
  <si>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</si>
  <si>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</si>
  <si>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</si>
  <si>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</si>
  <si>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</si>
  <si>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</si>
  <si>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</si>
  <si>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</si>
  <si>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</si>
  <si>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</si>
  <si>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</si>
  <si>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</si>
  <si>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</si>
  <si>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</si>
  <si>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</si>
  <si>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</si>
  <si>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</si>
  <si>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</si>
  <si>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</si>
  <si>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</si>
  <si>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</si>
  <si>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</si>
  <si>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</si>
  <si>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</si>
  <si>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</si>
  <si>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</si>
  <si>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</si>
  <si>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</si>
  <si>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</si>
  <si>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</si>
  <si>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</si>
  <si>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</si>
  <si>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</si>
  <si>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</si>
  <si>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</si>
  <si>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</si>
  <si>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</si>
  <si>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</si>
  <si>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</si>
  <si>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</si>
  <si>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</si>
  <si>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</si>
  <si>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</si>
  <si>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</si>
  <si>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</si>
  <si>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</si>
  <si>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</si>
  <si>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</si>
  <si>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</si>
  <si>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</si>
  <si>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</si>
  <si>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</si>
  <si>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</si>
  <si>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</si>
  <si>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</si>
  <si>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</si>
  <si>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</si>
  <si>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</si>
  <si>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</si>
  <si>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</si>
  <si>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</si>
  <si>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</si>
  <si>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</si>
  <si>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</si>
  <si>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</si>
  <si>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</si>
  <si>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</si>
  <si>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</si>
  <si>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</si>
  <si>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</si>
  <si>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CUST130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</si>
  <si>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</si>
  <si>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</si>
  <si>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</si>
  <si>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</si>
  <si>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</si>
  <si>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</si>
  <si>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</si>
  <si>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</si>
  <si>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</si>
  <si>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</si>
  <si>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</si>
  <si>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</si>
  <si>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</si>
  <si>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</si>
  <si>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</si>
  <si>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CUST882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</si>
  <si>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</si>
  <si>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</si>
  <si>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</si>
  <si>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</si>
  <si>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</si>
  <si>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</si>
  <si>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</si>
  <si>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</si>
  <si>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</si>
  <si>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</si>
  <si>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</si>
  <si>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</si>
  <si>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</si>
  <si>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</si>
  <si>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</si>
  <si>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</si>
  <si>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</si>
  <si>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</si>
  <si>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</si>
  <si>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</si>
  <si>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</si>
  <si>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</si>
  <si>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</si>
  <si>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</si>
  <si>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</si>
  <si>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</si>
  <si>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</si>
  <si>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</si>
  <si>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</si>
  <si>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</si>
  <si>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</si>
  <si>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</si>
  <si>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</si>
  <si>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</si>
  <si>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</si>
  <si>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</si>
  <si>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</si>
  <si>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</si>
  <si>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</si>
  <si>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</si>
  <si>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CUST293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</si>
  <si>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</si>
  <si>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</si>
  <si>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</si>
  <si>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</si>
  <si>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</si>
  <si>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</si>
  <si>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</si>
  <si>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</si>
  <si>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</si>
  <si>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</si>
  <si>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</si>
  <si>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</si>
  <si>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</si>
  <si>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</si>
  <si>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</si>
  <si>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</si>
  <si>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</si>
  <si>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</si>
  <si>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</si>
  <si>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</si>
  <si>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</si>
  <si>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</si>
  <si>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</si>
  <si>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</si>
  <si>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</si>
  <si>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</si>
  <si>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</si>
  <si>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</si>
  <si>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</si>
  <si>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</si>
  <si>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</si>
  <si>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CUST779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</si>
  <si>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</si>
  <si>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</si>
  <si>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</si>
  <si>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</si>
  <si>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</si>
  <si>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</si>
  <si>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</si>
  <si>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</si>
  <si>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</si>
  <si>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</si>
  <si>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</si>
  <si>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</si>
  <si>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</si>
  <si>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</si>
  <si>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</si>
  <si>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</si>
  <si>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</si>
  <si>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</si>
  <si>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</si>
  <si>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</si>
  <si>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</si>
  <si>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</si>
  <si>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</si>
  <si>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</si>
  <si>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</si>
  <si>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</si>
  <si>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</si>
  <si>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</si>
  <si>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</si>
  <si>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</si>
  <si>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</si>
  <si>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</si>
  <si>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</si>
  <si>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</si>
  <si>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</si>
  <si>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</si>
  <si>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</si>
  <si>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</si>
  <si>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</si>
  <si>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</si>
  <si>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</si>
  <si>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</si>
  <si>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</si>
  <si>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</si>
  <si>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</si>
  <si>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</si>
  <si>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</si>
  <si>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</si>
  <si>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</si>
  <si>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</si>
  <si>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</si>
  <si>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</si>
  <si>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</si>
  <si>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</si>
  <si>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</si>
  <si>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</si>
  <si>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</si>
  <si>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</si>
  <si>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</si>
  <si>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</si>
  <si>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</si>
  <si>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</si>
  <si>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</si>
  <si>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</si>
  <si>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</si>
  <si>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</si>
  <si>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</si>
  <si>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</si>
  <si>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</si>
  <si>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</si>
  <si>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</si>
  <si>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</si>
  <si>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</si>
  <si>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</si>
  <si>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</si>
  <si>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</si>
  <si>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</si>
  <si>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</si>
  <si>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</si>
  <si>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</si>
  <si>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</si>
  <si>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</si>
  <si>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</si>
  <si>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</si>
  <si>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</si>
  <si>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</si>
  <si>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</si>
  <si>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</si>
  <si>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</si>
  <si>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</si>
  <si>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</si>
  <si>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</si>
  <si>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</si>
  <si>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</si>
  <si>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</si>
  <si>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</si>
  <si>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</si>
  <si>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</si>
  <si>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</si>
  <si>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</si>
  <si>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</si>
  <si>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</si>
  <si>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</si>
  <si>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</si>
  <si>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</si>
  <si>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</si>
  <si>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</si>
  <si>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</si>
  <si>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</si>
  <si>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</si>
  <si>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</si>
  <si>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</si>
  <si>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</si>
  <si>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</si>
  <si>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</si>
  <si>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</si>
  <si>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</si>
  <si>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</si>
  <si>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</si>
  <si>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</si>
  <si>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</si>
  <si>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</si>
  <si>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</si>
  <si>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</si>
  <si>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</si>
  <si>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</si>
  <si>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CUST177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</si>
  <si>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</si>
  <si>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</si>
  <si>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</si>
  <si>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</si>
  <si>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</si>
  <si>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</si>
  <si>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</si>
  <si>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</si>
  <si>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</si>
  <si>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</si>
  <si>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</si>
  <si>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</si>
  <si>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</si>
  <si>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</si>
  <si>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</si>
  <si>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</si>
  <si>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</si>
  <si>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</si>
  <si>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</si>
  <si>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</si>
  <si>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</si>
  <si>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</si>
  <si>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</si>
  <si>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</si>
  <si>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</si>
  <si>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</si>
  <si>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</si>
  <si>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</si>
  <si>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</si>
  <si>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</si>
  <si>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</si>
  <si>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</si>
  <si>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</si>
  <si>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</si>
  <si>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</si>
  <si>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</si>
  <si>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</si>
  <si>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</si>
  <si>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</si>
  <si>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</si>
  <si>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</si>
  <si>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</si>
  <si>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</si>
  <si>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</si>
  <si>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</si>
  <si>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</si>
  <si>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</si>
  <si>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</si>
  <si>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</si>
  <si>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</si>
  <si>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</si>
  <si>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</si>
  <si>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</si>
  <si>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</si>
  <si>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</si>
  <si>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</si>
  <si>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</si>
  <si>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</si>
  <si>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</si>
  <si>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</si>
  <si>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</si>
  <si>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</si>
  <si>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</si>
  <si>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</si>
  <si>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</si>
  <si>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</si>
  <si>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</si>
  <si>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</si>
  <si>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</si>
  <si>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</si>
  <si>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</si>
  <si>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</si>
  <si>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</si>
  <si>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</si>
  <si>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</si>
  <si>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</si>
  <si>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</si>
  <si>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</si>
  <si>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</si>
  <si>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</si>
  <si>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</si>
  <si>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</si>
  <si>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</si>
  <si>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</si>
  <si>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</si>
  <si>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</si>
  <si>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</si>
  <si>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</si>
  <si>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</si>
  <si>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</si>
  <si>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</si>
  <si>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</si>
  <si>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</si>
  <si>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</si>
  <si>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</si>
  <si>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</si>
  <si>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</si>
  <si>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</si>
  <si>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</si>
  <si>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</si>
  <si>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</si>
  <si>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</si>
  <si>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</si>
  <si>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</si>
  <si>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</si>
  <si>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</si>
  <si>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</si>
  <si>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</si>
  <si>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</si>
  <si>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</si>
  <si>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</si>
  <si>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</si>
  <si>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</si>
  <si>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</si>
  <si>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CUST202</t>
  </si>
  <si>
    <t>ORD14022</t>
  </si>
  <si>
    <t>ORD14023</t>
  </si>
  <si>
    <t>ORD14024</t>
  </si>
  <si>
    <t>CUST410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</si>
  <si>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</si>
  <si>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</si>
  <si>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</si>
  <si>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</si>
  <si>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</si>
  <si>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</si>
  <si>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</si>
  <si>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</si>
  <si>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</si>
  <si>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</si>
  <si>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</si>
  <si>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</si>
  <si>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</si>
  <si>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</si>
  <si>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</si>
  <si>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</si>
  <si>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</si>
  <si>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</si>
  <si>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</si>
  <si>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</si>
  <si>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</si>
  <si>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</si>
  <si>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</si>
  <si>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</si>
  <si>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</si>
  <si>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</si>
  <si>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</si>
  <si>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</si>
  <si>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</si>
  <si>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</si>
  <si>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</si>
  <si>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</si>
  <si>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</si>
  <si>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</si>
  <si>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</si>
  <si>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</si>
  <si>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</si>
  <si>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</si>
  <si>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</si>
  <si>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</si>
  <si>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</si>
  <si>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</si>
  <si>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</si>
  <si>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</si>
  <si>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</si>
  <si>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</si>
  <si>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</si>
  <si>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</si>
  <si>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</si>
  <si>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</si>
  <si>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</si>
  <si>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</si>
  <si>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</si>
  <si>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</si>
  <si>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</si>
  <si>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</si>
  <si>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</si>
  <si>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</si>
  <si>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</si>
  <si>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</si>
  <si>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</si>
  <si>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</si>
  <si>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</si>
  <si>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</si>
  <si>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</si>
  <si>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</si>
  <si>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</si>
  <si>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</si>
  <si>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</si>
  <si>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</si>
  <si>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</si>
  <si>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</si>
  <si>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</si>
  <si>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</si>
  <si>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</si>
  <si>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</si>
  <si>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</si>
  <si>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</si>
  <si>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</si>
  <si>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</si>
  <si>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</si>
  <si>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</si>
  <si>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</si>
  <si>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</si>
  <si>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</si>
  <si>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</si>
  <si>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</si>
  <si>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</si>
  <si>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</si>
  <si>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</si>
  <si>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</si>
  <si>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</si>
  <si>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</si>
  <si>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</si>
  <si>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</si>
  <si>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</si>
  <si>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</si>
  <si>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</si>
  <si>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</si>
  <si>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CUST505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</si>
  <si>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</si>
  <si>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</si>
  <si>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</si>
  <si>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</si>
  <si>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</si>
  <si>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</si>
  <si>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</si>
  <si>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</si>
  <si>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</si>
  <si>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</si>
  <si>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</si>
  <si>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</si>
  <si>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</si>
  <si>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</si>
  <si>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</si>
  <si>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</si>
  <si>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</si>
  <si>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</si>
  <si>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</si>
  <si>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</si>
  <si>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</si>
  <si>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</si>
  <si>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</si>
  <si>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</si>
  <si>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</si>
  <si>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</si>
  <si>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</si>
  <si>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</si>
  <si>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</si>
  <si>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</si>
  <si>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</si>
  <si>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</si>
  <si>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</si>
  <si>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</si>
  <si>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</si>
  <si>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</si>
  <si>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</si>
  <si>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</si>
  <si>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</si>
  <si>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</si>
  <si>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</si>
  <si>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</si>
  <si>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</si>
  <si>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</si>
  <si>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</si>
  <si>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</si>
  <si>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</si>
  <si>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</si>
  <si>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</si>
  <si>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</si>
  <si>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</si>
  <si>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</si>
  <si>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</si>
  <si>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</si>
  <si>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</si>
  <si>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</si>
  <si>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</si>
  <si>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</si>
  <si>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</si>
  <si>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</si>
  <si>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</si>
  <si>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</si>
  <si>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</si>
  <si>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</si>
  <si>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</si>
  <si>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</si>
  <si>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</si>
  <si>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</si>
  <si>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</si>
  <si>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</si>
  <si>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</si>
  <si>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</si>
  <si>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</si>
  <si>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</si>
  <si>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</si>
  <si>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</si>
  <si>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</si>
  <si>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</si>
  <si>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</si>
  <si>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</si>
  <si>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</si>
  <si>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</si>
  <si>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</si>
  <si>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</si>
  <si>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</si>
  <si>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</si>
  <si>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</si>
  <si>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</si>
  <si>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</si>
  <si>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</si>
  <si>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</si>
  <si>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</si>
  <si>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</si>
  <si>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</si>
  <si>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</si>
  <si>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</si>
  <si>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</si>
  <si>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</si>
  <si>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</si>
  <si>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</si>
  <si>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</si>
  <si>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</si>
  <si>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</si>
  <si>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</si>
  <si>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</si>
  <si>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</si>
  <si>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</si>
  <si>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</si>
  <si>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</si>
  <si>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</si>
  <si>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</si>
  <si>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</si>
  <si>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</si>
  <si>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</si>
  <si>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</si>
  <si>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</si>
  <si>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</si>
  <si>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</si>
  <si>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</si>
  <si>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</si>
  <si>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</si>
  <si>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</si>
  <si>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</si>
  <si>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</si>
  <si>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</si>
  <si>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</si>
  <si>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</si>
  <si>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</si>
  <si>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</si>
  <si>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</si>
  <si>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</si>
  <si>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</si>
  <si>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</si>
  <si>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</si>
  <si>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</si>
  <si>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</si>
  <si>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</si>
  <si>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</si>
  <si>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</si>
  <si>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</si>
  <si>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</si>
  <si>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</si>
  <si>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</si>
  <si>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</si>
  <si>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</si>
  <si>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</si>
  <si>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</si>
  <si>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</si>
  <si>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</si>
  <si>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</si>
  <si>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</si>
  <si>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</si>
  <si>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</si>
  <si>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</si>
  <si>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</si>
  <si>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</si>
  <si>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</si>
  <si>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</si>
  <si>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</si>
  <si>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</si>
  <si>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</si>
  <si>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</si>
  <si>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</si>
  <si>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</si>
  <si>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</si>
  <si>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</si>
  <si>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</si>
  <si>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</si>
  <si>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</si>
  <si>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</si>
  <si>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</si>
  <si>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</si>
  <si>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</si>
  <si>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</si>
  <si>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</si>
  <si>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</si>
  <si>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</si>
  <si>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</si>
  <si>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</si>
  <si>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</si>
  <si>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</si>
  <si>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</si>
  <si>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</si>
  <si>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</si>
  <si>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</si>
  <si>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</si>
  <si>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</si>
  <si>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</si>
  <si>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</si>
  <si>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</si>
  <si>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</si>
  <si>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</si>
  <si>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</si>
  <si>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</si>
  <si>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</si>
  <si>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</si>
  <si>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</si>
  <si>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</si>
  <si>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</si>
  <si>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</si>
  <si>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</si>
  <si>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</si>
  <si>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</si>
  <si>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</si>
  <si>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</si>
  <si>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</si>
  <si>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</si>
  <si>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</si>
  <si>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</si>
  <si>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</si>
  <si>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</si>
  <si>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</si>
  <si>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</si>
  <si>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</si>
  <si>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</si>
  <si>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</si>
  <si>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</si>
  <si>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</si>
  <si>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</si>
  <si>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</si>
  <si>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</si>
  <si>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</si>
  <si>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</si>
  <si>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</si>
  <si>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</si>
  <si>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</si>
  <si>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</si>
  <si>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</si>
  <si>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</si>
  <si>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</si>
  <si>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</si>
  <si>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</si>
  <si>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</si>
  <si>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</si>
  <si>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</si>
  <si>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</si>
  <si>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</si>
  <si>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</si>
  <si>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</si>
  <si>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</si>
  <si>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</si>
  <si>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</si>
  <si>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</si>
  <si>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</si>
  <si>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</si>
  <si>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</si>
  <si>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</si>
  <si>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</si>
  <si>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</si>
  <si>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</si>
  <si>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</si>
  <si>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</si>
  <si>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</si>
  <si>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</si>
  <si>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</si>
  <si>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</si>
  <si>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</si>
  <si>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</si>
  <si>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</si>
  <si>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</si>
  <si>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</si>
  <si>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</si>
  <si>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</si>
  <si>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</si>
  <si>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</si>
  <si>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</si>
  <si>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</si>
  <si>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</si>
  <si>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</si>
  <si>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</si>
  <si>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</si>
  <si>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</si>
  <si>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</si>
  <si>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</si>
  <si>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</si>
  <si>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</si>
  <si>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</si>
  <si>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</si>
  <si>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</si>
  <si>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</si>
  <si>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</si>
  <si>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</si>
  <si>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</si>
  <si>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</si>
  <si>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</si>
  <si>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</si>
  <si>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</si>
  <si>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</si>
  <si>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</si>
  <si>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CUST558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</si>
  <si>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</si>
  <si>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</si>
  <si>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</si>
  <si>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</si>
  <si>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</si>
  <si>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</si>
  <si>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</si>
  <si>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</si>
  <si>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</si>
  <si>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</si>
  <si>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</si>
  <si>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</si>
  <si>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</si>
  <si>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</si>
  <si>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</si>
  <si>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</si>
  <si>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</si>
  <si>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</si>
  <si>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</si>
  <si>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</si>
  <si>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</si>
  <si>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</si>
  <si>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</si>
  <si>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</si>
  <si>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</si>
  <si>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</si>
  <si>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</si>
  <si>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</si>
  <si>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</si>
  <si>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</si>
  <si>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</si>
  <si>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</si>
  <si>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</si>
  <si>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</si>
  <si>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</si>
  <si>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</si>
  <si>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</si>
  <si>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</si>
  <si>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</si>
  <si>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</si>
  <si>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</si>
  <si>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</si>
  <si>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</si>
  <si>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</si>
  <si>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</si>
  <si>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</si>
  <si>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</si>
  <si>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</si>
  <si>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</si>
  <si>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</si>
  <si>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</si>
  <si>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</si>
  <si>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</si>
  <si>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</si>
  <si>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</si>
  <si>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</si>
  <si>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</si>
  <si>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</si>
  <si>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</si>
  <si>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</si>
  <si>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</si>
  <si>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</si>
  <si>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</si>
  <si>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</si>
  <si>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</si>
  <si>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</si>
  <si>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</si>
  <si>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</si>
  <si>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</si>
  <si>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</si>
  <si>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</si>
  <si>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</si>
  <si>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</si>
  <si>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</si>
  <si>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</si>
  <si>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</si>
  <si>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</si>
  <si>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</si>
  <si>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</si>
  <si>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</si>
  <si>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</si>
  <si>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</si>
  <si>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</si>
  <si>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</si>
  <si>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</si>
  <si>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</si>
  <si>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</si>
  <si>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</si>
  <si>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</si>
  <si>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</si>
  <si>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</si>
  <si>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</si>
  <si>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</si>
  <si>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</si>
  <si>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</si>
  <si>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</si>
  <si>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</si>
  <si>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</si>
  <si>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</si>
  <si>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</si>
  <si>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</si>
  <si>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</si>
  <si>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</si>
  <si>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</si>
  <si>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</si>
  <si>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</si>
  <si>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</si>
  <si>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</si>
  <si>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</si>
  <si>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</si>
  <si>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</si>
  <si>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</si>
  <si>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</si>
  <si>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</si>
  <si>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</si>
  <si>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</si>
  <si>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</si>
  <si>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</si>
  <si>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</si>
  <si>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</si>
  <si>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</si>
  <si>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</si>
  <si>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</si>
  <si>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</si>
  <si>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</si>
  <si>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</si>
  <si>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</si>
  <si>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</si>
  <si>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</si>
  <si>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</si>
  <si>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</si>
  <si>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</si>
  <si>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</si>
  <si>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</si>
  <si>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</si>
  <si>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</si>
  <si>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</si>
  <si>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</si>
  <si>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</si>
  <si>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</si>
  <si>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</si>
  <si>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</si>
  <si>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</si>
  <si>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</si>
  <si>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</si>
  <si>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</si>
  <si>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</si>
  <si>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</si>
  <si>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</si>
  <si>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</si>
  <si>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</si>
  <si>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</si>
  <si>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</si>
  <si>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</si>
  <si>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</si>
  <si>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</si>
  <si>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</si>
  <si>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</si>
  <si>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</si>
  <si>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</si>
  <si>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</si>
  <si>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</si>
  <si>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</si>
  <si>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</si>
  <si>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</si>
  <si>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</si>
  <si>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</si>
  <si>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</si>
  <si>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</si>
  <si>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</si>
  <si>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</si>
  <si>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</si>
  <si>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</si>
  <si>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</si>
  <si>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</si>
  <si>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</si>
  <si>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</si>
  <si>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</si>
  <si>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</si>
  <si>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</si>
  <si>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</si>
  <si>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</si>
  <si>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</si>
  <si>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</si>
  <si>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</si>
  <si>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</si>
  <si>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</si>
  <si>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</si>
  <si>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</si>
  <si>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</si>
  <si>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</si>
  <si>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</si>
  <si>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</si>
  <si>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</si>
  <si>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</si>
  <si>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</si>
  <si>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</si>
  <si>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</si>
  <si>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</si>
  <si>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</si>
  <si>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</si>
  <si>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</si>
  <si>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</si>
  <si>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</si>
  <si>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</si>
  <si>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</si>
  <si>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</si>
  <si>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</si>
  <si>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</si>
  <si>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</si>
  <si>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</si>
  <si>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</si>
  <si>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</si>
  <si>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</si>
  <si>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</si>
  <si>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</si>
  <si>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</si>
  <si>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</si>
  <si>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</si>
  <si>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</si>
  <si>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</si>
  <si>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</si>
  <si>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</si>
  <si>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</si>
  <si>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</si>
  <si>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</si>
  <si>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</si>
  <si>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</si>
  <si>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</si>
  <si>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</si>
  <si>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</si>
  <si>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</si>
  <si>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</si>
  <si>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</si>
  <si>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</si>
  <si>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</si>
  <si>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</si>
  <si>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</si>
  <si>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</si>
  <si>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</si>
  <si>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</si>
  <si>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</si>
  <si>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</si>
  <si>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</si>
  <si>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</si>
  <si>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</si>
  <si>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</si>
  <si>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</si>
  <si>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</si>
  <si>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</si>
  <si>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</si>
  <si>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</si>
  <si>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</si>
  <si>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</si>
  <si>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</si>
  <si>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</si>
  <si>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</si>
  <si>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</si>
  <si>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</si>
  <si>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</si>
  <si>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</si>
  <si>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</si>
  <si>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</si>
  <si>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</si>
  <si>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</si>
  <si>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</si>
  <si>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</si>
  <si>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</si>
  <si>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</si>
  <si>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</si>
  <si>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</si>
  <si>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</si>
  <si>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</si>
  <si>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</si>
  <si>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</si>
  <si>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</si>
  <si>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</si>
  <si>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</si>
  <si>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</si>
  <si>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</si>
  <si>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</si>
  <si>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</si>
  <si>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</si>
  <si>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</si>
  <si>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</si>
  <si>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</si>
  <si>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</si>
  <si>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</si>
  <si>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</si>
  <si>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</si>
  <si>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</si>
  <si>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</si>
  <si>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</si>
  <si>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</si>
  <si>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</si>
  <si>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</si>
  <si>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</si>
  <si>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</si>
  <si>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</si>
  <si>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</si>
  <si>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</si>
  <si>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</si>
  <si>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</si>
  <si>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</si>
  <si>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</si>
  <si>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</si>
  <si>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</si>
  <si>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</si>
  <si>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</si>
  <si>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</si>
  <si>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</si>
  <si>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</si>
  <si>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</si>
  <si>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</si>
  <si>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</si>
  <si>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</si>
  <si>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</si>
  <si>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</si>
  <si>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</si>
  <si>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</si>
  <si>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</si>
  <si>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</si>
  <si>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</si>
  <si>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</si>
  <si>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</si>
  <si>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</si>
  <si>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</si>
  <si>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</si>
  <si>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</si>
  <si>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</si>
  <si>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</si>
  <si>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</si>
  <si>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</si>
  <si>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</si>
  <si>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</si>
  <si>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</si>
  <si>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</si>
  <si>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</si>
  <si>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</si>
  <si>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</si>
  <si>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</si>
  <si>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</si>
  <si>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</si>
  <si>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</si>
  <si>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</si>
  <si>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</si>
  <si>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</si>
  <si>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</si>
  <si>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</si>
  <si>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</si>
  <si>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</si>
  <si>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</si>
  <si>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</si>
  <si>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</si>
  <si>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</si>
  <si>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</si>
  <si>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</si>
  <si>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</si>
  <si>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</si>
  <si>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</si>
  <si>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</si>
  <si>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</si>
  <si>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</si>
  <si>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</si>
  <si>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</si>
  <si>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</si>
  <si>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CUST181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</si>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</sst>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51BE-E65B-4070-B9F9-95C82C07D67B}">
  <dimension ref="A1:Q5001"/>
  <sheetViews>
    <sheetView tabSelected="1" topLeftCell="E1" workbookViewId="0">
      <selection activeCell="R9" sqref="R9"/>
    </sheetView>
  </sheetViews>
  <sheetFormatPr defaultRowHeight="14.4" x14ac:dyDescent="0.3"/>
  <cols>
    <col min="1" max="1" width="13" bestFit="1" customWidth="1"/>
    <col min="2" max="2" width="18.109375" style="6" bestFit="1" customWidth="1"/>
    <col min="3" max="3" width="18.109375" style="6" customWidth="1"/>
    <col min="4" max="4" width="16.33203125" bestFit="1" customWidth="1"/>
    <col min="5" max="5" width="20.77734375" bestFit="1" customWidth="1"/>
    <col min="6" max="6" width="18.21875" bestFit="1" customWidth="1"/>
    <col min="7" max="7" width="12.77734375" bestFit="1" customWidth="1"/>
    <col min="8" max="8" width="14.109375" style="7" bestFit="1" customWidth="1"/>
    <col min="9" max="9" width="11.21875" bestFit="1" customWidth="1"/>
    <col min="10" max="10" width="16.44140625" bestFit="1" customWidth="1"/>
    <col min="11" max="11" width="15.21875" bestFit="1" customWidth="1"/>
    <col min="12" max="12" width="14.88671875" bestFit="1" customWidth="1"/>
    <col min="13" max="13" width="12.77734375" bestFit="1" customWidth="1"/>
    <col min="16" max="16" width="15.77734375" bestFit="1" customWidth="1"/>
    <col min="17" max="17" width="12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spans="1:17" x14ac:dyDescent="0.3">
      <c r="A2" t="s">
        <v>17</v>
      </c>
      <c r="B2" s="6">
        <v>45050</v>
      </c>
      <c r="C2" s="6" t="str">
        <f>TEXT(B2,"MMM")</f>
        <v>May</v>
      </c>
      <c r="D2" t="s">
        <v>18</v>
      </c>
      <c r="E2" t="s">
        <v>19</v>
      </c>
      <c r="F2" t="s">
        <v>20</v>
      </c>
      <c r="G2">
        <v>7</v>
      </c>
      <c r="H2" s="7">
        <v>478.81</v>
      </c>
      <c r="I2" t="s">
        <v>21</v>
      </c>
      <c r="J2" t="s">
        <v>22</v>
      </c>
      <c r="K2">
        <v>5</v>
      </c>
      <c r="L2" s="7">
        <f>G2*H2</f>
        <v>3351.67</v>
      </c>
      <c r="M2" s="7">
        <f>AVERAGE(E2:E5001,L2:L5001)</f>
        <v>1259.8216640000057</v>
      </c>
      <c r="N2">
        <f>COUNTA(A2:A5001)</f>
        <v>5000</v>
      </c>
      <c r="O2">
        <f>IF(L2&gt;3500,5,IF(L2&gt;3000,4,IF(L2&gt;2500,3,IF(L2&gt;2000,2,IF(L2&gt;1000,1,0)))))</f>
        <v>4</v>
      </c>
      <c r="P2" s="8">
        <f>AVERAGE(O2:O5001)</f>
        <v>2.2505999999999999</v>
      </c>
      <c r="Q2" t="s">
        <v>23</v>
      </c>
    </row>
    <row r="3" spans="1:17" x14ac:dyDescent="0.3">
      <c r="A3" t="s">
        <v>24</v>
      </c>
      <c r="B3" s="6">
        <v>45188</v>
      </c>
      <c r="C3" s="6" t="str">
        <f t="shared" ref="C3:C66" si="0">TEXT(B3,"MMM")</f>
        <v>Sep</v>
      </c>
      <c r="D3" t="s">
        <v>25</v>
      </c>
      <c r="E3" t="s">
        <v>26</v>
      </c>
      <c r="F3" t="s">
        <v>27</v>
      </c>
      <c r="G3">
        <v>4</v>
      </c>
      <c r="H3" s="7">
        <v>445.62</v>
      </c>
      <c r="I3" t="s">
        <v>19</v>
      </c>
      <c r="J3" t="s">
        <v>28</v>
      </c>
      <c r="K3">
        <v>0</v>
      </c>
      <c r="L3" s="7">
        <f t="shared" ref="L3:L66" si="1">G3*H3</f>
        <v>1782.48</v>
      </c>
      <c r="M3" s="7"/>
      <c r="O3">
        <f>IF(L3&gt;3500,5,IF(L3&gt;3000,4,IF(L3&gt;2500,3,IF(L3&gt;2000,2,IF(L3&gt;1000,2,2)))))</f>
        <v>2</v>
      </c>
      <c r="Q3" t="s">
        <v>19</v>
      </c>
    </row>
    <row r="4" spans="1:17" x14ac:dyDescent="0.3">
      <c r="A4" t="s">
        <v>29</v>
      </c>
      <c r="B4" s="6">
        <v>45036</v>
      </c>
      <c r="C4" s="6" t="str">
        <f t="shared" si="0"/>
        <v>Apr</v>
      </c>
      <c r="D4" t="s">
        <v>30</v>
      </c>
      <c r="E4" t="s">
        <v>31</v>
      </c>
      <c r="F4" t="s">
        <v>20</v>
      </c>
      <c r="G4">
        <v>8</v>
      </c>
      <c r="H4" s="7">
        <v>327.88</v>
      </c>
      <c r="I4" t="s">
        <v>32</v>
      </c>
      <c r="J4" t="s">
        <v>22</v>
      </c>
      <c r="K4">
        <v>20</v>
      </c>
      <c r="L4" s="7">
        <f t="shared" si="1"/>
        <v>2623.04</v>
      </c>
      <c r="M4" s="7"/>
      <c r="O4">
        <f t="shared" ref="O4:O67" si="2">IF(L4&gt;3500,5,IF(L4&gt;3000,4,IF(L4&gt;2500,3,IF(L4&gt;2000,2,IF(L4&gt;1000,2,2)))))</f>
        <v>3</v>
      </c>
      <c r="Q4" t="s">
        <v>33</v>
      </c>
    </row>
    <row r="5" spans="1:17" x14ac:dyDescent="0.3">
      <c r="A5" t="s">
        <v>34</v>
      </c>
      <c r="B5" s="6">
        <v>45291</v>
      </c>
      <c r="C5" s="6" t="str">
        <f t="shared" si="0"/>
        <v>Dec</v>
      </c>
      <c r="D5" t="s">
        <v>35</v>
      </c>
      <c r="E5" t="s">
        <v>36</v>
      </c>
      <c r="F5" t="s">
        <v>37</v>
      </c>
      <c r="G5">
        <v>5</v>
      </c>
      <c r="H5" s="7">
        <v>232.52</v>
      </c>
      <c r="I5" t="s">
        <v>21</v>
      </c>
      <c r="J5" t="s">
        <v>19</v>
      </c>
      <c r="K5">
        <v>10</v>
      </c>
      <c r="L5" s="7">
        <f t="shared" si="1"/>
        <v>1162.6000000000001</v>
      </c>
      <c r="M5" s="7"/>
      <c r="O5">
        <f t="shared" si="2"/>
        <v>2</v>
      </c>
      <c r="Q5" t="s">
        <v>23</v>
      </c>
    </row>
    <row r="6" spans="1:17" x14ac:dyDescent="0.3">
      <c r="A6" t="s">
        <v>38</v>
      </c>
      <c r="B6" s="6">
        <v>45280</v>
      </c>
      <c r="C6" s="6" t="str">
        <f t="shared" si="0"/>
        <v>Dec</v>
      </c>
      <c r="D6" t="s">
        <v>39</v>
      </c>
      <c r="E6" t="s">
        <v>40</v>
      </c>
      <c r="F6" t="s">
        <v>41</v>
      </c>
      <c r="G6">
        <v>7</v>
      </c>
      <c r="H6" s="7">
        <v>339.5</v>
      </c>
      <c r="I6" t="s">
        <v>19</v>
      </c>
      <c r="J6" t="s">
        <v>42</v>
      </c>
      <c r="K6">
        <v>0</v>
      </c>
      <c r="L6" s="7">
        <f t="shared" si="1"/>
        <v>2376.5</v>
      </c>
      <c r="M6" s="7"/>
      <c r="O6">
        <f t="shared" si="2"/>
        <v>2</v>
      </c>
      <c r="Q6" t="s">
        <v>19</v>
      </c>
    </row>
    <row r="7" spans="1:17" x14ac:dyDescent="0.3">
      <c r="A7" t="s">
        <v>43</v>
      </c>
      <c r="B7" s="6">
        <v>45015</v>
      </c>
      <c r="C7" s="6" t="str">
        <f t="shared" si="0"/>
        <v>Mar</v>
      </c>
      <c r="D7" t="s">
        <v>44</v>
      </c>
      <c r="E7" t="s">
        <v>26</v>
      </c>
      <c r="F7" t="s">
        <v>45</v>
      </c>
      <c r="G7">
        <v>3</v>
      </c>
      <c r="H7" s="7">
        <v>311.20999999999998</v>
      </c>
      <c r="I7" t="s">
        <v>46</v>
      </c>
      <c r="J7" t="s">
        <v>28</v>
      </c>
      <c r="K7">
        <v>0</v>
      </c>
      <c r="L7" s="7">
        <f t="shared" si="1"/>
        <v>933.62999999999988</v>
      </c>
      <c r="M7" s="7"/>
      <c r="O7">
        <f t="shared" si="2"/>
        <v>2</v>
      </c>
      <c r="Q7" t="s">
        <v>47</v>
      </c>
    </row>
    <row r="8" spans="1:17" x14ac:dyDescent="0.3">
      <c r="A8" t="s">
        <v>48</v>
      </c>
      <c r="B8" s="6">
        <v>44964</v>
      </c>
      <c r="C8" s="6" t="str">
        <f t="shared" si="0"/>
        <v>Feb</v>
      </c>
      <c r="D8" t="s">
        <v>49</v>
      </c>
      <c r="E8" t="s">
        <v>50</v>
      </c>
      <c r="F8" t="s">
        <v>51</v>
      </c>
      <c r="G8">
        <v>7</v>
      </c>
      <c r="H8" s="7">
        <v>286.43</v>
      </c>
      <c r="I8" t="s">
        <v>19</v>
      </c>
      <c r="J8" t="s">
        <v>28</v>
      </c>
      <c r="K8">
        <v>5</v>
      </c>
      <c r="L8" s="7">
        <f t="shared" si="1"/>
        <v>2005.01</v>
      </c>
      <c r="M8" s="7"/>
      <c r="O8">
        <f t="shared" si="2"/>
        <v>2</v>
      </c>
      <c r="Q8" t="s">
        <v>19</v>
      </c>
    </row>
    <row r="9" spans="1:17" x14ac:dyDescent="0.3">
      <c r="A9" t="s">
        <v>52</v>
      </c>
      <c r="B9" s="6">
        <v>45057</v>
      </c>
      <c r="C9" s="6" t="str">
        <f t="shared" si="0"/>
        <v>May</v>
      </c>
      <c r="D9" t="s">
        <v>53</v>
      </c>
      <c r="E9" t="s">
        <v>19</v>
      </c>
      <c r="F9" t="s">
        <v>54</v>
      </c>
      <c r="G9">
        <v>8</v>
      </c>
      <c r="H9" s="7">
        <v>34.29</v>
      </c>
      <c r="I9" t="s">
        <v>32</v>
      </c>
      <c r="J9" t="s">
        <v>22</v>
      </c>
      <c r="K9">
        <v>5</v>
      </c>
      <c r="L9" s="7">
        <f t="shared" si="1"/>
        <v>274.32</v>
      </c>
      <c r="M9" s="7"/>
      <c r="O9">
        <f t="shared" si="2"/>
        <v>2</v>
      </c>
      <c r="Q9" t="s">
        <v>33</v>
      </c>
    </row>
    <row r="10" spans="1:17" x14ac:dyDescent="0.3">
      <c r="A10" t="s">
        <v>55</v>
      </c>
      <c r="B10" s="6">
        <v>45033</v>
      </c>
      <c r="C10" s="6" t="str">
        <f t="shared" si="0"/>
        <v>Apr</v>
      </c>
      <c r="D10" t="s">
        <v>56</v>
      </c>
      <c r="E10" t="s">
        <v>26</v>
      </c>
      <c r="F10" t="s">
        <v>37</v>
      </c>
      <c r="G10">
        <v>5</v>
      </c>
      <c r="H10" s="7">
        <v>318.24</v>
      </c>
      <c r="I10" t="s">
        <v>32</v>
      </c>
      <c r="J10" t="s">
        <v>28</v>
      </c>
      <c r="K10">
        <v>5</v>
      </c>
      <c r="L10" s="7">
        <f t="shared" si="1"/>
        <v>1591.2</v>
      </c>
      <c r="M10" s="7"/>
      <c r="O10">
        <f t="shared" si="2"/>
        <v>2</v>
      </c>
      <c r="Q10" t="s">
        <v>33</v>
      </c>
    </row>
    <row r="11" spans="1:17" x14ac:dyDescent="0.3">
      <c r="A11" t="s">
        <v>57</v>
      </c>
      <c r="B11" s="6">
        <v>45143</v>
      </c>
      <c r="C11" s="6" t="str">
        <f t="shared" si="0"/>
        <v>Aug</v>
      </c>
      <c r="D11" t="s">
        <v>58</v>
      </c>
      <c r="E11" t="s">
        <v>50</v>
      </c>
      <c r="F11" t="s">
        <v>59</v>
      </c>
      <c r="G11">
        <v>4</v>
      </c>
      <c r="H11" s="7">
        <v>385.62</v>
      </c>
      <c r="I11" t="s">
        <v>32</v>
      </c>
      <c r="J11" t="s">
        <v>22</v>
      </c>
      <c r="K11">
        <v>20</v>
      </c>
      <c r="L11" s="7">
        <f t="shared" si="1"/>
        <v>1542.48</v>
      </c>
      <c r="M11" s="7"/>
      <c r="O11">
        <f t="shared" si="2"/>
        <v>2</v>
      </c>
      <c r="Q11" t="s">
        <v>33</v>
      </c>
    </row>
    <row r="12" spans="1:17" x14ac:dyDescent="0.3">
      <c r="A12" t="s">
        <v>60</v>
      </c>
      <c r="B12" s="6">
        <v>44972</v>
      </c>
      <c r="C12" s="6" t="str">
        <f t="shared" si="0"/>
        <v>Feb</v>
      </c>
      <c r="D12" t="s">
        <v>61</v>
      </c>
      <c r="E12" t="s">
        <v>62</v>
      </c>
      <c r="F12" t="s">
        <v>63</v>
      </c>
      <c r="G12">
        <v>8</v>
      </c>
      <c r="H12" s="7">
        <v>497.07</v>
      </c>
      <c r="I12" t="s">
        <v>64</v>
      </c>
      <c r="J12" t="s">
        <v>42</v>
      </c>
      <c r="K12">
        <v>15</v>
      </c>
      <c r="L12" s="7">
        <f t="shared" si="1"/>
        <v>3976.56</v>
      </c>
      <c r="M12" s="7"/>
      <c r="O12">
        <f t="shared" si="2"/>
        <v>5</v>
      </c>
      <c r="Q12" t="s">
        <v>65</v>
      </c>
    </row>
    <row r="13" spans="1:17" x14ac:dyDescent="0.3">
      <c r="A13" t="s">
        <v>66</v>
      </c>
      <c r="B13" s="6">
        <v>44997</v>
      </c>
      <c r="C13" s="6" t="str">
        <f t="shared" si="0"/>
        <v>Mar</v>
      </c>
      <c r="D13" t="s">
        <v>67</v>
      </c>
      <c r="E13" t="s">
        <v>19</v>
      </c>
      <c r="F13" t="s">
        <v>68</v>
      </c>
      <c r="G13">
        <v>8</v>
      </c>
      <c r="H13" s="7">
        <v>10.48</v>
      </c>
      <c r="I13" t="s">
        <v>21</v>
      </c>
      <c r="J13" t="s">
        <v>19</v>
      </c>
      <c r="K13">
        <v>0</v>
      </c>
      <c r="L13" s="7">
        <f t="shared" si="1"/>
        <v>83.84</v>
      </c>
      <c r="M13" s="7"/>
      <c r="O13">
        <f t="shared" si="2"/>
        <v>2</v>
      </c>
      <c r="Q13" t="s">
        <v>23</v>
      </c>
    </row>
    <row r="14" spans="1:17" x14ac:dyDescent="0.3">
      <c r="A14" t="s">
        <v>69</v>
      </c>
      <c r="B14" s="6">
        <v>45255</v>
      </c>
      <c r="C14" s="6" t="str">
        <f t="shared" si="0"/>
        <v>Nov</v>
      </c>
      <c r="D14" t="s">
        <v>70</v>
      </c>
      <c r="E14" t="s">
        <v>19</v>
      </c>
      <c r="F14" t="s">
        <v>71</v>
      </c>
      <c r="G14">
        <v>3</v>
      </c>
      <c r="H14" s="7">
        <v>366.44</v>
      </c>
      <c r="I14" t="s">
        <v>21</v>
      </c>
      <c r="J14" t="s">
        <v>72</v>
      </c>
      <c r="K14">
        <v>15</v>
      </c>
      <c r="L14" s="7">
        <f t="shared" si="1"/>
        <v>1099.32</v>
      </c>
      <c r="M14" s="7"/>
      <c r="O14">
        <f t="shared" si="2"/>
        <v>2</v>
      </c>
      <c r="Q14" t="s">
        <v>23</v>
      </c>
    </row>
    <row r="15" spans="1:17" x14ac:dyDescent="0.3">
      <c r="A15" t="s">
        <v>73</v>
      </c>
      <c r="B15" s="6">
        <v>45142</v>
      </c>
      <c r="C15" s="6" t="str">
        <f t="shared" si="0"/>
        <v>Aug</v>
      </c>
      <c r="D15" t="s">
        <v>74</v>
      </c>
      <c r="E15" t="s">
        <v>19</v>
      </c>
      <c r="F15" t="s">
        <v>75</v>
      </c>
      <c r="G15">
        <v>6</v>
      </c>
      <c r="H15" s="7">
        <v>252.16</v>
      </c>
      <c r="I15" t="s">
        <v>21</v>
      </c>
      <c r="J15" t="s">
        <v>19</v>
      </c>
      <c r="K15">
        <v>15</v>
      </c>
      <c r="L15" s="7">
        <f t="shared" si="1"/>
        <v>1512.96</v>
      </c>
      <c r="M15" s="7"/>
      <c r="O15">
        <f t="shared" si="2"/>
        <v>2</v>
      </c>
      <c r="Q15" t="s">
        <v>23</v>
      </c>
    </row>
    <row r="16" spans="1:17" x14ac:dyDescent="0.3">
      <c r="A16" t="s">
        <v>76</v>
      </c>
      <c r="B16" s="6">
        <v>44978</v>
      </c>
      <c r="C16" s="6" t="str">
        <f t="shared" si="0"/>
        <v>Feb</v>
      </c>
      <c r="D16" t="s">
        <v>77</v>
      </c>
      <c r="E16" t="s">
        <v>19</v>
      </c>
      <c r="F16" t="s">
        <v>78</v>
      </c>
      <c r="G16">
        <v>5</v>
      </c>
      <c r="H16" s="7">
        <v>219.86</v>
      </c>
      <c r="I16" t="s">
        <v>21</v>
      </c>
      <c r="J16" t="s">
        <v>42</v>
      </c>
      <c r="K16">
        <v>5</v>
      </c>
      <c r="L16" s="7">
        <f t="shared" si="1"/>
        <v>1099.3000000000002</v>
      </c>
      <c r="M16" s="7"/>
      <c r="O16">
        <f t="shared" si="2"/>
        <v>2</v>
      </c>
      <c r="Q16" t="s">
        <v>23</v>
      </c>
    </row>
    <row r="17" spans="1:17" x14ac:dyDescent="0.3">
      <c r="A17" t="s">
        <v>79</v>
      </c>
      <c r="B17" s="6">
        <v>45110</v>
      </c>
      <c r="C17" s="6" t="str">
        <f t="shared" si="0"/>
        <v>Jul</v>
      </c>
      <c r="D17" t="s">
        <v>80</v>
      </c>
      <c r="E17" t="s">
        <v>19</v>
      </c>
      <c r="F17" t="s">
        <v>81</v>
      </c>
      <c r="G17">
        <v>2</v>
      </c>
      <c r="H17" s="7">
        <v>68.150000000000006</v>
      </c>
      <c r="I17" t="s">
        <v>21</v>
      </c>
      <c r="J17" t="s">
        <v>22</v>
      </c>
      <c r="K17">
        <v>15</v>
      </c>
      <c r="L17" s="7">
        <f t="shared" si="1"/>
        <v>136.30000000000001</v>
      </c>
      <c r="M17" s="7"/>
      <c r="O17">
        <f t="shared" si="2"/>
        <v>2</v>
      </c>
      <c r="Q17" t="s">
        <v>23</v>
      </c>
    </row>
    <row r="18" spans="1:17" x14ac:dyDescent="0.3">
      <c r="A18" t="s">
        <v>82</v>
      </c>
      <c r="B18" s="6">
        <v>45012</v>
      </c>
      <c r="C18" s="6" t="str">
        <f t="shared" si="0"/>
        <v>Mar</v>
      </c>
      <c r="D18" t="s">
        <v>83</v>
      </c>
      <c r="E18" t="s">
        <v>26</v>
      </c>
      <c r="F18" t="s">
        <v>84</v>
      </c>
      <c r="G18">
        <v>8</v>
      </c>
      <c r="H18" s="7">
        <v>207.5</v>
      </c>
      <c r="I18" t="s">
        <v>46</v>
      </c>
      <c r="J18" t="s">
        <v>22</v>
      </c>
      <c r="K18">
        <v>0</v>
      </c>
      <c r="L18" s="7">
        <f t="shared" si="1"/>
        <v>1660</v>
      </c>
      <c r="M18" s="7"/>
      <c r="O18">
        <f t="shared" si="2"/>
        <v>2</v>
      </c>
      <c r="Q18" t="s">
        <v>47</v>
      </c>
    </row>
    <row r="19" spans="1:17" x14ac:dyDescent="0.3">
      <c r="A19" t="s">
        <v>85</v>
      </c>
      <c r="B19" s="6">
        <v>45273</v>
      </c>
      <c r="C19" s="6" t="str">
        <f t="shared" si="0"/>
        <v>Dec</v>
      </c>
      <c r="D19" t="s">
        <v>86</v>
      </c>
      <c r="E19" t="s">
        <v>62</v>
      </c>
      <c r="F19" t="s">
        <v>75</v>
      </c>
      <c r="G19">
        <v>6</v>
      </c>
      <c r="H19" s="7">
        <v>180.42</v>
      </c>
      <c r="I19" t="s">
        <v>21</v>
      </c>
      <c r="J19" t="s">
        <v>87</v>
      </c>
      <c r="K19">
        <v>0</v>
      </c>
      <c r="L19" s="7">
        <f t="shared" si="1"/>
        <v>1082.52</v>
      </c>
      <c r="M19" s="7"/>
      <c r="O19">
        <f t="shared" si="2"/>
        <v>2</v>
      </c>
      <c r="Q19" t="s">
        <v>23</v>
      </c>
    </row>
    <row r="20" spans="1:17" x14ac:dyDescent="0.3">
      <c r="A20" t="s">
        <v>88</v>
      </c>
      <c r="B20" s="6">
        <v>45107</v>
      </c>
      <c r="C20" s="6" t="str">
        <f t="shared" si="0"/>
        <v>Jun</v>
      </c>
      <c r="D20" t="s">
        <v>89</v>
      </c>
      <c r="E20" t="s">
        <v>31</v>
      </c>
      <c r="F20" t="s">
        <v>90</v>
      </c>
      <c r="G20">
        <v>5</v>
      </c>
      <c r="H20" s="7">
        <v>154.9</v>
      </c>
      <c r="I20" t="s">
        <v>21</v>
      </c>
      <c r="J20" t="s">
        <v>42</v>
      </c>
      <c r="K20">
        <v>10</v>
      </c>
      <c r="L20" s="7">
        <f t="shared" si="1"/>
        <v>774.5</v>
      </c>
      <c r="M20" s="7"/>
      <c r="O20">
        <f t="shared" si="2"/>
        <v>2</v>
      </c>
      <c r="Q20" t="s">
        <v>23</v>
      </c>
    </row>
    <row r="21" spans="1:17" x14ac:dyDescent="0.3">
      <c r="A21" t="s">
        <v>91</v>
      </c>
      <c r="B21" s="6">
        <v>44990</v>
      </c>
      <c r="C21" s="6" t="str">
        <f t="shared" si="0"/>
        <v>Mar</v>
      </c>
      <c r="D21" t="s">
        <v>92</v>
      </c>
      <c r="E21" t="s">
        <v>62</v>
      </c>
      <c r="F21" t="s">
        <v>81</v>
      </c>
      <c r="G21">
        <v>5</v>
      </c>
      <c r="H21" s="7">
        <v>366.79</v>
      </c>
      <c r="I21" t="s">
        <v>32</v>
      </c>
      <c r="J21" t="s">
        <v>72</v>
      </c>
      <c r="K21">
        <v>10</v>
      </c>
      <c r="L21" s="7">
        <f t="shared" si="1"/>
        <v>1833.95</v>
      </c>
      <c r="M21" s="7"/>
      <c r="O21">
        <f t="shared" si="2"/>
        <v>2</v>
      </c>
      <c r="Q21" t="s">
        <v>33</v>
      </c>
    </row>
    <row r="22" spans="1:17" x14ac:dyDescent="0.3">
      <c r="A22" t="s">
        <v>93</v>
      </c>
      <c r="B22" s="6">
        <v>44951</v>
      </c>
      <c r="C22" s="6" t="str">
        <f t="shared" si="0"/>
        <v>Jan</v>
      </c>
      <c r="D22" t="s">
        <v>70</v>
      </c>
      <c r="E22" t="s">
        <v>50</v>
      </c>
      <c r="F22" t="s">
        <v>94</v>
      </c>
      <c r="G22">
        <v>1</v>
      </c>
      <c r="H22" s="7">
        <v>351.86</v>
      </c>
      <c r="I22" t="s">
        <v>32</v>
      </c>
      <c r="J22" t="s">
        <v>28</v>
      </c>
      <c r="K22">
        <v>20</v>
      </c>
      <c r="L22" s="7">
        <f t="shared" si="1"/>
        <v>351.86</v>
      </c>
      <c r="M22" s="7"/>
      <c r="O22">
        <f t="shared" si="2"/>
        <v>2</v>
      </c>
      <c r="Q22" t="s">
        <v>33</v>
      </c>
    </row>
    <row r="23" spans="1:17" x14ac:dyDescent="0.3">
      <c r="A23" t="s">
        <v>95</v>
      </c>
      <c r="B23" s="6">
        <v>45082</v>
      </c>
      <c r="C23" s="6" t="str">
        <f t="shared" si="0"/>
        <v>Jun</v>
      </c>
      <c r="D23" t="s">
        <v>96</v>
      </c>
      <c r="E23" t="s">
        <v>26</v>
      </c>
      <c r="F23" t="s">
        <v>90</v>
      </c>
      <c r="G23">
        <v>6</v>
      </c>
      <c r="H23" s="7">
        <v>296.56</v>
      </c>
      <c r="I23" t="s">
        <v>64</v>
      </c>
      <c r="J23" t="s">
        <v>87</v>
      </c>
      <c r="K23">
        <v>15</v>
      </c>
      <c r="L23" s="7">
        <f t="shared" si="1"/>
        <v>1779.3600000000001</v>
      </c>
      <c r="M23" s="7"/>
      <c r="O23">
        <f t="shared" si="2"/>
        <v>2</v>
      </c>
      <c r="Q23" t="s">
        <v>65</v>
      </c>
    </row>
    <row r="24" spans="1:17" x14ac:dyDescent="0.3">
      <c r="A24" t="s">
        <v>97</v>
      </c>
      <c r="B24" s="6">
        <v>45192</v>
      </c>
      <c r="C24" s="6" t="str">
        <f t="shared" si="0"/>
        <v>Sep</v>
      </c>
      <c r="D24" t="s">
        <v>98</v>
      </c>
      <c r="E24" t="s">
        <v>62</v>
      </c>
      <c r="F24" t="s">
        <v>99</v>
      </c>
      <c r="G24">
        <v>9</v>
      </c>
      <c r="H24" s="7">
        <v>469.64</v>
      </c>
      <c r="I24" t="s">
        <v>46</v>
      </c>
      <c r="J24" t="s">
        <v>28</v>
      </c>
      <c r="K24">
        <v>20</v>
      </c>
      <c r="L24" s="7">
        <f t="shared" si="1"/>
        <v>4226.76</v>
      </c>
      <c r="M24" s="7"/>
      <c r="O24">
        <f t="shared" si="2"/>
        <v>5</v>
      </c>
      <c r="Q24" t="s">
        <v>47</v>
      </c>
    </row>
    <row r="25" spans="1:17" x14ac:dyDescent="0.3">
      <c r="A25" t="s">
        <v>100</v>
      </c>
      <c r="B25" s="6">
        <v>45027</v>
      </c>
      <c r="C25" s="6" t="str">
        <f t="shared" si="0"/>
        <v>Apr</v>
      </c>
      <c r="D25" t="s">
        <v>101</v>
      </c>
      <c r="E25" t="s">
        <v>50</v>
      </c>
      <c r="F25" t="s">
        <v>102</v>
      </c>
      <c r="G25">
        <v>1</v>
      </c>
      <c r="H25" s="7">
        <v>178.18</v>
      </c>
      <c r="I25" t="s">
        <v>103</v>
      </c>
      <c r="J25" t="s">
        <v>87</v>
      </c>
      <c r="K25">
        <v>20</v>
      </c>
      <c r="L25" s="7">
        <f t="shared" si="1"/>
        <v>178.18</v>
      </c>
      <c r="M25" s="7"/>
      <c r="O25">
        <f t="shared" si="2"/>
        <v>2</v>
      </c>
      <c r="Q25" t="s">
        <v>104</v>
      </c>
    </row>
    <row r="26" spans="1:17" x14ac:dyDescent="0.3">
      <c r="A26" t="s">
        <v>105</v>
      </c>
      <c r="B26" s="6">
        <v>45131</v>
      </c>
      <c r="C26" s="6" t="str">
        <f t="shared" si="0"/>
        <v>Jul</v>
      </c>
      <c r="D26" t="s">
        <v>106</v>
      </c>
      <c r="E26" t="s">
        <v>36</v>
      </c>
      <c r="F26" t="s">
        <v>107</v>
      </c>
      <c r="G26">
        <v>3</v>
      </c>
      <c r="H26" s="7">
        <v>125.68</v>
      </c>
      <c r="I26" t="s">
        <v>19</v>
      </c>
      <c r="J26" t="s">
        <v>87</v>
      </c>
      <c r="K26">
        <v>20</v>
      </c>
      <c r="L26" s="7">
        <f t="shared" si="1"/>
        <v>377.04</v>
      </c>
      <c r="M26" s="7"/>
      <c r="O26">
        <f t="shared" si="2"/>
        <v>2</v>
      </c>
      <c r="Q26" t="s">
        <v>19</v>
      </c>
    </row>
    <row r="27" spans="1:17" x14ac:dyDescent="0.3">
      <c r="A27" t="s">
        <v>108</v>
      </c>
      <c r="B27" s="6">
        <v>45209</v>
      </c>
      <c r="C27" s="6" t="str">
        <f t="shared" si="0"/>
        <v>Oct</v>
      </c>
      <c r="D27" t="s">
        <v>109</v>
      </c>
      <c r="E27" t="s">
        <v>31</v>
      </c>
      <c r="F27" t="s">
        <v>110</v>
      </c>
      <c r="G27">
        <v>7</v>
      </c>
      <c r="H27" s="7">
        <v>329.67</v>
      </c>
      <c r="I27" t="s">
        <v>21</v>
      </c>
      <c r="J27" t="s">
        <v>87</v>
      </c>
      <c r="K27">
        <v>10</v>
      </c>
      <c r="L27" s="7">
        <f t="shared" si="1"/>
        <v>2307.69</v>
      </c>
      <c r="M27" s="7"/>
      <c r="O27">
        <f t="shared" si="2"/>
        <v>2</v>
      </c>
      <c r="Q27" t="s">
        <v>23</v>
      </c>
    </row>
    <row r="28" spans="1:17" x14ac:dyDescent="0.3">
      <c r="A28" t="s">
        <v>111</v>
      </c>
      <c r="B28" s="6">
        <v>44965</v>
      </c>
      <c r="C28" s="6" t="str">
        <f t="shared" si="0"/>
        <v>Feb</v>
      </c>
      <c r="D28" t="s">
        <v>112</v>
      </c>
      <c r="E28" t="s">
        <v>26</v>
      </c>
      <c r="F28" t="s">
        <v>113</v>
      </c>
      <c r="G28">
        <v>4</v>
      </c>
      <c r="H28" s="7">
        <v>103.41</v>
      </c>
      <c r="I28" t="s">
        <v>21</v>
      </c>
      <c r="J28" t="s">
        <v>22</v>
      </c>
      <c r="K28">
        <v>20</v>
      </c>
      <c r="L28" s="7">
        <f t="shared" si="1"/>
        <v>413.64</v>
      </c>
      <c r="M28" s="7"/>
      <c r="O28">
        <f t="shared" si="2"/>
        <v>2</v>
      </c>
      <c r="Q28" t="s">
        <v>23</v>
      </c>
    </row>
    <row r="29" spans="1:17" x14ac:dyDescent="0.3">
      <c r="A29" t="s">
        <v>114</v>
      </c>
      <c r="B29" s="6">
        <v>44951</v>
      </c>
      <c r="C29" s="6" t="str">
        <f t="shared" si="0"/>
        <v>Jan</v>
      </c>
      <c r="D29" t="s">
        <v>115</v>
      </c>
      <c r="E29" t="s">
        <v>62</v>
      </c>
      <c r="F29" t="s">
        <v>116</v>
      </c>
      <c r="G29">
        <v>9</v>
      </c>
      <c r="H29" s="7">
        <v>252.16</v>
      </c>
      <c r="I29" t="s">
        <v>19</v>
      </c>
      <c r="J29" t="s">
        <v>72</v>
      </c>
      <c r="K29">
        <v>10</v>
      </c>
      <c r="L29" s="7">
        <f t="shared" si="1"/>
        <v>2269.44</v>
      </c>
      <c r="M29" s="7"/>
      <c r="O29">
        <f t="shared" si="2"/>
        <v>2</v>
      </c>
      <c r="Q29" t="s">
        <v>19</v>
      </c>
    </row>
    <row r="30" spans="1:17" x14ac:dyDescent="0.3">
      <c r="A30" t="s">
        <v>117</v>
      </c>
      <c r="B30" s="6">
        <v>45078</v>
      </c>
      <c r="C30" s="6" t="str">
        <f t="shared" si="0"/>
        <v>Jun</v>
      </c>
      <c r="D30" t="s">
        <v>118</v>
      </c>
      <c r="E30" t="s">
        <v>36</v>
      </c>
      <c r="F30" t="s">
        <v>119</v>
      </c>
      <c r="G30">
        <v>3</v>
      </c>
      <c r="H30" s="7">
        <v>116.18</v>
      </c>
      <c r="I30" t="s">
        <v>46</v>
      </c>
      <c r="J30" t="s">
        <v>28</v>
      </c>
      <c r="K30">
        <v>0</v>
      </c>
      <c r="L30" s="7">
        <f t="shared" si="1"/>
        <v>348.54</v>
      </c>
      <c r="M30" s="7"/>
      <c r="O30">
        <f t="shared" si="2"/>
        <v>2</v>
      </c>
      <c r="Q30" t="s">
        <v>47</v>
      </c>
    </row>
    <row r="31" spans="1:17" x14ac:dyDescent="0.3">
      <c r="A31" t="s">
        <v>120</v>
      </c>
      <c r="B31" s="6">
        <v>45142</v>
      </c>
      <c r="C31" s="6" t="str">
        <f t="shared" si="0"/>
        <v>Aug</v>
      </c>
      <c r="D31" t="s">
        <v>121</v>
      </c>
      <c r="E31" t="s">
        <v>19</v>
      </c>
      <c r="F31" t="s">
        <v>122</v>
      </c>
      <c r="G31">
        <v>5</v>
      </c>
      <c r="H31" s="7">
        <v>39.229999999999997</v>
      </c>
      <c r="I31" t="s">
        <v>103</v>
      </c>
      <c r="J31" t="s">
        <v>87</v>
      </c>
      <c r="K31">
        <v>15</v>
      </c>
      <c r="L31" s="7">
        <f t="shared" si="1"/>
        <v>196.14999999999998</v>
      </c>
      <c r="M31" s="7"/>
      <c r="O31">
        <f t="shared" si="2"/>
        <v>2</v>
      </c>
      <c r="Q31" t="s">
        <v>104</v>
      </c>
    </row>
    <row r="32" spans="1:17" x14ac:dyDescent="0.3">
      <c r="A32" t="s">
        <v>123</v>
      </c>
      <c r="B32" s="6">
        <v>45249</v>
      </c>
      <c r="C32" s="6" t="str">
        <f t="shared" si="0"/>
        <v>Nov</v>
      </c>
      <c r="D32" t="s">
        <v>124</v>
      </c>
      <c r="E32" t="s">
        <v>31</v>
      </c>
      <c r="F32" t="s">
        <v>125</v>
      </c>
      <c r="G32">
        <v>3</v>
      </c>
      <c r="H32" s="7">
        <v>414.61</v>
      </c>
      <c r="I32" t="s">
        <v>19</v>
      </c>
      <c r="J32" t="s">
        <v>42</v>
      </c>
      <c r="K32">
        <v>10</v>
      </c>
      <c r="L32" s="7">
        <f t="shared" si="1"/>
        <v>1243.83</v>
      </c>
      <c r="M32" s="7"/>
      <c r="O32">
        <f t="shared" si="2"/>
        <v>2</v>
      </c>
      <c r="Q32" t="s">
        <v>19</v>
      </c>
    </row>
    <row r="33" spans="1:17" x14ac:dyDescent="0.3">
      <c r="A33" t="s">
        <v>126</v>
      </c>
      <c r="B33" s="6">
        <v>45195</v>
      </c>
      <c r="C33" s="6" t="str">
        <f t="shared" si="0"/>
        <v>Sep</v>
      </c>
      <c r="D33" t="s">
        <v>127</v>
      </c>
      <c r="E33" t="s">
        <v>50</v>
      </c>
      <c r="F33" t="s">
        <v>128</v>
      </c>
      <c r="G33">
        <v>7</v>
      </c>
      <c r="H33" s="7">
        <v>131</v>
      </c>
      <c r="I33" t="s">
        <v>64</v>
      </c>
      <c r="J33" t="s">
        <v>72</v>
      </c>
      <c r="K33">
        <v>10</v>
      </c>
      <c r="L33" s="7">
        <f t="shared" si="1"/>
        <v>917</v>
      </c>
      <c r="M33" s="7"/>
      <c r="O33">
        <f t="shared" si="2"/>
        <v>2</v>
      </c>
      <c r="Q33" t="s">
        <v>65</v>
      </c>
    </row>
    <row r="34" spans="1:17" x14ac:dyDescent="0.3">
      <c r="A34" t="s">
        <v>129</v>
      </c>
      <c r="B34" s="6">
        <v>45044</v>
      </c>
      <c r="C34" s="6" t="str">
        <f t="shared" si="0"/>
        <v>Apr</v>
      </c>
      <c r="D34" t="s">
        <v>130</v>
      </c>
      <c r="E34" t="s">
        <v>62</v>
      </c>
      <c r="F34" t="s">
        <v>131</v>
      </c>
      <c r="G34">
        <v>5</v>
      </c>
      <c r="H34" s="7">
        <v>239.15</v>
      </c>
      <c r="I34" t="s">
        <v>32</v>
      </c>
      <c r="J34" t="s">
        <v>19</v>
      </c>
      <c r="K34">
        <v>20</v>
      </c>
      <c r="L34" s="7">
        <f t="shared" si="1"/>
        <v>1195.75</v>
      </c>
      <c r="M34" s="7"/>
      <c r="O34">
        <f t="shared" si="2"/>
        <v>2</v>
      </c>
      <c r="Q34" t="s">
        <v>33</v>
      </c>
    </row>
    <row r="35" spans="1:17" x14ac:dyDescent="0.3">
      <c r="A35" t="s">
        <v>132</v>
      </c>
      <c r="B35" s="6">
        <v>45009</v>
      </c>
      <c r="C35" s="6" t="str">
        <f t="shared" si="0"/>
        <v>Mar</v>
      </c>
      <c r="D35" t="s">
        <v>133</v>
      </c>
      <c r="E35" t="s">
        <v>26</v>
      </c>
      <c r="F35" t="s">
        <v>134</v>
      </c>
      <c r="G35">
        <v>9</v>
      </c>
      <c r="H35" s="7">
        <v>26.44</v>
      </c>
      <c r="I35" t="s">
        <v>21</v>
      </c>
      <c r="J35" t="s">
        <v>19</v>
      </c>
      <c r="K35">
        <v>10</v>
      </c>
      <c r="L35" s="7">
        <f t="shared" si="1"/>
        <v>237.96</v>
      </c>
      <c r="M35" s="7"/>
      <c r="O35">
        <f t="shared" si="2"/>
        <v>2</v>
      </c>
      <c r="Q35" t="s">
        <v>23</v>
      </c>
    </row>
    <row r="36" spans="1:17" x14ac:dyDescent="0.3">
      <c r="A36" t="s">
        <v>135</v>
      </c>
      <c r="B36" s="6">
        <v>45057</v>
      </c>
      <c r="C36" s="6" t="str">
        <f t="shared" si="0"/>
        <v>May</v>
      </c>
      <c r="D36" t="s">
        <v>136</v>
      </c>
      <c r="E36" t="s">
        <v>19</v>
      </c>
      <c r="F36" t="s">
        <v>137</v>
      </c>
      <c r="G36">
        <v>7</v>
      </c>
      <c r="H36" s="7">
        <v>351.17</v>
      </c>
      <c r="I36" t="s">
        <v>64</v>
      </c>
      <c r="J36" t="s">
        <v>72</v>
      </c>
      <c r="K36">
        <v>0</v>
      </c>
      <c r="L36" s="7">
        <f t="shared" si="1"/>
        <v>2458.19</v>
      </c>
      <c r="M36" s="7"/>
      <c r="O36">
        <f t="shared" si="2"/>
        <v>2</v>
      </c>
      <c r="Q36" t="s">
        <v>65</v>
      </c>
    </row>
    <row r="37" spans="1:17" x14ac:dyDescent="0.3">
      <c r="A37" t="s">
        <v>138</v>
      </c>
      <c r="B37" s="6">
        <v>44989</v>
      </c>
      <c r="C37" s="6" t="str">
        <f t="shared" si="0"/>
        <v>Mar</v>
      </c>
      <c r="D37" t="s">
        <v>70</v>
      </c>
      <c r="E37" t="s">
        <v>50</v>
      </c>
      <c r="F37" t="s">
        <v>139</v>
      </c>
      <c r="G37">
        <v>2</v>
      </c>
      <c r="H37" s="7">
        <v>168.63</v>
      </c>
      <c r="I37" t="s">
        <v>103</v>
      </c>
      <c r="J37" t="s">
        <v>28</v>
      </c>
      <c r="K37">
        <v>0</v>
      </c>
      <c r="L37" s="7">
        <f t="shared" si="1"/>
        <v>337.26</v>
      </c>
      <c r="M37" s="7"/>
      <c r="O37">
        <f t="shared" si="2"/>
        <v>2</v>
      </c>
      <c r="Q37" t="s">
        <v>104</v>
      </c>
    </row>
    <row r="38" spans="1:17" x14ac:dyDescent="0.3">
      <c r="A38" t="s">
        <v>140</v>
      </c>
      <c r="B38" s="6">
        <v>45237</v>
      </c>
      <c r="C38" s="6" t="str">
        <f t="shared" si="0"/>
        <v>Nov</v>
      </c>
      <c r="D38" t="s">
        <v>141</v>
      </c>
      <c r="E38" t="s">
        <v>19</v>
      </c>
      <c r="F38" t="s">
        <v>142</v>
      </c>
      <c r="G38">
        <v>4</v>
      </c>
      <c r="H38" s="7">
        <v>373.64</v>
      </c>
      <c r="I38" t="s">
        <v>103</v>
      </c>
      <c r="J38" t="s">
        <v>72</v>
      </c>
      <c r="K38">
        <v>5</v>
      </c>
      <c r="L38" s="7">
        <f t="shared" si="1"/>
        <v>1494.56</v>
      </c>
      <c r="M38" s="7"/>
      <c r="O38">
        <f t="shared" si="2"/>
        <v>2</v>
      </c>
      <c r="Q38" t="s">
        <v>104</v>
      </c>
    </row>
    <row r="39" spans="1:17" x14ac:dyDescent="0.3">
      <c r="A39" t="s">
        <v>143</v>
      </c>
      <c r="B39" s="6">
        <v>45072</v>
      </c>
      <c r="C39" s="6" t="str">
        <f t="shared" si="0"/>
        <v>May</v>
      </c>
      <c r="D39" t="s">
        <v>144</v>
      </c>
      <c r="E39" t="s">
        <v>19</v>
      </c>
      <c r="F39" t="s">
        <v>145</v>
      </c>
      <c r="G39">
        <v>9</v>
      </c>
      <c r="H39" s="7">
        <v>209.14</v>
      </c>
      <c r="I39" t="s">
        <v>103</v>
      </c>
      <c r="J39" t="s">
        <v>42</v>
      </c>
      <c r="K39">
        <v>20</v>
      </c>
      <c r="L39" s="7">
        <f t="shared" si="1"/>
        <v>1882.2599999999998</v>
      </c>
      <c r="M39" s="7"/>
      <c r="O39">
        <f t="shared" si="2"/>
        <v>2</v>
      </c>
      <c r="Q39" t="s">
        <v>104</v>
      </c>
    </row>
    <row r="40" spans="1:17" x14ac:dyDescent="0.3">
      <c r="A40" t="s">
        <v>146</v>
      </c>
      <c r="B40" s="6">
        <v>45197</v>
      </c>
      <c r="C40" s="6" t="str">
        <f t="shared" si="0"/>
        <v>Sep</v>
      </c>
      <c r="D40" t="s">
        <v>147</v>
      </c>
      <c r="E40" t="s">
        <v>19</v>
      </c>
      <c r="F40" t="s">
        <v>148</v>
      </c>
      <c r="G40">
        <v>2</v>
      </c>
      <c r="H40" s="7">
        <v>101.9</v>
      </c>
      <c r="I40" t="s">
        <v>46</v>
      </c>
      <c r="J40" t="s">
        <v>28</v>
      </c>
      <c r="K40">
        <v>5</v>
      </c>
      <c r="L40" s="7">
        <f t="shared" si="1"/>
        <v>203.8</v>
      </c>
      <c r="M40" s="7"/>
      <c r="O40">
        <f t="shared" si="2"/>
        <v>2</v>
      </c>
      <c r="Q40" t="s">
        <v>47</v>
      </c>
    </row>
    <row r="41" spans="1:17" x14ac:dyDescent="0.3">
      <c r="A41" t="s">
        <v>149</v>
      </c>
      <c r="B41" s="6">
        <v>45121</v>
      </c>
      <c r="C41" s="6" t="str">
        <f t="shared" si="0"/>
        <v>Jul</v>
      </c>
      <c r="D41" t="s">
        <v>150</v>
      </c>
      <c r="E41" t="s">
        <v>50</v>
      </c>
      <c r="F41" t="s">
        <v>151</v>
      </c>
      <c r="G41">
        <v>9</v>
      </c>
      <c r="H41" s="7">
        <v>259.02</v>
      </c>
      <c r="I41" t="s">
        <v>21</v>
      </c>
      <c r="J41" t="s">
        <v>28</v>
      </c>
      <c r="K41">
        <v>10</v>
      </c>
      <c r="L41" s="7">
        <f t="shared" si="1"/>
        <v>2331.1799999999998</v>
      </c>
      <c r="M41" s="7"/>
      <c r="O41">
        <f t="shared" si="2"/>
        <v>2</v>
      </c>
      <c r="Q41" t="s">
        <v>23</v>
      </c>
    </row>
    <row r="42" spans="1:17" x14ac:dyDescent="0.3">
      <c r="A42" t="s">
        <v>152</v>
      </c>
      <c r="B42" s="6">
        <v>44969</v>
      </c>
      <c r="C42" s="6" t="str">
        <f t="shared" si="0"/>
        <v>Feb</v>
      </c>
      <c r="D42" t="s">
        <v>153</v>
      </c>
      <c r="E42" t="s">
        <v>40</v>
      </c>
      <c r="F42" t="s">
        <v>154</v>
      </c>
      <c r="G42">
        <v>5</v>
      </c>
      <c r="H42" s="7">
        <v>69.599999999999994</v>
      </c>
      <c r="I42" t="s">
        <v>64</v>
      </c>
      <c r="J42" t="s">
        <v>87</v>
      </c>
      <c r="K42">
        <v>15</v>
      </c>
      <c r="L42" s="7">
        <f t="shared" si="1"/>
        <v>348</v>
      </c>
      <c r="M42" s="7"/>
      <c r="O42">
        <f t="shared" si="2"/>
        <v>2</v>
      </c>
      <c r="Q42" t="s">
        <v>65</v>
      </c>
    </row>
    <row r="43" spans="1:17" x14ac:dyDescent="0.3">
      <c r="A43" t="s">
        <v>155</v>
      </c>
      <c r="B43" s="6">
        <v>45051</v>
      </c>
      <c r="C43" s="6" t="str">
        <f t="shared" si="0"/>
        <v>May</v>
      </c>
      <c r="D43" t="s">
        <v>156</v>
      </c>
      <c r="E43" t="s">
        <v>19</v>
      </c>
      <c r="F43" t="s">
        <v>157</v>
      </c>
      <c r="G43">
        <v>2</v>
      </c>
      <c r="H43" s="7">
        <v>223.07</v>
      </c>
      <c r="I43" t="s">
        <v>21</v>
      </c>
      <c r="J43" t="s">
        <v>72</v>
      </c>
      <c r="K43">
        <v>5</v>
      </c>
      <c r="L43" s="7">
        <f t="shared" si="1"/>
        <v>446.14</v>
      </c>
      <c r="M43" s="7"/>
      <c r="O43">
        <f t="shared" si="2"/>
        <v>2</v>
      </c>
      <c r="Q43" t="s">
        <v>23</v>
      </c>
    </row>
    <row r="44" spans="1:17" x14ac:dyDescent="0.3">
      <c r="A44" t="s">
        <v>158</v>
      </c>
      <c r="B44" s="6">
        <v>44996</v>
      </c>
      <c r="C44" s="6" t="str">
        <f t="shared" si="0"/>
        <v>Mar</v>
      </c>
      <c r="D44" t="s">
        <v>159</v>
      </c>
      <c r="E44" t="s">
        <v>40</v>
      </c>
      <c r="F44" t="s">
        <v>160</v>
      </c>
      <c r="G44">
        <v>4</v>
      </c>
      <c r="H44" s="7">
        <v>162.07</v>
      </c>
      <c r="I44" t="s">
        <v>19</v>
      </c>
      <c r="J44" t="s">
        <v>42</v>
      </c>
      <c r="K44">
        <v>0</v>
      </c>
      <c r="L44" s="7">
        <f t="shared" si="1"/>
        <v>648.28</v>
      </c>
      <c r="M44" s="7"/>
      <c r="O44">
        <f t="shared" si="2"/>
        <v>2</v>
      </c>
      <c r="Q44" t="s">
        <v>19</v>
      </c>
    </row>
    <row r="45" spans="1:17" x14ac:dyDescent="0.3">
      <c r="A45" t="s">
        <v>161</v>
      </c>
      <c r="B45" s="6">
        <v>45184</v>
      </c>
      <c r="C45" s="6" t="str">
        <f t="shared" si="0"/>
        <v>Sep</v>
      </c>
      <c r="D45" t="s">
        <v>162</v>
      </c>
      <c r="E45" t="s">
        <v>19</v>
      </c>
      <c r="F45" t="s">
        <v>37</v>
      </c>
      <c r="G45">
        <v>5</v>
      </c>
      <c r="H45" s="7">
        <v>456.42</v>
      </c>
      <c r="I45" t="s">
        <v>46</v>
      </c>
      <c r="J45" t="s">
        <v>28</v>
      </c>
      <c r="K45">
        <v>20</v>
      </c>
      <c r="L45" s="7">
        <f t="shared" si="1"/>
        <v>2282.1</v>
      </c>
      <c r="M45" s="7"/>
      <c r="O45">
        <f t="shared" si="2"/>
        <v>2</v>
      </c>
      <c r="Q45" t="s">
        <v>47</v>
      </c>
    </row>
    <row r="46" spans="1:17" x14ac:dyDescent="0.3">
      <c r="A46" t="s">
        <v>163</v>
      </c>
      <c r="B46" s="6">
        <v>45148</v>
      </c>
      <c r="C46" s="6" t="str">
        <f t="shared" si="0"/>
        <v>Aug</v>
      </c>
      <c r="D46" t="s">
        <v>164</v>
      </c>
      <c r="E46" t="s">
        <v>26</v>
      </c>
      <c r="F46" t="s">
        <v>165</v>
      </c>
      <c r="G46">
        <v>8</v>
      </c>
      <c r="H46" s="7">
        <v>35.159999999999997</v>
      </c>
      <c r="I46" t="s">
        <v>32</v>
      </c>
      <c r="J46" t="s">
        <v>28</v>
      </c>
      <c r="K46">
        <v>10</v>
      </c>
      <c r="L46" s="7">
        <f t="shared" si="1"/>
        <v>281.27999999999997</v>
      </c>
      <c r="M46" s="7"/>
      <c r="O46">
        <f t="shared" si="2"/>
        <v>2</v>
      </c>
      <c r="Q46" t="s">
        <v>33</v>
      </c>
    </row>
    <row r="47" spans="1:17" x14ac:dyDescent="0.3">
      <c r="A47" t="s">
        <v>166</v>
      </c>
      <c r="B47" s="6">
        <v>44971</v>
      </c>
      <c r="C47" s="6" t="str">
        <f t="shared" si="0"/>
        <v>Feb</v>
      </c>
      <c r="D47" t="s">
        <v>167</v>
      </c>
      <c r="E47" t="s">
        <v>26</v>
      </c>
      <c r="F47" t="s">
        <v>134</v>
      </c>
      <c r="G47">
        <v>3</v>
      </c>
      <c r="H47" s="7">
        <v>348.54</v>
      </c>
      <c r="I47" t="s">
        <v>21</v>
      </c>
      <c r="J47" t="s">
        <v>22</v>
      </c>
      <c r="K47">
        <v>10</v>
      </c>
      <c r="L47" s="7">
        <f t="shared" si="1"/>
        <v>1045.6200000000001</v>
      </c>
      <c r="M47" s="7"/>
      <c r="O47">
        <f t="shared" si="2"/>
        <v>2</v>
      </c>
      <c r="Q47" t="s">
        <v>23</v>
      </c>
    </row>
    <row r="48" spans="1:17" x14ac:dyDescent="0.3">
      <c r="A48" t="s">
        <v>168</v>
      </c>
      <c r="B48" s="6">
        <v>44995</v>
      </c>
      <c r="C48" s="6" t="str">
        <f t="shared" si="0"/>
        <v>Mar</v>
      </c>
      <c r="D48" t="s">
        <v>169</v>
      </c>
      <c r="E48" t="s">
        <v>62</v>
      </c>
      <c r="F48" t="s">
        <v>170</v>
      </c>
      <c r="G48">
        <v>1</v>
      </c>
      <c r="H48" s="7">
        <v>95.46</v>
      </c>
      <c r="I48" t="s">
        <v>21</v>
      </c>
      <c r="J48" t="s">
        <v>22</v>
      </c>
      <c r="K48">
        <v>0</v>
      </c>
      <c r="L48" s="7">
        <f t="shared" si="1"/>
        <v>95.46</v>
      </c>
      <c r="M48" s="7"/>
      <c r="O48">
        <f t="shared" si="2"/>
        <v>2</v>
      </c>
      <c r="Q48" t="s">
        <v>23</v>
      </c>
    </row>
    <row r="49" spans="1:17" x14ac:dyDescent="0.3">
      <c r="A49" t="s">
        <v>171</v>
      </c>
      <c r="B49" s="6">
        <v>45216</v>
      </c>
      <c r="C49" s="6" t="str">
        <f t="shared" si="0"/>
        <v>Oct</v>
      </c>
      <c r="D49" t="s">
        <v>172</v>
      </c>
      <c r="E49" t="s">
        <v>26</v>
      </c>
      <c r="F49" t="s">
        <v>173</v>
      </c>
      <c r="G49">
        <v>4</v>
      </c>
      <c r="H49" s="7">
        <v>162.93</v>
      </c>
      <c r="I49" t="s">
        <v>32</v>
      </c>
      <c r="J49" t="s">
        <v>72</v>
      </c>
      <c r="K49">
        <v>10</v>
      </c>
      <c r="L49" s="7">
        <f t="shared" si="1"/>
        <v>651.72</v>
      </c>
      <c r="M49" s="7"/>
      <c r="O49">
        <f t="shared" si="2"/>
        <v>2</v>
      </c>
      <c r="Q49" t="s">
        <v>33</v>
      </c>
    </row>
    <row r="50" spans="1:17" x14ac:dyDescent="0.3">
      <c r="A50" t="s">
        <v>174</v>
      </c>
      <c r="B50" s="6">
        <v>45221</v>
      </c>
      <c r="C50" s="6" t="str">
        <f t="shared" si="0"/>
        <v>Oct</v>
      </c>
      <c r="D50" t="s">
        <v>175</v>
      </c>
      <c r="E50" t="s">
        <v>36</v>
      </c>
      <c r="F50" t="s">
        <v>176</v>
      </c>
      <c r="G50">
        <v>2</v>
      </c>
      <c r="H50" s="7">
        <v>210.68</v>
      </c>
      <c r="I50" t="s">
        <v>19</v>
      </c>
      <c r="J50" t="s">
        <v>87</v>
      </c>
      <c r="K50">
        <v>15</v>
      </c>
      <c r="L50" s="7">
        <f t="shared" si="1"/>
        <v>421.36</v>
      </c>
      <c r="M50" s="7"/>
      <c r="O50">
        <f t="shared" si="2"/>
        <v>2</v>
      </c>
      <c r="Q50" t="s">
        <v>19</v>
      </c>
    </row>
    <row r="51" spans="1:17" x14ac:dyDescent="0.3">
      <c r="A51" t="s">
        <v>177</v>
      </c>
      <c r="B51" s="6">
        <v>45130</v>
      </c>
      <c r="C51" s="6" t="str">
        <f t="shared" si="0"/>
        <v>Jul</v>
      </c>
      <c r="D51" t="s">
        <v>178</v>
      </c>
      <c r="E51" t="s">
        <v>40</v>
      </c>
      <c r="F51" t="s">
        <v>179</v>
      </c>
      <c r="G51">
        <v>8</v>
      </c>
      <c r="H51" s="7">
        <v>454.47</v>
      </c>
      <c r="I51" t="s">
        <v>46</v>
      </c>
      <c r="J51" t="s">
        <v>22</v>
      </c>
      <c r="K51">
        <v>20</v>
      </c>
      <c r="L51" s="7">
        <f t="shared" si="1"/>
        <v>3635.76</v>
      </c>
      <c r="M51" s="7"/>
      <c r="O51">
        <f t="shared" si="2"/>
        <v>5</v>
      </c>
      <c r="Q51" t="s">
        <v>47</v>
      </c>
    </row>
    <row r="52" spans="1:17" x14ac:dyDescent="0.3">
      <c r="A52" t="s">
        <v>180</v>
      </c>
      <c r="B52" s="6">
        <v>45152</v>
      </c>
      <c r="C52" s="6" t="str">
        <f t="shared" si="0"/>
        <v>Aug</v>
      </c>
      <c r="D52" t="s">
        <v>181</v>
      </c>
      <c r="E52" t="s">
        <v>26</v>
      </c>
      <c r="F52" t="s">
        <v>182</v>
      </c>
      <c r="G52">
        <v>5</v>
      </c>
      <c r="H52" s="7">
        <v>125.08</v>
      </c>
      <c r="I52" t="s">
        <v>19</v>
      </c>
      <c r="J52" t="s">
        <v>19</v>
      </c>
      <c r="K52">
        <v>15</v>
      </c>
      <c r="L52" s="7">
        <f t="shared" si="1"/>
        <v>625.4</v>
      </c>
      <c r="M52" s="7"/>
      <c r="O52">
        <f t="shared" si="2"/>
        <v>2</v>
      </c>
      <c r="Q52" t="s">
        <v>19</v>
      </c>
    </row>
    <row r="53" spans="1:17" x14ac:dyDescent="0.3">
      <c r="A53" t="s">
        <v>183</v>
      </c>
      <c r="B53" s="6">
        <v>45019</v>
      </c>
      <c r="C53" s="6" t="str">
        <f t="shared" si="0"/>
        <v>Apr</v>
      </c>
      <c r="D53" t="s">
        <v>184</v>
      </c>
      <c r="E53" t="s">
        <v>50</v>
      </c>
      <c r="F53" t="s">
        <v>185</v>
      </c>
      <c r="G53">
        <v>2</v>
      </c>
      <c r="H53" s="7">
        <v>50.2</v>
      </c>
      <c r="I53" t="s">
        <v>103</v>
      </c>
      <c r="J53" t="s">
        <v>19</v>
      </c>
      <c r="K53">
        <v>15</v>
      </c>
      <c r="L53" s="7">
        <f t="shared" si="1"/>
        <v>100.4</v>
      </c>
      <c r="M53" s="7"/>
      <c r="O53">
        <f t="shared" si="2"/>
        <v>2</v>
      </c>
      <c r="Q53" t="s">
        <v>104</v>
      </c>
    </row>
    <row r="54" spans="1:17" x14ac:dyDescent="0.3">
      <c r="A54" t="s">
        <v>186</v>
      </c>
      <c r="B54" s="6">
        <v>45284</v>
      </c>
      <c r="C54" s="6" t="str">
        <f t="shared" si="0"/>
        <v>Dec</v>
      </c>
      <c r="D54" t="s">
        <v>187</v>
      </c>
      <c r="E54" t="s">
        <v>19</v>
      </c>
      <c r="F54" t="s">
        <v>188</v>
      </c>
      <c r="G54">
        <v>6</v>
      </c>
      <c r="H54" s="7">
        <v>162.75</v>
      </c>
      <c r="I54" t="s">
        <v>21</v>
      </c>
      <c r="J54" t="s">
        <v>28</v>
      </c>
      <c r="K54">
        <v>20</v>
      </c>
      <c r="L54" s="7">
        <f t="shared" si="1"/>
        <v>976.5</v>
      </c>
      <c r="M54" s="7"/>
      <c r="O54">
        <f t="shared" si="2"/>
        <v>2</v>
      </c>
      <c r="Q54" t="s">
        <v>23</v>
      </c>
    </row>
    <row r="55" spans="1:17" x14ac:dyDescent="0.3">
      <c r="A55" t="s">
        <v>189</v>
      </c>
      <c r="B55" s="6">
        <v>45235</v>
      </c>
      <c r="C55" s="6" t="str">
        <f t="shared" si="0"/>
        <v>Nov</v>
      </c>
      <c r="D55" t="s">
        <v>144</v>
      </c>
      <c r="E55" t="s">
        <v>31</v>
      </c>
      <c r="F55" t="s">
        <v>190</v>
      </c>
      <c r="G55">
        <v>6</v>
      </c>
      <c r="H55" s="7">
        <v>56.81</v>
      </c>
      <c r="I55" t="s">
        <v>64</v>
      </c>
      <c r="J55" t="s">
        <v>28</v>
      </c>
      <c r="K55">
        <v>20</v>
      </c>
      <c r="L55" s="7">
        <f t="shared" si="1"/>
        <v>340.86</v>
      </c>
      <c r="M55" s="7"/>
      <c r="O55">
        <f t="shared" si="2"/>
        <v>2</v>
      </c>
      <c r="Q55" t="s">
        <v>65</v>
      </c>
    </row>
    <row r="56" spans="1:17" x14ac:dyDescent="0.3">
      <c r="A56" t="s">
        <v>191</v>
      </c>
      <c r="B56" s="6">
        <v>45139</v>
      </c>
      <c r="C56" s="6" t="str">
        <f t="shared" si="0"/>
        <v>Aug</v>
      </c>
      <c r="D56" t="s">
        <v>192</v>
      </c>
      <c r="E56" t="s">
        <v>40</v>
      </c>
      <c r="F56" t="s">
        <v>193</v>
      </c>
      <c r="G56">
        <v>4</v>
      </c>
      <c r="H56" s="7">
        <v>68.66</v>
      </c>
      <c r="I56" t="s">
        <v>46</v>
      </c>
      <c r="J56" t="s">
        <v>22</v>
      </c>
      <c r="K56">
        <v>10</v>
      </c>
      <c r="L56" s="7">
        <f t="shared" si="1"/>
        <v>274.64</v>
      </c>
      <c r="M56" s="7"/>
      <c r="O56">
        <f t="shared" si="2"/>
        <v>2</v>
      </c>
      <c r="Q56" t="s">
        <v>47</v>
      </c>
    </row>
    <row r="57" spans="1:17" x14ac:dyDescent="0.3">
      <c r="A57" t="s">
        <v>194</v>
      </c>
      <c r="B57" s="6">
        <v>45103</v>
      </c>
      <c r="C57" s="6" t="str">
        <f t="shared" si="0"/>
        <v>Jun</v>
      </c>
      <c r="D57" t="s">
        <v>195</v>
      </c>
      <c r="E57" t="s">
        <v>26</v>
      </c>
      <c r="F57" t="s">
        <v>142</v>
      </c>
      <c r="G57">
        <v>6</v>
      </c>
      <c r="H57" s="7">
        <v>289.06</v>
      </c>
      <c r="I57" t="s">
        <v>19</v>
      </c>
      <c r="J57" t="s">
        <v>28</v>
      </c>
      <c r="K57">
        <v>15</v>
      </c>
      <c r="L57" s="7">
        <f t="shared" si="1"/>
        <v>1734.3600000000001</v>
      </c>
      <c r="M57" s="7"/>
      <c r="O57">
        <f t="shared" si="2"/>
        <v>2</v>
      </c>
      <c r="Q57" t="s">
        <v>19</v>
      </c>
    </row>
    <row r="58" spans="1:17" x14ac:dyDescent="0.3">
      <c r="A58" t="s">
        <v>196</v>
      </c>
      <c r="B58" s="6">
        <v>45059</v>
      </c>
      <c r="C58" s="6" t="str">
        <f t="shared" si="0"/>
        <v>May</v>
      </c>
      <c r="D58" t="s">
        <v>197</v>
      </c>
      <c r="E58" t="s">
        <v>31</v>
      </c>
      <c r="F58" t="s">
        <v>198</v>
      </c>
      <c r="G58">
        <v>2</v>
      </c>
      <c r="H58" s="7">
        <v>35.15</v>
      </c>
      <c r="I58" t="s">
        <v>21</v>
      </c>
      <c r="J58" t="s">
        <v>19</v>
      </c>
      <c r="K58">
        <v>10</v>
      </c>
      <c r="L58" s="7">
        <f t="shared" si="1"/>
        <v>70.3</v>
      </c>
      <c r="M58" s="7"/>
      <c r="O58">
        <f t="shared" si="2"/>
        <v>2</v>
      </c>
      <c r="Q58" t="s">
        <v>23</v>
      </c>
    </row>
    <row r="59" spans="1:17" x14ac:dyDescent="0.3">
      <c r="A59" t="s">
        <v>199</v>
      </c>
      <c r="B59" s="6">
        <v>45067</v>
      </c>
      <c r="C59" s="6" t="str">
        <f t="shared" si="0"/>
        <v>May</v>
      </c>
      <c r="D59" t="s">
        <v>200</v>
      </c>
      <c r="E59" t="s">
        <v>19</v>
      </c>
      <c r="F59" t="s">
        <v>201</v>
      </c>
      <c r="G59">
        <v>2</v>
      </c>
      <c r="H59" s="7">
        <v>20.309999999999999</v>
      </c>
      <c r="I59" t="s">
        <v>64</v>
      </c>
      <c r="J59" t="s">
        <v>72</v>
      </c>
      <c r="K59">
        <v>10</v>
      </c>
      <c r="L59" s="7">
        <f t="shared" si="1"/>
        <v>40.619999999999997</v>
      </c>
      <c r="M59" s="7"/>
      <c r="O59">
        <f t="shared" si="2"/>
        <v>2</v>
      </c>
      <c r="Q59" t="s">
        <v>65</v>
      </c>
    </row>
    <row r="60" spans="1:17" x14ac:dyDescent="0.3">
      <c r="A60" t="s">
        <v>202</v>
      </c>
      <c r="B60" s="6">
        <v>45149</v>
      </c>
      <c r="C60" s="6" t="str">
        <f t="shared" si="0"/>
        <v>Aug</v>
      </c>
      <c r="D60" t="s">
        <v>203</v>
      </c>
      <c r="E60" t="s">
        <v>40</v>
      </c>
      <c r="F60" t="s">
        <v>84</v>
      </c>
      <c r="G60">
        <v>4</v>
      </c>
      <c r="H60" s="7">
        <v>358.63</v>
      </c>
      <c r="I60" t="s">
        <v>64</v>
      </c>
      <c r="J60" t="s">
        <v>72</v>
      </c>
      <c r="K60">
        <v>20</v>
      </c>
      <c r="L60" s="7">
        <f t="shared" si="1"/>
        <v>1434.52</v>
      </c>
      <c r="M60" s="7"/>
      <c r="O60">
        <f t="shared" si="2"/>
        <v>2</v>
      </c>
      <c r="Q60" t="s">
        <v>65</v>
      </c>
    </row>
    <row r="61" spans="1:17" x14ac:dyDescent="0.3">
      <c r="A61" t="s">
        <v>204</v>
      </c>
      <c r="B61" s="6">
        <v>45154</v>
      </c>
      <c r="C61" s="6" t="str">
        <f t="shared" si="0"/>
        <v>Aug</v>
      </c>
      <c r="D61" t="s">
        <v>121</v>
      </c>
      <c r="E61" t="s">
        <v>31</v>
      </c>
      <c r="F61" t="s">
        <v>205</v>
      </c>
      <c r="G61">
        <v>8</v>
      </c>
      <c r="H61" s="7">
        <v>184.02</v>
      </c>
      <c r="I61" t="s">
        <v>64</v>
      </c>
      <c r="J61" t="s">
        <v>22</v>
      </c>
      <c r="K61">
        <v>0</v>
      </c>
      <c r="L61" s="7">
        <f t="shared" si="1"/>
        <v>1472.16</v>
      </c>
      <c r="M61" s="7"/>
      <c r="O61">
        <f t="shared" si="2"/>
        <v>2</v>
      </c>
      <c r="Q61" t="s">
        <v>65</v>
      </c>
    </row>
    <row r="62" spans="1:17" x14ac:dyDescent="0.3">
      <c r="A62" t="s">
        <v>206</v>
      </c>
      <c r="B62" s="6">
        <v>45153</v>
      </c>
      <c r="C62" s="6" t="str">
        <f t="shared" si="0"/>
        <v>Aug</v>
      </c>
      <c r="D62" t="s">
        <v>207</v>
      </c>
      <c r="E62" t="s">
        <v>50</v>
      </c>
      <c r="F62" t="s">
        <v>208</v>
      </c>
      <c r="G62">
        <v>7</v>
      </c>
      <c r="H62" s="7">
        <v>67.06</v>
      </c>
      <c r="I62" t="s">
        <v>19</v>
      </c>
      <c r="J62" t="s">
        <v>19</v>
      </c>
      <c r="K62">
        <v>10</v>
      </c>
      <c r="L62" s="7">
        <f t="shared" si="1"/>
        <v>469.42</v>
      </c>
      <c r="M62" s="7"/>
      <c r="O62">
        <f t="shared" si="2"/>
        <v>2</v>
      </c>
      <c r="Q62" t="s">
        <v>19</v>
      </c>
    </row>
    <row r="63" spans="1:17" x14ac:dyDescent="0.3">
      <c r="A63" t="s">
        <v>209</v>
      </c>
      <c r="B63" s="6">
        <v>44943</v>
      </c>
      <c r="C63" s="6" t="str">
        <f t="shared" si="0"/>
        <v>Jan</v>
      </c>
      <c r="D63" t="s">
        <v>210</v>
      </c>
      <c r="E63" t="s">
        <v>31</v>
      </c>
      <c r="F63" t="s">
        <v>211</v>
      </c>
      <c r="G63">
        <v>9</v>
      </c>
      <c r="H63" s="7">
        <v>130.54</v>
      </c>
      <c r="I63" t="s">
        <v>103</v>
      </c>
      <c r="J63" t="s">
        <v>87</v>
      </c>
      <c r="K63">
        <v>5</v>
      </c>
      <c r="L63" s="7">
        <f t="shared" si="1"/>
        <v>1174.8599999999999</v>
      </c>
      <c r="M63" s="7"/>
      <c r="O63">
        <f t="shared" si="2"/>
        <v>2</v>
      </c>
      <c r="Q63" t="s">
        <v>104</v>
      </c>
    </row>
    <row r="64" spans="1:17" x14ac:dyDescent="0.3">
      <c r="A64" t="s">
        <v>212</v>
      </c>
      <c r="B64" s="6">
        <v>45089</v>
      </c>
      <c r="C64" s="6" t="str">
        <f t="shared" si="0"/>
        <v>Jun</v>
      </c>
      <c r="D64" t="s">
        <v>213</v>
      </c>
      <c r="E64" t="s">
        <v>50</v>
      </c>
      <c r="F64" t="s">
        <v>214</v>
      </c>
      <c r="G64">
        <v>8</v>
      </c>
      <c r="H64" s="7">
        <v>322.83</v>
      </c>
      <c r="I64" t="s">
        <v>21</v>
      </c>
      <c r="J64" t="s">
        <v>19</v>
      </c>
      <c r="K64">
        <v>10</v>
      </c>
      <c r="L64" s="7">
        <f t="shared" si="1"/>
        <v>2582.64</v>
      </c>
      <c r="M64" s="7"/>
      <c r="O64">
        <f t="shared" si="2"/>
        <v>3</v>
      </c>
      <c r="Q64" t="s">
        <v>23</v>
      </c>
    </row>
    <row r="65" spans="1:17" x14ac:dyDescent="0.3">
      <c r="A65" t="s">
        <v>215</v>
      </c>
      <c r="B65" s="6">
        <v>45182</v>
      </c>
      <c r="C65" s="6" t="str">
        <f t="shared" si="0"/>
        <v>Sep</v>
      </c>
      <c r="D65" t="s">
        <v>216</v>
      </c>
      <c r="E65" t="s">
        <v>50</v>
      </c>
      <c r="F65" t="s">
        <v>217</v>
      </c>
      <c r="G65">
        <v>5</v>
      </c>
      <c r="H65" s="7">
        <v>141.38999999999999</v>
      </c>
      <c r="I65" t="s">
        <v>19</v>
      </c>
      <c r="J65" t="s">
        <v>72</v>
      </c>
      <c r="K65">
        <v>10</v>
      </c>
      <c r="L65" s="7">
        <f t="shared" si="1"/>
        <v>706.94999999999993</v>
      </c>
      <c r="M65" s="7"/>
      <c r="O65">
        <f t="shared" si="2"/>
        <v>2</v>
      </c>
      <c r="Q65" t="s">
        <v>19</v>
      </c>
    </row>
    <row r="66" spans="1:17" x14ac:dyDescent="0.3">
      <c r="A66" t="s">
        <v>218</v>
      </c>
      <c r="B66" s="6">
        <v>44937</v>
      </c>
      <c r="C66" s="6" t="str">
        <f t="shared" si="0"/>
        <v>Jan</v>
      </c>
      <c r="D66" t="s">
        <v>219</v>
      </c>
      <c r="E66" t="s">
        <v>19</v>
      </c>
      <c r="F66" t="s">
        <v>188</v>
      </c>
      <c r="G66">
        <v>2</v>
      </c>
      <c r="H66" s="7">
        <v>249.79</v>
      </c>
      <c r="I66" t="s">
        <v>19</v>
      </c>
      <c r="J66" t="s">
        <v>87</v>
      </c>
      <c r="K66">
        <v>20</v>
      </c>
      <c r="L66" s="7">
        <f t="shared" si="1"/>
        <v>499.58</v>
      </c>
      <c r="M66" s="7"/>
      <c r="O66">
        <f t="shared" si="2"/>
        <v>2</v>
      </c>
      <c r="Q66" t="s">
        <v>19</v>
      </c>
    </row>
    <row r="67" spans="1:17" x14ac:dyDescent="0.3">
      <c r="A67" t="s">
        <v>220</v>
      </c>
      <c r="B67" s="6">
        <v>45214</v>
      </c>
      <c r="C67" s="6" t="str">
        <f t="shared" ref="C67:C130" si="3">TEXT(B67,"MMM")</f>
        <v>Oct</v>
      </c>
      <c r="D67" t="s">
        <v>221</v>
      </c>
      <c r="E67" t="s">
        <v>31</v>
      </c>
      <c r="F67" t="s">
        <v>222</v>
      </c>
      <c r="G67">
        <v>5</v>
      </c>
      <c r="H67" s="7">
        <v>65.239999999999995</v>
      </c>
      <c r="I67" t="s">
        <v>64</v>
      </c>
      <c r="J67" t="s">
        <v>42</v>
      </c>
      <c r="K67">
        <v>20</v>
      </c>
      <c r="L67" s="7">
        <f t="shared" ref="L67:L130" si="4">G67*H67</f>
        <v>326.2</v>
      </c>
      <c r="M67" s="7"/>
      <c r="O67">
        <f t="shared" si="2"/>
        <v>2</v>
      </c>
      <c r="Q67" t="s">
        <v>65</v>
      </c>
    </row>
    <row r="68" spans="1:17" x14ac:dyDescent="0.3">
      <c r="A68" t="s">
        <v>223</v>
      </c>
      <c r="B68" s="6">
        <v>45044</v>
      </c>
      <c r="C68" s="6" t="str">
        <f t="shared" si="3"/>
        <v>Apr</v>
      </c>
      <c r="D68" t="s">
        <v>184</v>
      </c>
      <c r="E68" t="s">
        <v>19</v>
      </c>
      <c r="F68" t="s">
        <v>224</v>
      </c>
      <c r="G68">
        <v>5</v>
      </c>
      <c r="H68" s="7">
        <v>296.11</v>
      </c>
      <c r="I68" t="s">
        <v>46</v>
      </c>
      <c r="J68" t="s">
        <v>87</v>
      </c>
      <c r="K68">
        <v>10</v>
      </c>
      <c r="L68" s="7">
        <f t="shared" si="4"/>
        <v>1480.5500000000002</v>
      </c>
      <c r="M68" s="7"/>
      <c r="O68">
        <f t="shared" ref="O68:O131" si="5">IF(L68&gt;3500,5,IF(L68&gt;3000,4,IF(L68&gt;2500,3,IF(L68&gt;2000,2,IF(L68&gt;1000,2,2)))))</f>
        <v>2</v>
      </c>
      <c r="Q68" t="s">
        <v>47</v>
      </c>
    </row>
    <row r="69" spans="1:17" x14ac:dyDescent="0.3">
      <c r="A69" t="s">
        <v>225</v>
      </c>
      <c r="B69" s="6">
        <v>44948</v>
      </c>
      <c r="C69" s="6" t="str">
        <f t="shared" si="3"/>
        <v>Jan</v>
      </c>
      <c r="D69" t="s">
        <v>226</v>
      </c>
      <c r="E69" t="s">
        <v>31</v>
      </c>
      <c r="F69" t="s">
        <v>160</v>
      </c>
      <c r="G69">
        <v>9</v>
      </c>
      <c r="H69" s="7">
        <v>161.46</v>
      </c>
      <c r="I69" t="s">
        <v>32</v>
      </c>
      <c r="J69" t="s">
        <v>28</v>
      </c>
      <c r="K69">
        <v>5</v>
      </c>
      <c r="L69" s="7">
        <f t="shared" si="4"/>
        <v>1453.14</v>
      </c>
      <c r="M69" s="7"/>
      <c r="O69">
        <f t="shared" si="5"/>
        <v>2</v>
      </c>
      <c r="Q69" t="s">
        <v>33</v>
      </c>
    </row>
    <row r="70" spans="1:17" x14ac:dyDescent="0.3">
      <c r="A70" t="s">
        <v>227</v>
      </c>
      <c r="B70" s="6">
        <v>45090</v>
      </c>
      <c r="C70" s="6" t="str">
        <f t="shared" si="3"/>
        <v>Jun</v>
      </c>
      <c r="D70" t="s">
        <v>228</v>
      </c>
      <c r="E70" t="s">
        <v>19</v>
      </c>
      <c r="F70" t="s">
        <v>90</v>
      </c>
      <c r="G70">
        <v>9</v>
      </c>
      <c r="H70" s="7">
        <v>315.35000000000002</v>
      </c>
      <c r="I70" t="s">
        <v>21</v>
      </c>
      <c r="J70" t="s">
        <v>19</v>
      </c>
      <c r="K70">
        <v>10</v>
      </c>
      <c r="L70" s="7">
        <f t="shared" si="4"/>
        <v>2838.15</v>
      </c>
      <c r="M70" s="7"/>
      <c r="O70">
        <f t="shared" si="5"/>
        <v>3</v>
      </c>
      <c r="Q70" t="s">
        <v>23</v>
      </c>
    </row>
    <row r="71" spans="1:17" x14ac:dyDescent="0.3">
      <c r="A71" t="s">
        <v>229</v>
      </c>
      <c r="B71" s="6">
        <v>45118</v>
      </c>
      <c r="C71" s="6" t="str">
        <f t="shared" si="3"/>
        <v>Jul</v>
      </c>
      <c r="D71" t="s">
        <v>230</v>
      </c>
      <c r="E71" t="s">
        <v>19</v>
      </c>
      <c r="F71" t="s">
        <v>231</v>
      </c>
      <c r="G71">
        <v>1</v>
      </c>
      <c r="H71" s="7">
        <v>405.16</v>
      </c>
      <c r="I71" t="s">
        <v>21</v>
      </c>
      <c r="J71" t="s">
        <v>22</v>
      </c>
      <c r="K71">
        <v>10</v>
      </c>
      <c r="L71" s="7">
        <f t="shared" si="4"/>
        <v>405.16</v>
      </c>
      <c r="M71" s="7"/>
      <c r="O71">
        <f t="shared" si="5"/>
        <v>2</v>
      </c>
      <c r="Q71" t="s">
        <v>23</v>
      </c>
    </row>
    <row r="72" spans="1:17" x14ac:dyDescent="0.3">
      <c r="A72" t="s">
        <v>232</v>
      </c>
      <c r="B72" s="6">
        <v>45260</v>
      </c>
      <c r="C72" s="6" t="str">
        <f t="shared" si="3"/>
        <v>Nov</v>
      </c>
      <c r="D72" t="s">
        <v>233</v>
      </c>
      <c r="E72" t="s">
        <v>62</v>
      </c>
      <c r="F72" t="s">
        <v>234</v>
      </c>
      <c r="G72">
        <v>9</v>
      </c>
      <c r="H72" s="7">
        <v>307.76</v>
      </c>
      <c r="I72" t="s">
        <v>64</v>
      </c>
      <c r="J72" t="s">
        <v>42</v>
      </c>
      <c r="K72">
        <v>15</v>
      </c>
      <c r="L72" s="7">
        <f t="shared" si="4"/>
        <v>2769.84</v>
      </c>
      <c r="M72" s="7"/>
      <c r="O72">
        <f t="shared" si="5"/>
        <v>3</v>
      </c>
      <c r="Q72" t="s">
        <v>65</v>
      </c>
    </row>
    <row r="73" spans="1:17" x14ac:dyDescent="0.3">
      <c r="A73" t="s">
        <v>235</v>
      </c>
      <c r="B73" s="6">
        <v>45102</v>
      </c>
      <c r="C73" s="6" t="str">
        <f t="shared" si="3"/>
        <v>Jun</v>
      </c>
      <c r="D73" t="s">
        <v>236</v>
      </c>
      <c r="E73" t="s">
        <v>62</v>
      </c>
      <c r="F73" t="s">
        <v>237</v>
      </c>
      <c r="G73">
        <v>7</v>
      </c>
      <c r="H73" s="7">
        <v>151.4</v>
      </c>
      <c r="I73" t="s">
        <v>46</v>
      </c>
      <c r="J73" t="s">
        <v>28</v>
      </c>
      <c r="K73">
        <v>0</v>
      </c>
      <c r="L73" s="7">
        <f t="shared" si="4"/>
        <v>1059.8</v>
      </c>
      <c r="M73" s="7"/>
      <c r="O73">
        <f t="shared" si="5"/>
        <v>2</v>
      </c>
      <c r="Q73" t="s">
        <v>47</v>
      </c>
    </row>
    <row r="74" spans="1:17" x14ac:dyDescent="0.3">
      <c r="A74" t="s">
        <v>238</v>
      </c>
      <c r="B74" s="6">
        <v>45233</v>
      </c>
      <c r="C74" s="6" t="str">
        <f t="shared" si="3"/>
        <v>Nov</v>
      </c>
      <c r="D74" t="s">
        <v>210</v>
      </c>
      <c r="E74" t="s">
        <v>26</v>
      </c>
      <c r="F74" t="s">
        <v>239</v>
      </c>
      <c r="G74">
        <v>9</v>
      </c>
      <c r="H74" s="7">
        <v>131.59</v>
      </c>
      <c r="I74" t="s">
        <v>64</v>
      </c>
      <c r="J74" t="s">
        <v>87</v>
      </c>
      <c r="K74">
        <v>20</v>
      </c>
      <c r="L74" s="7">
        <f t="shared" si="4"/>
        <v>1184.31</v>
      </c>
      <c r="M74" s="7"/>
      <c r="O74">
        <f t="shared" si="5"/>
        <v>2</v>
      </c>
      <c r="Q74" t="s">
        <v>65</v>
      </c>
    </row>
    <row r="75" spans="1:17" x14ac:dyDescent="0.3">
      <c r="A75" t="s">
        <v>240</v>
      </c>
      <c r="B75" s="6">
        <v>45285</v>
      </c>
      <c r="C75" s="6" t="str">
        <f t="shared" si="3"/>
        <v>Dec</v>
      </c>
      <c r="D75" t="s">
        <v>241</v>
      </c>
      <c r="E75" t="s">
        <v>40</v>
      </c>
      <c r="F75" t="s">
        <v>242</v>
      </c>
      <c r="G75">
        <v>8</v>
      </c>
      <c r="H75" s="7">
        <v>167.07</v>
      </c>
      <c r="I75" t="s">
        <v>64</v>
      </c>
      <c r="J75" t="s">
        <v>87</v>
      </c>
      <c r="K75">
        <v>10</v>
      </c>
      <c r="L75" s="7">
        <f t="shared" si="4"/>
        <v>1336.56</v>
      </c>
      <c r="M75" s="7"/>
      <c r="O75">
        <f t="shared" si="5"/>
        <v>2</v>
      </c>
      <c r="Q75" t="s">
        <v>65</v>
      </c>
    </row>
    <row r="76" spans="1:17" x14ac:dyDescent="0.3">
      <c r="A76" t="s">
        <v>243</v>
      </c>
      <c r="B76" s="6">
        <v>45179</v>
      </c>
      <c r="C76" s="6" t="str">
        <f t="shared" si="3"/>
        <v>Sep</v>
      </c>
      <c r="D76" t="s">
        <v>167</v>
      </c>
      <c r="E76" t="s">
        <v>31</v>
      </c>
      <c r="F76" t="s">
        <v>145</v>
      </c>
      <c r="G76">
        <v>1</v>
      </c>
      <c r="H76" s="7">
        <v>86.49</v>
      </c>
      <c r="I76" t="s">
        <v>32</v>
      </c>
      <c r="J76" t="s">
        <v>19</v>
      </c>
      <c r="K76">
        <v>10</v>
      </c>
      <c r="L76" s="7">
        <f t="shared" si="4"/>
        <v>86.49</v>
      </c>
      <c r="M76" s="7"/>
      <c r="O76">
        <f t="shared" si="5"/>
        <v>2</v>
      </c>
      <c r="Q76" t="s">
        <v>33</v>
      </c>
    </row>
    <row r="77" spans="1:17" x14ac:dyDescent="0.3">
      <c r="A77" t="s">
        <v>244</v>
      </c>
      <c r="B77" s="6">
        <v>45160</v>
      </c>
      <c r="C77" s="6" t="str">
        <f t="shared" si="3"/>
        <v>Aug</v>
      </c>
      <c r="D77" t="s">
        <v>245</v>
      </c>
      <c r="E77" t="s">
        <v>19</v>
      </c>
      <c r="F77" t="s">
        <v>246</v>
      </c>
      <c r="G77">
        <v>8</v>
      </c>
      <c r="H77" s="7">
        <v>94.68</v>
      </c>
      <c r="I77" t="s">
        <v>103</v>
      </c>
      <c r="J77" t="s">
        <v>72</v>
      </c>
      <c r="K77">
        <v>10</v>
      </c>
      <c r="L77" s="7">
        <f t="shared" si="4"/>
        <v>757.44</v>
      </c>
      <c r="M77" s="7"/>
      <c r="O77">
        <f t="shared" si="5"/>
        <v>2</v>
      </c>
      <c r="Q77" t="s">
        <v>104</v>
      </c>
    </row>
    <row r="78" spans="1:17" x14ac:dyDescent="0.3">
      <c r="A78" t="s">
        <v>247</v>
      </c>
      <c r="B78" s="6">
        <v>44964</v>
      </c>
      <c r="C78" s="6" t="str">
        <f t="shared" si="3"/>
        <v>Feb</v>
      </c>
      <c r="D78" t="s">
        <v>150</v>
      </c>
      <c r="E78" t="s">
        <v>26</v>
      </c>
      <c r="F78" t="s">
        <v>248</v>
      </c>
      <c r="G78">
        <v>8</v>
      </c>
      <c r="H78" s="7">
        <v>396.39</v>
      </c>
      <c r="I78" t="s">
        <v>19</v>
      </c>
      <c r="J78" t="s">
        <v>28</v>
      </c>
      <c r="K78">
        <v>5</v>
      </c>
      <c r="L78" s="7">
        <f t="shared" si="4"/>
        <v>3171.12</v>
      </c>
      <c r="M78" s="7"/>
      <c r="O78">
        <f t="shared" si="5"/>
        <v>4</v>
      </c>
      <c r="Q78" t="s">
        <v>19</v>
      </c>
    </row>
    <row r="79" spans="1:17" x14ac:dyDescent="0.3">
      <c r="A79" t="s">
        <v>249</v>
      </c>
      <c r="B79" s="6">
        <v>45210</v>
      </c>
      <c r="C79" s="6" t="str">
        <f t="shared" si="3"/>
        <v>Oct</v>
      </c>
      <c r="D79" t="s">
        <v>250</v>
      </c>
      <c r="E79" t="s">
        <v>19</v>
      </c>
      <c r="F79" t="s">
        <v>251</v>
      </c>
      <c r="G79">
        <v>3</v>
      </c>
      <c r="H79" s="7">
        <v>195.44</v>
      </c>
      <c r="I79" t="s">
        <v>103</v>
      </c>
      <c r="J79" t="s">
        <v>28</v>
      </c>
      <c r="K79">
        <v>0</v>
      </c>
      <c r="L79" s="7">
        <f t="shared" si="4"/>
        <v>586.31999999999994</v>
      </c>
      <c r="M79" s="7"/>
      <c r="O79">
        <f t="shared" si="5"/>
        <v>2</v>
      </c>
      <c r="Q79" t="s">
        <v>104</v>
      </c>
    </row>
    <row r="80" spans="1:17" x14ac:dyDescent="0.3">
      <c r="A80" t="s">
        <v>252</v>
      </c>
      <c r="B80" s="6">
        <v>45266</v>
      </c>
      <c r="C80" s="6" t="str">
        <f t="shared" si="3"/>
        <v>Dec</v>
      </c>
      <c r="D80" t="s">
        <v>253</v>
      </c>
      <c r="E80" t="s">
        <v>50</v>
      </c>
      <c r="F80" t="s">
        <v>254</v>
      </c>
      <c r="G80">
        <v>1</v>
      </c>
      <c r="H80" s="7">
        <v>220.82</v>
      </c>
      <c r="I80" t="s">
        <v>64</v>
      </c>
      <c r="J80" t="s">
        <v>42</v>
      </c>
      <c r="K80">
        <v>10</v>
      </c>
      <c r="L80" s="7">
        <f t="shared" si="4"/>
        <v>220.82</v>
      </c>
      <c r="M80" s="7"/>
      <c r="O80">
        <f t="shared" si="5"/>
        <v>2</v>
      </c>
      <c r="Q80" t="s">
        <v>65</v>
      </c>
    </row>
    <row r="81" spans="1:17" x14ac:dyDescent="0.3">
      <c r="A81" t="s">
        <v>255</v>
      </c>
      <c r="B81" s="6">
        <v>45247</v>
      </c>
      <c r="C81" s="6" t="str">
        <f t="shared" si="3"/>
        <v>Nov</v>
      </c>
      <c r="D81" t="s">
        <v>256</v>
      </c>
      <c r="E81" t="s">
        <v>31</v>
      </c>
      <c r="F81" t="s">
        <v>257</v>
      </c>
      <c r="G81">
        <v>8</v>
      </c>
      <c r="H81" s="7">
        <v>299.05</v>
      </c>
      <c r="I81" t="s">
        <v>103</v>
      </c>
      <c r="J81" t="s">
        <v>72</v>
      </c>
      <c r="K81">
        <v>10</v>
      </c>
      <c r="L81" s="7">
        <f t="shared" si="4"/>
        <v>2392.4</v>
      </c>
      <c r="M81" s="7"/>
      <c r="O81">
        <f t="shared" si="5"/>
        <v>2</v>
      </c>
      <c r="Q81" t="s">
        <v>104</v>
      </c>
    </row>
    <row r="82" spans="1:17" x14ac:dyDescent="0.3">
      <c r="A82" t="s">
        <v>258</v>
      </c>
      <c r="B82" s="6">
        <v>45281</v>
      </c>
      <c r="C82" s="6" t="str">
        <f t="shared" si="3"/>
        <v>Dec</v>
      </c>
      <c r="D82" t="s">
        <v>259</v>
      </c>
      <c r="E82" t="s">
        <v>19</v>
      </c>
      <c r="F82" t="s">
        <v>81</v>
      </c>
      <c r="G82">
        <v>3</v>
      </c>
      <c r="H82" s="7">
        <v>296.88</v>
      </c>
      <c r="I82" t="s">
        <v>19</v>
      </c>
      <c r="J82" t="s">
        <v>72</v>
      </c>
      <c r="K82">
        <v>20</v>
      </c>
      <c r="L82" s="7">
        <f t="shared" si="4"/>
        <v>890.64</v>
      </c>
      <c r="M82" s="7"/>
      <c r="O82">
        <f t="shared" si="5"/>
        <v>2</v>
      </c>
      <c r="Q82" t="s">
        <v>19</v>
      </c>
    </row>
    <row r="83" spans="1:17" x14ac:dyDescent="0.3">
      <c r="A83" t="s">
        <v>260</v>
      </c>
      <c r="B83" s="6">
        <v>45289</v>
      </c>
      <c r="C83" s="6" t="str">
        <f t="shared" si="3"/>
        <v>Dec</v>
      </c>
      <c r="D83" t="s">
        <v>153</v>
      </c>
      <c r="E83" t="s">
        <v>19</v>
      </c>
      <c r="F83" t="s">
        <v>176</v>
      </c>
      <c r="G83">
        <v>3</v>
      </c>
      <c r="H83" s="7">
        <v>38.35</v>
      </c>
      <c r="I83" t="s">
        <v>46</v>
      </c>
      <c r="J83" t="s">
        <v>19</v>
      </c>
      <c r="K83">
        <v>15</v>
      </c>
      <c r="L83" s="7">
        <f t="shared" si="4"/>
        <v>115.05000000000001</v>
      </c>
      <c r="M83" s="7"/>
      <c r="O83">
        <f t="shared" si="5"/>
        <v>2</v>
      </c>
      <c r="Q83" t="s">
        <v>47</v>
      </c>
    </row>
    <row r="84" spans="1:17" x14ac:dyDescent="0.3">
      <c r="A84" t="s">
        <v>261</v>
      </c>
      <c r="B84" s="6">
        <v>45291</v>
      </c>
      <c r="C84" s="6" t="str">
        <f t="shared" si="3"/>
        <v>Dec</v>
      </c>
      <c r="D84" t="s">
        <v>262</v>
      </c>
      <c r="E84" t="s">
        <v>50</v>
      </c>
      <c r="F84" t="s">
        <v>263</v>
      </c>
      <c r="G84">
        <v>1</v>
      </c>
      <c r="H84" s="7">
        <v>416.61</v>
      </c>
      <c r="I84" t="s">
        <v>103</v>
      </c>
      <c r="J84" t="s">
        <v>87</v>
      </c>
      <c r="K84">
        <v>10</v>
      </c>
      <c r="L84" s="7">
        <f t="shared" si="4"/>
        <v>416.61</v>
      </c>
      <c r="M84" s="7"/>
      <c r="O84">
        <f t="shared" si="5"/>
        <v>2</v>
      </c>
      <c r="Q84" t="s">
        <v>104</v>
      </c>
    </row>
    <row r="85" spans="1:17" x14ac:dyDescent="0.3">
      <c r="A85" t="s">
        <v>264</v>
      </c>
      <c r="B85" s="6">
        <v>45264</v>
      </c>
      <c r="C85" s="6" t="str">
        <f t="shared" si="3"/>
        <v>Dec</v>
      </c>
      <c r="D85" t="s">
        <v>195</v>
      </c>
      <c r="E85" t="s">
        <v>50</v>
      </c>
      <c r="F85" t="s">
        <v>217</v>
      </c>
      <c r="G85">
        <v>5</v>
      </c>
      <c r="H85" s="7">
        <v>92.78</v>
      </c>
      <c r="I85" t="s">
        <v>103</v>
      </c>
      <c r="J85" t="s">
        <v>87</v>
      </c>
      <c r="K85">
        <v>20</v>
      </c>
      <c r="L85" s="7">
        <f t="shared" si="4"/>
        <v>463.9</v>
      </c>
      <c r="M85" s="7"/>
      <c r="O85">
        <f t="shared" si="5"/>
        <v>2</v>
      </c>
      <c r="Q85" t="s">
        <v>104</v>
      </c>
    </row>
    <row r="86" spans="1:17" x14ac:dyDescent="0.3">
      <c r="A86" t="s">
        <v>265</v>
      </c>
      <c r="B86" s="6">
        <v>45244</v>
      </c>
      <c r="C86" s="6" t="str">
        <f t="shared" si="3"/>
        <v>Nov</v>
      </c>
      <c r="D86" t="s">
        <v>266</v>
      </c>
      <c r="E86" t="s">
        <v>19</v>
      </c>
      <c r="F86" t="s">
        <v>267</v>
      </c>
      <c r="G86">
        <v>7</v>
      </c>
      <c r="H86" s="7">
        <v>362.92</v>
      </c>
      <c r="I86" t="s">
        <v>19</v>
      </c>
      <c r="J86" t="s">
        <v>22</v>
      </c>
      <c r="K86">
        <v>5</v>
      </c>
      <c r="L86" s="7">
        <f t="shared" si="4"/>
        <v>2540.44</v>
      </c>
      <c r="M86" s="7"/>
      <c r="O86">
        <f t="shared" si="5"/>
        <v>3</v>
      </c>
      <c r="Q86" t="s">
        <v>19</v>
      </c>
    </row>
    <row r="87" spans="1:17" x14ac:dyDescent="0.3">
      <c r="A87" t="s">
        <v>268</v>
      </c>
      <c r="B87" s="6">
        <v>45187</v>
      </c>
      <c r="C87" s="6" t="str">
        <f t="shared" si="3"/>
        <v>Sep</v>
      </c>
      <c r="D87" t="s">
        <v>269</v>
      </c>
      <c r="E87" t="s">
        <v>19</v>
      </c>
      <c r="F87" t="s">
        <v>270</v>
      </c>
      <c r="G87">
        <v>9</v>
      </c>
      <c r="H87" s="7">
        <v>252.16</v>
      </c>
      <c r="I87" t="s">
        <v>46</v>
      </c>
      <c r="J87" t="s">
        <v>28</v>
      </c>
      <c r="K87">
        <v>0</v>
      </c>
      <c r="L87" s="7">
        <f t="shared" si="4"/>
        <v>2269.44</v>
      </c>
      <c r="M87" s="7"/>
      <c r="O87">
        <f t="shared" si="5"/>
        <v>2</v>
      </c>
      <c r="Q87" t="s">
        <v>47</v>
      </c>
    </row>
    <row r="88" spans="1:17" x14ac:dyDescent="0.3">
      <c r="A88" t="s">
        <v>271</v>
      </c>
      <c r="B88" s="6">
        <v>44975</v>
      </c>
      <c r="C88" s="6" t="str">
        <f t="shared" si="3"/>
        <v>Feb</v>
      </c>
      <c r="D88" t="s">
        <v>272</v>
      </c>
      <c r="E88" t="s">
        <v>62</v>
      </c>
      <c r="F88" t="s">
        <v>273</v>
      </c>
      <c r="G88">
        <v>7</v>
      </c>
      <c r="H88" s="7">
        <v>358.88</v>
      </c>
      <c r="I88" t="s">
        <v>19</v>
      </c>
      <c r="J88" t="s">
        <v>87</v>
      </c>
      <c r="K88">
        <v>0</v>
      </c>
      <c r="L88" s="7">
        <f t="shared" si="4"/>
        <v>2512.16</v>
      </c>
      <c r="M88" s="7"/>
      <c r="O88">
        <f t="shared" si="5"/>
        <v>3</v>
      </c>
      <c r="Q88" t="s">
        <v>19</v>
      </c>
    </row>
    <row r="89" spans="1:17" x14ac:dyDescent="0.3">
      <c r="A89" t="s">
        <v>274</v>
      </c>
      <c r="B89" s="6">
        <v>45173</v>
      </c>
      <c r="C89" s="6" t="str">
        <f t="shared" si="3"/>
        <v>Sep</v>
      </c>
      <c r="D89" t="s">
        <v>275</v>
      </c>
      <c r="E89" t="s">
        <v>40</v>
      </c>
      <c r="F89" t="s">
        <v>75</v>
      </c>
      <c r="G89">
        <v>9</v>
      </c>
      <c r="H89" s="7">
        <v>291.58999999999997</v>
      </c>
      <c r="I89" t="s">
        <v>19</v>
      </c>
      <c r="J89" t="s">
        <v>72</v>
      </c>
      <c r="K89">
        <v>20</v>
      </c>
      <c r="L89" s="7">
        <f t="shared" si="4"/>
        <v>2624.31</v>
      </c>
      <c r="M89" s="7"/>
      <c r="O89">
        <f t="shared" si="5"/>
        <v>3</v>
      </c>
      <c r="Q89" t="s">
        <v>19</v>
      </c>
    </row>
    <row r="90" spans="1:17" x14ac:dyDescent="0.3">
      <c r="A90" t="s">
        <v>276</v>
      </c>
      <c r="B90" s="6">
        <v>45056</v>
      </c>
      <c r="C90" s="6" t="str">
        <f t="shared" si="3"/>
        <v>May</v>
      </c>
      <c r="D90" t="s">
        <v>277</v>
      </c>
      <c r="E90" t="s">
        <v>62</v>
      </c>
      <c r="F90" t="s">
        <v>278</v>
      </c>
      <c r="G90">
        <v>8</v>
      </c>
      <c r="H90" s="7">
        <v>12.23</v>
      </c>
      <c r="I90" t="s">
        <v>32</v>
      </c>
      <c r="J90" t="s">
        <v>22</v>
      </c>
      <c r="K90">
        <v>10</v>
      </c>
      <c r="L90" s="7">
        <f t="shared" si="4"/>
        <v>97.84</v>
      </c>
      <c r="M90" s="7"/>
      <c r="O90">
        <f t="shared" si="5"/>
        <v>2</v>
      </c>
      <c r="Q90" t="s">
        <v>33</v>
      </c>
    </row>
    <row r="91" spans="1:17" x14ac:dyDescent="0.3">
      <c r="A91" t="s">
        <v>279</v>
      </c>
      <c r="B91" s="6">
        <v>45220</v>
      </c>
      <c r="C91" s="6" t="str">
        <f t="shared" si="3"/>
        <v>Oct</v>
      </c>
      <c r="D91" t="s">
        <v>280</v>
      </c>
      <c r="E91" t="s">
        <v>19</v>
      </c>
      <c r="F91" t="s">
        <v>281</v>
      </c>
      <c r="G91">
        <v>2</v>
      </c>
      <c r="H91" s="7">
        <v>183.39</v>
      </c>
      <c r="I91" t="s">
        <v>46</v>
      </c>
      <c r="J91" t="s">
        <v>42</v>
      </c>
      <c r="K91">
        <v>15</v>
      </c>
      <c r="L91" s="7">
        <f t="shared" si="4"/>
        <v>366.78</v>
      </c>
      <c r="M91" s="7"/>
      <c r="O91">
        <f t="shared" si="5"/>
        <v>2</v>
      </c>
      <c r="Q91" t="s">
        <v>47</v>
      </c>
    </row>
    <row r="92" spans="1:17" x14ac:dyDescent="0.3">
      <c r="A92" t="s">
        <v>282</v>
      </c>
      <c r="B92" s="6">
        <v>45202</v>
      </c>
      <c r="C92" s="6" t="str">
        <f t="shared" si="3"/>
        <v>Oct</v>
      </c>
      <c r="D92" t="s">
        <v>283</v>
      </c>
      <c r="E92" t="s">
        <v>19</v>
      </c>
      <c r="F92" t="s">
        <v>284</v>
      </c>
      <c r="G92">
        <v>1</v>
      </c>
      <c r="H92" s="7">
        <v>304.39999999999998</v>
      </c>
      <c r="I92" t="s">
        <v>64</v>
      </c>
      <c r="J92" t="s">
        <v>72</v>
      </c>
      <c r="K92">
        <v>5</v>
      </c>
      <c r="L92" s="7">
        <f t="shared" si="4"/>
        <v>304.39999999999998</v>
      </c>
      <c r="M92" s="7"/>
      <c r="O92">
        <f t="shared" si="5"/>
        <v>2</v>
      </c>
      <c r="Q92" t="s">
        <v>65</v>
      </c>
    </row>
    <row r="93" spans="1:17" x14ac:dyDescent="0.3">
      <c r="A93" t="s">
        <v>285</v>
      </c>
      <c r="B93" s="6">
        <v>45145</v>
      </c>
      <c r="C93" s="6" t="str">
        <f t="shared" si="3"/>
        <v>Aug</v>
      </c>
      <c r="D93" t="s">
        <v>286</v>
      </c>
      <c r="E93" t="s">
        <v>26</v>
      </c>
      <c r="F93" t="s">
        <v>179</v>
      </c>
      <c r="G93">
        <v>7</v>
      </c>
      <c r="H93" s="7">
        <v>196.79</v>
      </c>
      <c r="I93" t="s">
        <v>46</v>
      </c>
      <c r="J93" t="s">
        <v>42</v>
      </c>
      <c r="K93">
        <v>20</v>
      </c>
      <c r="L93" s="7">
        <f t="shared" si="4"/>
        <v>1377.53</v>
      </c>
      <c r="M93" s="7"/>
      <c r="O93">
        <f t="shared" si="5"/>
        <v>2</v>
      </c>
      <c r="Q93" t="s">
        <v>47</v>
      </c>
    </row>
    <row r="94" spans="1:17" x14ac:dyDescent="0.3">
      <c r="A94" t="s">
        <v>287</v>
      </c>
      <c r="B94" s="6">
        <v>45233</v>
      </c>
      <c r="C94" s="6" t="str">
        <f t="shared" si="3"/>
        <v>Nov</v>
      </c>
      <c r="D94" t="s">
        <v>288</v>
      </c>
      <c r="E94" t="s">
        <v>31</v>
      </c>
      <c r="F94" t="s">
        <v>289</v>
      </c>
      <c r="G94">
        <v>7</v>
      </c>
      <c r="H94" s="7">
        <v>432.42</v>
      </c>
      <c r="I94" t="s">
        <v>19</v>
      </c>
      <c r="J94" t="s">
        <v>28</v>
      </c>
      <c r="K94">
        <v>5</v>
      </c>
      <c r="L94" s="7">
        <f t="shared" si="4"/>
        <v>3026.94</v>
      </c>
      <c r="M94" s="7"/>
      <c r="O94">
        <f t="shared" si="5"/>
        <v>4</v>
      </c>
      <c r="Q94" t="s">
        <v>19</v>
      </c>
    </row>
    <row r="95" spans="1:17" x14ac:dyDescent="0.3">
      <c r="A95" t="s">
        <v>290</v>
      </c>
      <c r="B95" s="6">
        <v>44961</v>
      </c>
      <c r="C95" s="6" t="str">
        <f t="shared" si="3"/>
        <v>Feb</v>
      </c>
      <c r="D95" t="s">
        <v>291</v>
      </c>
      <c r="E95" t="s">
        <v>26</v>
      </c>
      <c r="F95" t="s">
        <v>292</v>
      </c>
      <c r="G95">
        <v>8</v>
      </c>
      <c r="H95" s="7">
        <v>157.86000000000001</v>
      </c>
      <c r="I95" t="s">
        <v>19</v>
      </c>
      <c r="J95" t="s">
        <v>72</v>
      </c>
      <c r="K95">
        <v>0</v>
      </c>
      <c r="L95" s="7">
        <f t="shared" si="4"/>
        <v>1262.8800000000001</v>
      </c>
      <c r="M95" s="7"/>
      <c r="O95">
        <f t="shared" si="5"/>
        <v>2</v>
      </c>
      <c r="Q95" t="s">
        <v>19</v>
      </c>
    </row>
    <row r="96" spans="1:17" x14ac:dyDescent="0.3">
      <c r="A96" t="s">
        <v>293</v>
      </c>
      <c r="B96" s="6">
        <v>45237</v>
      </c>
      <c r="C96" s="6" t="str">
        <f t="shared" si="3"/>
        <v>Nov</v>
      </c>
      <c r="D96" t="s">
        <v>294</v>
      </c>
      <c r="E96" t="s">
        <v>31</v>
      </c>
      <c r="F96" t="s">
        <v>295</v>
      </c>
      <c r="G96">
        <v>5</v>
      </c>
      <c r="H96" s="7">
        <v>150.30000000000001</v>
      </c>
      <c r="I96" t="s">
        <v>103</v>
      </c>
      <c r="J96" t="s">
        <v>42</v>
      </c>
      <c r="K96">
        <v>10</v>
      </c>
      <c r="L96" s="7">
        <f t="shared" si="4"/>
        <v>751.5</v>
      </c>
      <c r="M96" s="7"/>
      <c r="O96">
        <f t="shared" si="5"/>
        <v>2</v>
      </c>
      <c r="Q96" t="s">
        <v>104</v>
      </c>
    </row>
    <row r="97" spans="1:17" x14ac:dyDescent="0.3">
      <c r="A97" t="s">
        <v>296</v>
      </c>
      <c r="B97" s="6">
        <v>45165</v>
      </c>
      <c r="C97" s="6" t="str">
        <f t="shared" si="3"/>
        <v>Aug</v>
      </c>
      <c r="D97" t="s">
        <v>297</v>
      </c>
      <c r="E97" t="s">
        <v>31</v>
      </c>
      <c r="F97" t="s">
        <v>298</v>
      </c>
      <c r="G97">
        <v>3</v>
      </c>
      <c r="H97" s="7">
        <v>136.66999999999999</v>
      </c>
      <c r="I97" t="s">
        <v>19</v>
      </c>
      <c r="J97" t="s">
        <v>28</v>
      </c>
      <c r="K97">
        <v>10</v>
      </c>
      <c r="L97" s="7">
        <f t="shared" si="4"/>
        <v>410.01</v>
      </c>
      <c r="M97" s="7"/>
      <c r="O97">
        <f t="shared" si="5"/>
        <v>2</v>
      </c>
      <c r="Q97" t="s">
        <v>19</v>
      </c>
    </row>
    <row r="98" spans="1:17" x14ac:dyDescent="0.3">
      <c r="A98" t="s">
        <v>299</v>
      </c>
      <c r="B98" s="6">
        <v>45068</v>
      </c>
      <c r="C98" s="6" t="str">
        <f t="shared" si="3"/>
        <v>May</v>
      </c>
      <c r="D98" t="s">
        <v>300</v>
      </c>
      <c r="E98" t="s">
        <v>19</v>
      </c>
      <c r="F98" t="s">
        <v>173</v>
      </c>
      <c r="G98">
        <v>8</v>
      </c>
      <c r="H98" s="7">
        <v>169.73</v>
      </c>
      <c r="I98" t="s">
        <v>103</v>
      </c>
      <c r="J98" t="s">
        <v>28</v>
      </c>
      <c r="K98">
        <v>15</v>
      </c>
      <c r="L98" s="7">
        <f t="shared" si="4"/>
        <v>1357.84</v>
      </c>
      <c r="M98" s="7"/>
      <c r="O98">
        <f t="shared" si="5"/>
        <v>2</v>
      </c>
      <c r="Q98" t="s">
        <v>104</v>
      </c>
    </row>
    <row r="99" spans="1:17" x14ac:dyDescent="0.3">
      <c r="A99" t="s">
        <v>301</v>
      </c>
      <c r="B99" s="6">
        <v>45168</v>
      </c>
      <c r="C99" s="6" t="str">
        <f t="shared" si="3"/>
        <v>Aug</v>
      </c>
      <c r="D99" t="s">
        <v>302</v>
      </c>
      <c r="E99" t="s">
        <v>36</v>
      </c>
      <c r="F99" t="s">
        <v>303</v>
      </c>
      <c r="G99">
        <v>6</v>
      </c>
      <c r="H99" s="7">
        <v>280.92</v>
      </c>
      <c r="I99" t="s">
        <v>64</v>
      </c>
      <c r="J99" t="s">
        <v>22</v>
      </c>
      <c r="K99">
        <v>5</v>
      </c>
      <c r="L99" s="7">
        <f t="shared" si="4"/>
        <v>1685.52</v>
      </c>
      <c r="M99" s="7"/>
      <c r="O99">
        <f t="shared" si="5"/>
        <v>2</v>
      </c>
      <c r="Q99" t="s">
        <v>65</v>
      </c>
    </row>
    <row r="100" spans="1:17" x14ac:dyDescent="0.3">
      <c r="A100" t="s">
        <v>304</v>
      </c>
      <c r="B100" s="6">
        <v>45012</v>
      </c>
      <c r="C100" s="6" t="str">
        <f t="shared" si="3"/>
        <v>Mar</v>
      </c>
      <c r="D100" t="s">
        <v>305</v>
      </c>
      <c r="E100" t="s">
        <v>19</v>
      </c>
      <c r="F100" t="s">
        <v>154</v>
      </c>
      <c r="G100">
        <v>3</v>
      </c>
      <c r="H100" s="7">
        <v>354.97</v>
      </c>
      <c r="I100" t="s">
        <v>19</v>
      </c>
      <c r="J100" t="s">
        <v>87</v>
      </c>
      <c r="K100">
        <v>20</v>
      </c>
      <c r="L100" s="7">
        <f t="shared" si="4"/>
        <v>1064.9100000000001</v>
      </c>
      <c r="M100" s="7"/>
      <c r="O100">
        <f t="shared" si="5"/>
        <v>2</v>
      </c>
      <c r="Q100" t="s">
        <v>19</v>
      </c>
    </row>
    <row r="101" spans="1:17" x14ac:dyDescent="0.3">
      <c r="A101" t="s">
        <v>306</v>
      </c>
      <c r="B101" s="6">
        <v>44937</v>
      </c>
      <c r="C101" s="6" t="str">
        <f t="shared" si="3"/>
        <v>Jan</v>
      </c>
      <c r="D101" t="s">
        <v>307</v>
      </c>
      <c r="E101" t="s">
        <v>31</v>
      </c>
      <c r="F101" t="s">
        <v>308</v>
      </c>
      <c r="G101">
        <v>1</v>
      </c>
      <c r="H101" s="7">
        <v>332.97</v>
      </c>
      <c r="I101" t="s">
        <v>46</v>
      </c>
      <c r="J101" t="s">
        <v>42</v>
      </c>
      <c r="K101">
        <v>15</v>
      </c>
      <c r="L101" s="7">
        <f t="shared" si="4"/>
        <v>332.97</v>
      </c>
      <c r="M101" s="7"/>
      <c r="O101">
        <f t="shared" si="5"/>
        <v>2</v>
      </c>
      <c r="Q101" t="s">
        <v>47</v>
      </c>
    </row>
    <row r="102" spans="1:17" x14ac:dyDescent="0.3">
      <c r="A102" t="s">
        <v>309</v>
      </c>
      <c r="B102" s="6">
        <v>45025</v>
      </c>
      <c r="C102" s="6" t="str">
        <f t="shared" si="3"/>
        <v>Apr</v>
      </c>
      <c r="D102" t="s">
        <v>310</v>
      </c>
      <c r="E102" t="s">
        <v>26</v>
      </c>
      <c r="F102" t="s">
        <v>81</v>
      </c>
      <c r="G102">
        <v>3</v>
      </c>
      <c r="H102" s="7">
        <v>404.82</v>
      </c>
      <c r="I102" t="s">
        <v>32</v>
      </c>
      <c r="J102" t="s">
        <v>72</v>
      </c>
      <c r="K102">
        <v>10</v>
      </c>
      <c r="L102" s="7">
        <f t="shared" si="4"/>
        <v>1214.46</v>
      </c>
      <c r="M102" s="7"/>
      <c r="O102">
        <f t="shared" si="5"/>
        <v>2</v>
      </c>
      <c r="Q102" t="s">
        <v>33</v>
      </c>
    </row>
    <row r="103" spans="1:17" x14ac:dyDescent="0.3">
      <c r="A103" t="s">
        <v>311</v>
      </c>
      <c r="B103" s="6">
        <v>45281</v>
      </c>
      <c r="C103" s="6" t="str">
        <f t="shared" si="3"/>
        <v>Dec</v>
      </c>
      <c r="D103" t="s">
        <v>312</v>
      </c>
      <c r="E103" t="s">
        <v>19</v>
      </c>
      <c r="F103" t="s">
        <v>313</v>
      </c>
      <c r="G103">
        <v>5</v>
      </c>
      <c r="H103" s="7">
        <v>443.53</v>
      </c>
      <c r="I103" t="s">
        <v>21</v>
      </c>
      <c r="J103" t="s">
        <v>87</v>
      </c>
      <c r="K103">
        <v>10</v>
      </c>
      <c r="L103" s="7">
        <f t="shared" si="4"/>
        <v>2217.6499999999996</v>
      </c>
      <c r="M103" s="7"/>
      <c r="O103">
        <f t="shared" si="5"/>
        <v>2</v>
      </c>
      <c r="Q103" t="s">
        <v>23</v>
      </c>
    </row>
    <row r="104" spans="1:17" x14ac:dyDescent="0.3">
      <c r="A104" t="s">
        <v>314</v>
      </c>
      <c r="B104" s="6">
        <v>45068</v>
      </c>
      <c r="C104" s="6" t="str">
        <f t="shared" si="3"/>
        <v>May</v>
      </c>
      <c r="D104" t="s">
        <v>315</v>
      </c>
      <c r="E104" t="s">
        <v>31</v>
      </c>
      <c r="F104" t="s">
        <v>316</v>
      </c>
      <c r="G104">
        <v>3</v>
      </c>
      <c r="H104" s="7">
        <v>408.96</v>
      </c>
      <c r="I104" t="s">
        <v>32</v>
      </c>
      <c r="J104" t="s">
        <v>87</v>
      </c>
      <c r="K104">
        <v>20</v>
      </c>
      <c r="L104" s="7">
        <f t="shared" si="4"/>
        <v>1226.8799999999999</v>
      </c>
      <c r="M104" s="7"/>
      <c r="O104">
        <f t="shared" si="5"/>
        <v>2</v>
      </c>
      <c r="Q104" t="s">
        <v>33</v>
      </c>
    </row>
    <row r="105" spans="1:17" x14ac:dyDescent="0.3">
      <c r="A105" t="s">
        <v>317</v>
      </c>
      <c r="B105" s="6">
        <v>45203</v>
      </c>
      <c r="C105" s="6" t="str">
        <f t="shared" si="3"/>
        <v>Oct</v>
      </c>
      <c r="D105" t="s">
        <v>318</v>
      </c>
      <c r="E105" t="s">
        <v>40</v>
      </c>
      <c r="F105" t="s">
        <v>319</v>
      </c>
      <c r="G105">
        <v>1</v>
      </c>
      <c r="H105" s="7">
        <v>14.38</v>
      </c>
      <c r="I105" t="s">
        <v>21</v>
      </c>
      <c r="J105" t="s">
        <v>42</v>
      </c>
      <c r="K105">
        <v>5</v>
      </c>
      <c r="L105" s="7">
        <f t="shared" si="4"/>
        <v>14.38</v>
      </c>
      <c r="M105" s="7"/>
      <c r="O105">
        <f t="shared" si="5"/>
        <v>2</v>
      </c>
      <c r="Q105" t="s">
        <v>23</v>
      </c>
    </row>
    <row r="106" spans="1:17" x14ac:dyDescent="0.3">
      <c r="A106" t="s">
        <v>320</v>
      </c>
      <c r="B106" s="6">
        <v>45203</v>
      </c>
      <c r="C106" s="6" t="str">
        <f t="shared" si="3"/>
        <v>Oct</v>
      </c>
      <c r="D106" t="s">
        <v>321</v>
      </c>
      <c r="E106" t="s">
        <v>36</v>
      </c>
      <c r="F106" t="s">
        <v>322</v>
      </c>
      <c r="G106">
        <v>5</v>
      </c>
      <c r="H106" s="7">
        <v>369.28</v>
      </c>
      <c r="I106" t="s">
        <v>103</v>
      </c>
      <c r="J106" t="s">
        <v>42</v>
      </c>
      <c r="K106">
        <v>15</v>
      </c>
      <c r="L106" s="7">
        <f t="shared" si="4"/>
        <v>1846.3999999999999</v>
      </c>
      <c r="M106" s="7"/>
      <c r="O106">
        <f t="shared" si="5"/>
        <v>2</v>
      </c>
      <c r="Q106" t="s">
        <v>104</v>
      </c>
    </row>
    <row r="107" spans="1:17" x14ac:dyDescent="0.3">
      <c r="A107" t="s">
        <v>323</v>
      </c>
      <c r="B107" s="6">
        <v>45184</v>
      </c>
      <c r="C107" s="6" t="str">
        <f t="shared" si="3"/>
        <v>Sep</v>
      </c>
      <c r="D107" t="s">
        <v>324</v>
      </c>
      <c r="E107" t="s">
        <v>19</v>
      </c>
      <c r="F107" t="s">
        <v>325</v>
      </c>
      <c r="G107">
        <v>7</v>
      </c>
      <c r="H107" s="7">
        <v>108.16</v>
      </c>
      <c r="I107" t="s">
        <v>64</v>
      </c>
      <c r="J107" t="s">
        <v>87</v>
      </c>
      <c r="K107">
        <v>20</v>
      </c>
      <c r="L107" s="7">
        <f t="shared" si="4"/>
        <v>757.12</v>
      </c>
      <c r="M107" s="7"/>
      <c r="O107">
        <f t="shared" si="5"/>
        <v>2</v>
      </c>
      <c r="Q107" t="s">
        <v>65</v>
      </c>
    </row>
    <row r="108" spans="1:17" x14ac:dyDescent="0.3">
      <c r="A108" t="s">
        <v>326</v>
      </c>
      <c r="B108" s="6">
        <v>44964</v>
      </c>
      <c r="C108" s="6" t="str">
        <f t="shared" si="3"/>
        <v>Feb</v>
      </c>
      <c r="D108" t="s">
        <v>327</v>
      </c>
      <c r="E108" t="s">
        <v>19</v>
      </c>
      <c r="F108" t="s">
        <v>328</v>
      </c>
      <c r="G108">
        <v>7</v>
      </c>
      <c r="H108" s="7">
        <v>70.8</v>
      </c>
      <c r="I108" t="s">
        <v>64</v>
      </c>
      <c r="J108" t="s">
        <v>42</v>
      </c>
      <c r="K108">
        <v>15</v>
      </c>
      <c r="L108" s="7">
        <f t="shared" si="4"/>
        <v>495.59999999999997</v>
      </c>
      <c r="M108" s="7"/>
      <c r="O108">
        <f t="shared" si="5"/>
        <v>2</v>
      </c>
      <c r="Q108" t="s">
        <v>65</v>
      </c>
    </row>
    <row r="109" spans="1:17" x14ac:dyDescent="0.3">
      <c r="A109" t="s">
        <v>329</v>
      </c>
      <c r="B109" s="6">
        <v>45249</v>
      </c>
      <c r="C109" s="6" t="str">
        <f t="shared" si="3"/>
        <v>Nov</v>
      </c>
      <c r="D109" t="s">
        <v>330</v>
      </c>
      <c r="E109" t="s">
        <v>40</v>
      </c>
      <c r="F109" t="s">
        <v>331</v>
      </c>
      <c r="G109">
        <v>9</v>
      </c>
      <c r="H109" s="7">
        <v>321.05</v>
      </c>
      <c r="I109" t="s">
        <v>46</v>
      </c>
      <c r="J109" t="s">
        <v>72</v>
      </c>
      <c r="K109">
        <v>15</v>
      </c>
      <c r="L109" s="7">
        <f t="shared" si="4"/>
        <v>2889.4500000000003</v>
      </c>
      <c r="M109" s="7"/>
      <c r="O109">
        <f t="shared" si="5"/>
        <v>3</v>
      </c>
      <c r="Q109" t="s">
        <v>47</v>
      </c>
    </row>
    <row r="110" spans="1:17" x14ac:dyDescent="0.3">
      <c r="A110" t="s">
        <v>332</v>
      </c>
      <c r="B110" s="6">
        <v>45040</v>
      </c>
      <c r="C110" s="6" t="str">
        <f t="shared" si="3"/>
        <v>Apr</v>
      </c>
      <c r="D110" t="s">
        <v>333</v>
      </c>
      <c r="E110" t="s">
        <v>19</v>
      </c>
      <c r="F110" t="s">
        <v>334</v>
      </c>
      <c r="G110">
        <v>3</v>
      </c>
      <c r="H110" s="7">
        <v>163.27000000000001</v>
      </c>
      <c r="I110" t="s">
        <v>64</v>
      </c>
      <c r="J110" t="s">
        <v>28</v>
      </c>
      <c r="K110">
        <v>15</v>
      </c>
      <c r="L110" s="7">
        <f t="shared" si="4"/>
        <v>489.81000000000006</v>
      </c>
      <c r="M110" s="7"/>
      <c r="O110">
        <f t="shared" si="5"/>
        <v>2</v>
      </c>
      <c r="Q110" t="s">
        <v>65</v>
      </c>
    </row>
    <row r="111" spans="1:17" x14ac:dyDescent="0.3">
      <c r="A111" t="s">
        <v>335</v>
      </c>
      <c r="B111" s="6">
        <v>45105</v>
      </c>
      <c r="C111" s="6" t="str">
        <f t="shared" si="3"/>
        <v>Jun</v>
      </c>
      <c r="D111" t="s">
        <v>336</v>
      </c>
      <c r="E111" t="s">
        <v>40</v>
      </c>
      <c r="F111" t="s">
        <v>107</v>
      </c>
      <c r="G111">
        <v>5</v>
      </c>
      <c r="H111" s="7">
        <v>33.270000000000003</v>
      </c>
      <c r="I111" t="s">
        <v>19</v>
      </c>
      <c r="J111" t="s">
        <v>72</v>
      </c>
      <c r="K111">
        <v>5</v>
      </c>
      <c r="L111" s="7">
        <f t="shared" si="4"/>
        <v>166.35000000000002</v>
      </c>
      <c r="M111" s="7"/>
      <c r="O111">
        <f t="shared" si="5"/>
        <v>2</v>
      </c>
      <c r="Q111" t="s">
        <v>19</v>
      </c>
    </row>
    <row r="112" spans="1:17" x14ac:dyDescent="0.3">
      <c r="A112" t="s">
        <v>337</v>
      </c>
      <c r="B112" s="6">
        <v>45077</v>
      </c>
      <c r="C112" s="6" t="str">
        <f t="shared" si="3"/>
        <v>May</v>
      </c>
      <c r="D112" t="s">
        <v>338</v>
      </c>
      <c r="E112" t="s">
        <v>62</v>
      </c>
      <c r="F112" t="s">
        <v>131</v>
      </c>
      <c r="G112">
        <v>1</v>
      </c>
      <c r="H112" s="7">
        <v>73.13</v>
      </c>
      <c r="I112" t="s">
        <v>64</v>
      </c>
      <c r="J112" t="s">
        <v>87</v>
      </c>
      <c r="K112">
        <v>20</v>
      </c>
      <c r="L112" s="7">
        <f t="shared" si="4"/>
        <v>73.13</v>
      </c>
      <c r="M112" s="7"/>
      <c r="O112">
        <f t="shared" si="5"/>
        <v>2</v>
      </c>
      <c r="Q112" t="s">
        <v>65</v>
      </c>
    </row>
    <row r="113" spans="1:17" x14ac:dyDescent="0.3">
      <c r="A113" t="s">
        <v>339</v>
      </c>
      <c r="B113" s="6">
        <v>45168</v>
      </c>
      <c r="C113" s="6" t="str">
        <f t="shared" si="3"/>
        <v>Aug</v>
      </c>
      <c r="D113" t="s">
        <v>340</v>
      </c>
      <c r="E113" t="s">
        <v>40</v>
      </c>
      <c r="F113" t="s">
        <v>341</v>
      </c>
      <c r="G113">
        <v>4</v>
      </c>
      <c r="H113" s="7">
        <v>5.46</v>
      </c>
      <c r="I113" t="s">
        <v>21</v>
      </c>
      <c r="J113" t="s">
        <v>19</v>
      </c>
      <c r="K113">
        <v>0</v>
      </c>
      <c r="L113" s="7">
        <f t="shared" si="4"/>
        <v>21.84</v>
      </c>
      <c r="M113" s="7"/>
      <c r="O113">
        <f t="shared" si="5"/>
        <v>2</v>
      </c>
      <c r="Q113" t="s">
        <v>23</v>
      </c>
    </row>
    <row r="114" spans="1:17" x14ac:dyDescent="0.3">
      <c r="A114" t="s">
        <v>342</v>
      </c>
      <c r="B114" s="6">
        <v>45097</v>
      </c>
      <c r="C114" s="6" t="str">
        <f t="shared" si="3"/>
        <v>Jun</v>
      </c>
      <c r="D114" t="s">
        <v>343</v>
      </c>
      <c r="E114" t="s">
        <v>62</v>
      </c>
      <c r="F114" t="s">
        <v>344</v>
      </c>
      <c r="G114">
        <v>5</v>
      </c>
      <c r="H114" s="7">
        <v>452.1</v>
      </c>
      <c r="I114" t="s">
        <v>103</v>
      </c>
      <c r="J114" t="s">
        <v>72</v>
      </c>
      <c r="K114">
        <v>0</v>
      </c>
      <c r="L114" s="7">
        <f t="shared" si="4"/>
        <v>2260.5</v>
      </c>
      <c r="M114" s="7"/>
      <c r="O114">
        <f t="shared" si="5"/>
        <v>2</v>
      </c>
      <c r="Q114" t="s">
        <v>104</v>
      </c>
    </row>
    <row r="115" spans="1:17" x14ac:dyDescent="0.3">
      <c r="A115" t="s">
        <v>345</v>
      </c>
      <c r="B115" s="6">
        <v>45102</v>
      </c>
      <c r="C115" s="6" t="str">
        <f t="shared" si="3"/>
        <v>Jun</v>
      </c>
      <c r="D115" t="s">
        <v>346</v>
      </c>
      <c r="E115" t="s">
        <v>36</v>
      </c>
      <c r="F115" t="s">
        <v>347</v>
      </c>
      <c r="G115">
        <v>5</v>
      </c>
      <c r="H115" s="7">
        <v>17.190000000000001</v>
      </c>
      <c r="I115" t="s">
        <v>21</v>
      </c>
      <c r="J115" t="s">
        <v>42</v>
      </c>
      <c r="K115">
        <v>5</v>
      </c>
      <c r="L115" s="7">
        <f t="shared" si="4"/>
        <v>85.95</v>
      </c>
      <c r="M115" s="7"/>
      <c r="O115">
        <f t="shared" si="5"/>
        <v>2</v>
      </c>
      <c r="Q115" t="s">
        <v>23</v>
      </c>
    </row>
    <row r="116" spans="1:17" x14ac:dyDescent="0.3">
      <c r="A116" t="s">
        <v>348</v>
      </c>
      <c r="B116" s="6">
        <v>45232</v>
      </c>
      <c r="C116" s="6" t="str">
        <f t="shared" si="3"/>
        <v>Nov</v>
      </c>
      <c r="D116" t="s">
        <v>349</v>
      </c>
      <c r="E116" t="s">
        <v>19</v>
      </c>
      <c r="F116" t="s">
        <v>350</v>
      </c>
      <c r="G116">
        <v>7</v>
      </c>
      <c r="H116" s="7">
        <v>108.68</v>
      </c>
      <c r="I116" t="s">
        <v>46</v>
      </c>
      <c r="J116" t="s">
        <v>42</v>
      </c>
      <c r="K116">
        <v>5</v>
      </c>
      <c r="L116" s="7">
        <f t="shared" si="4"/>
        <v>760.76</v>
      </c>
      <c r="M116" s="7"/>
      <c r="O116">
        <f t="shared" si="5"/>
        <v>2</v>
      </c>
      <c r="Q116" t="s">
        <v>47</v>
      </c>
    </row>
    <row r="117" spans="1:17" x14ac:dyDescent="0.3">
      <c r="A117" t="s">
        <v>351</v>
      </c>
      <c r="B117" s="6">
        <v>45049</v>
      </c>
      <c r="C117" s="6" t="str">
        <f t="shared" si="3"/>
        <v>May</v>
      </c>
      <c r="D117" t="s">
        <v>352</v>
      </c>
      <c r="E117" t="s">
        <v>62</v>
      </c>
      <c r="F117" t="s">
        <v>353</v>
      </c>
      <c r="G117">
        <v>7</v>
      </c>
      <c r="H117" s="7">
        <v>211.05</v>
      </c>
      <c r="I117" t="s">
        <v>103</v>
      </c>
      <c r="J117" t="s">
        <v>22</v>
      </c>
      <c r="K117">
        <v>10</v>
      </c>
      <c r="L117" s="7">
        <f t="shared" si="4"/>
        <v>1477.3500000000001</v>
      </c>
      <c r="M117" s="7"/>
      <c r="O117">
        <f t="shared" si="5"/>
        <v>2</v>
      </c>
      <c r="Q117" t="s">
        <v>104</v>
      </c>
    </row>
    <row r="118" spans="1:17" x14ac:dyDescent="0.3">
      <c r="A118" t="s">
        <v>354</v>
      </c>
      <c r="B118" s="6">
        <v>45102</v>
      </c>
      <c r="C118" s="6" t="str">
        <f t="shared" si="3"/>
        <v>Jun</v>
      </c>
      <c r="D118" t="s">
        <v>355</v>
      </c>
      <c r="E118" t="s">
        <v>36</v>
      </c>
      <c r="F118" t="s">
        <v>356</v>
      </c>
      <c r="G118">
        <v>4</v>
      </c>
      <c r="H118" s="7">
        <v>181.5</v>
      </c>
      <c r="I118" t="s">
        <v>21</v>
      </c>
      <c r="J118" t="s">
        <v>87</v>
      </c>
      <c r="K118">
        <v>15</v>
      </c>
      <c r="L118" s="7">
        <f t="shared" si="4"/>
        <v>726</v>
      </c>
      <c r="M118" s="7"/>
      <c r="O118">
        <f t="shared" si="5"/>
        <v>2</v>
      </c>
      <c r="Q118" t="s">
        <v>23</v>
      </c>
    </row>
    <row r="119" spans="1:17" x14ac:dyDescent="0.3">
      <c r="A119" t="s">
        <v>357</v>
      </c>
      <c r="B119" s="6">
        <v>45059</v>
      </c>
      <c r="C119" s="6" t="str">
        <f t="shared" si="3"/>
        <v>May</v>
      </c>
      <c r="D119" t="s">
        <v>358</v>
      </c>
      <c r="E119" t="s">
        <v>31</v>
      </c>
      <c r="F119" t="s">
        <v>359</v>
      </c>
      <c r="G119">
        <v>7</v>
      </c>
      <c r="H119" s="7">
        <v>456.3</v>
      </c>
      <c r="I119" t="s">
        <v>103</v>
      </c>
      <c r="J119" t="s">
        <v>19</v>
      </c>
      <c r="K119">
        <v>20</v>
      </c>
      <c r="L119" s="7">
        <f t="shared" si="4"/>
        <v>3194.1</v>
      </c>
      <c r="M119" s="7"/>
      <c r="O119">
        <f t="shared" si="5"/>
        <v>4</v>
      </c>
      <c r="Q119" t="s">
        <v>104</v>
      </c>
    </row>
    <row r="120" spans="1:17" x14ac:dyDescent="0.3">
      <c r="A120" t="s">
        <v>360</v>
      </c>
      <c r="B120" s="6">
        <v>45037</v>
      </c>
      <c r="C120" s="6" t="str">
        <f t="shared" si="3"/>
        <v>Apr</v>
      </c>
      <c r="D120" t="s">
        <v>361</v>
      </c>
      <c r="E120" t="s">
        <v>26</v>
      </c>
      <c r="F120" t="s">
        <v>116</v>
      </c>
      <c r="G120">
        <v>3</v>
      </c>
      <c r="H120" s="7">
        <v>24.94</v>
      </c>
      <c r="I120" t="s">
        <v>46</v>
      </c>
      <c r="J120" t="s">
        <v>72</v>
      </c>
      <c r="K120">
        <v>20</v>
      </c>
      <c r="L120" s="7">
        <f t="shared" si="4"/>
        <v>74.820000000000007</v>
      </c>
      <c r="M120" s="7"/>
      <c r="O120">
        <f t="shared" si="5"/>
        <v>2</v>
      </c>
      <c r="Q120" t="s">
        <v>47</v>
      </c>
    </row>
    <row r="121" spans="1:17" x14ac:dyDescent="0.3">
      <c r="A121" t="s">
        <v>362</v>
      </c>
      <c r="B121" s="6">
        <v>44934</v>
      </c>
      <c r="C121" s="6" t="str">
        <f t="shared" si="3"/>
        <v>Jan</v>
      </c>
      <c r="D121" t="s">
        <v>74</v>
      </c>
      <c r="E121" t="s">
        <v>50</v>
      </c>
      <c r="F121" t="s">
        <v>363</v>
      </c>
      <c r="G121">
        <v>6</v>
      </c>
      <c r="H121" s="7">
        <v>258.55</v>
      </c>
      <c r="I121" t="s">
        <v>21</v>
      </c>
      <c r="J121" t="s">
        <v>42</v>
      </c>
      <c r="K121">
        <v>10</v>
      </c>
      <c r="L121" s="7">
        <f t="shared" si="4"/>
        <v>1551.3000000000002</v>
      </c>
      <c r="M121" s="7"/>
      <c r="O121">
        <f t="shared" si="5"/>
        <v>2</v>
      </c>
      <c r="Q121" t="s">
        <v>23</v>
      </c>
    </row>
    <row r="122" spans="1:17" x14ac:dyDescent="0.3">
      <c r="A122" t="s">
        <v>364</v>
      </c>
      <c r="B122" s="6">
        <v>45287</v>
      </c>
      <c r="C122" s="6" t="str">
        <f t="shared" si="3"/>
        <v>Dec</v>
      </c>
      <c r="D122" t="s">
        <v>365</v>
      </c>
      <c r="E122" t="s">
        <v>62</v>
      </c>
      <c r="F122" t="s">
        <v>366</v>
      </c>
      <c r="G122">
        <v>2</v>
      </c>
      <c r="H122" s="7">
        <v>341.84</v>
      </c>
      <c r="I122" t="s">
        <v>46</v>
      </c>
      <c r="J122" t="s">
        <v>22</v>
      </c>
      <c r="K122">
        <v>10</v>
      </c>
      <c r="L122" s="7">
        <f t="shared" si="4"/>
        <v>683.68</v>
      </c>
      <c r="M122" s="7"/>
      <c r="O122">
        <f t="shared" si="5"/>
        <v>2</v>
      </c>
      <c r="Q122" t="s">
        <v>47</v>
      </c>
    </row>
    <row r="123" spans="1:17" x14ac:dyDescent="0.3">
      <c r="A123" t="s">
        <v>367</v>
      </c>
      <c r="B123" s="6">
        <v>44952</v>
      </c>
      <c r="C123" s="6" t="str">
        <f t="shared" si="3"/>
        <v>Jan</v>
      </c>
      <c r="D123" t="s">
        <v>368</v>
      </c>
      <c r="E123" t="s">
        <v>19</v>
      </c>
      <c r="F123" t="s">
        <v>369</v>
      </c>
      <c r="G123">
        <v>9</v>
      </c>
      <c r="H123" s="7">
        <v>466.19</v>
      </c>
      <c r="I123" t="s">
        <v>19</v>
      </c>
      <c r="J123" t="s">
        <v>87</v>
      </c>
      <c r="K123">
        <v>0</v>
      </c>
      <c r="L123" s="7">
        <f t="shared" si="4"/>
        <v>4195.71</v>
      </c>
      <c r="M123" s="7"/>
      <c r="O123">
        <f t="shared" si="5"/>
        <v>5</v>
      </c>
      <c r="Q123" t="s">
        <v>19</v>
      </c>
    </row>
    <row r="124" spans="1:17" x14ac:dyDescent="0.3">
      <c r="A124" t="s">
        <v>370</v>
      </c>
      <c r="B124" s="6">
        <v>45101</v>
      </c>
      <c r="C124" s="6" t="str">
        <f t="shared" si="3"/>
        <v>Jun</v>
      </c>
      <c r="D124" t="s">
        <v>371</v>
      </c>
      <c r="E124" t="s">
        <v>19</v>
      </c>
      <c r="F124" t="s">
        <v>372</v>
      </c>
      <c r="G124">
        <v>5</v>
      </c>
      <c r="H124" s="7">
        <v>312.08</v>
      </c>
      <c r="I124" t="s">
        <v>21</v>
      </c>
      <c r="J124" t="s">
        <v>28</v>
      </c>
      <c r="K124">
        <v>10</v>
      </c>
      <c r="L124" s="7">
        <f t="shared" si="4"/>
        <v>1560.3999999999999</v>
      </c>
      <c r="M124" s="7"/>
      <c r="O124">
        <f t="shared" si="5"/>
        <v>2</v>
      </c>
      <c r="Q124" t="s">
        <v>23</v>
      </c>
    </row>
    <row r="125" spans="1:17" x14ac:dyDescent="0.3">
      <c r="A125" t="s">
        <v>373</v>
      </c>
      <c r="B125" s="6">
        <v>45258</v>
      </c>
      <c r="C125" s="6" t="str">
        <f t="shared" si="3"/>
        <v>Nov</v>
      </c>
      <c r="D125" t="s">
        <v>374</v>
      </c>
      <c r="E125" t="s">
        <v>19</v>
      </c>
      <c r="F125" t="s">
        <v>375</v>
      </c>
      <c r="G125">
        <v>6</v>
      </c>
      <c r="H125" s="7">
        <v>402.86</v>
      </c>
      <c r="I125" t="s">
        <v>46</v>
      </c>
      <c r="J125" t="s">
        <v>87</v>
      </c>
      <c r="K125">
        <v>10</v>
      </c>
      <c r="L125" s="7">
        <f t="shared" si="4"/>
        <v>2417.16</v>
      </c>
      <c r="M125" s="7"/>
      <c r="O125">
        <f t="shared" si="5"/>
        <v>2</v>
      </c>
      <c r="Q125" t="s">
        <v>47</v>
      </c>
    </row>
    <row r="126" spans="1:17" x14ac:dyDescent="0.3">
      <c r="A126" t="s">
        <v>376</v>
      </c>
      <c r="B126" s="6">
        <v>45180</v>
      </c>
      <c r="C126" s="6" t="str">
        <f t="shared" si="3"/>
        <v>Sep</v>
      </c>
      <c r="D126" t="s">
        <v>377</v>
      </c>
      <c r="E126" t="s">
        <v>19</v>
      </c>
      <c r="F126" t="s">
        <v>378</v>
      </c>
      <c r="G126">
        <v>4</v>
      </c>
      <c r="H126" s="7">
        <v>46.44</v>
      </c>
      <c r="I126" t="s">
        <v>19</v>
      </c>
      <c r="J126" t="s">
        <v>28</v>
      </c>
      <c r="K126">
        <v>0</v>
      </c>
      <c r="L126" s="7">
        <f t="shared" si="4"/>
        <v>185.76</v>
      </c>
      <c r="M126" s="7"/>
      <c r="O126">
        <f t="shared" si="5"/>
        <v>2</v>
      </c>
      <c r="Q126" t="s">
        <v>19</v>
      </c>
    </row>
    <row r="127" spans="1:17" x14ac:dyDescent="0.3">
      <c r="A127" t="s">
        <v>379</v>
      </c>
      <c r="B127" s="6">
        <v>45112</v>
      </c>
      <c r="C127" s="6" t="str">
        <f t="shared" si="3"/>
        <v>Jul</v>
      </c>
      <c r="D127" t="s">
        <v>380</v>
      </c>
      <c r="E127" t="s">
        <v>36</v>
      </c>
      <c r="F127" t="s">
        <v>347</v>
      </c>
      <c r="G127">
        <v>7</v>
      </c>
      <c r="H127" s="7">
        <v>196.04</v>
      </c>
      <c r="I127" t="s">
        <v>46</v>
      </c>
      <c r="J127" t="s">
        <v>72</v>
      </c>
      <c r="K127">
        <v>10</v>
      </c>
      <c r="L127" s="7">
        <f t="shared" si="4"/>
        <v>1372.28</v>
      </c>
      <c r="M127" s="7"/>
      <c r="O127">
        <f t="shared" si="5"/>
        <v>2</v>
      </c>
      <c r="Q127" t="s">
        <v>47</v>
      </c>
    </row>
    <row r="128" spans="1:17" x14ac:dyDescent="0.3">
      <c r="A128" t="s">
        <v>381</v>
      </c>
      <c r="B128" s="6">
        <v>45081</v>
      </c>
      <c r="C128" s="6" t="str">
        <f t="shared" si="3"/>
        <v>Jun</v>
      </c>
      <c r="D128" t="s">
        <v>382</v>
      </c>
      <c r="E128" t="s">
        <v>40</v>
      </c>
      <c r="F128" t="s">
        <v>383</v>
      </c>
      <c r="G128">
        <v>9</v>
      </c>
      <c r="H128" s="7">
        <v>190.1</v>
      </c>
      <c r="I128" t="s">
        <v>19</v>
      </c>
      <c r="J128" t="s">
        <v>42</v>
      </c>
      <c r="K128">
        <v>0</v>
      </c>
      <c r="L128" s="7">
        <f t="shared" si="4"/>
        <v>1710.8999999999999</v>
      </c>
      <c r="M128" s="7"/>
      <c r="O128">
        <f t="shared" si="5"/>
        <v>2</v>
      </c>
      <c r="Q128" t="s">
        <v>19</v>
      </c>
    </row>
    <row r="129" spans="1:17" x14ac:dyDescent="0.3">
      <c r="A129" t="s">
        <v>384</v>
      </c>
      <c r="B129" s="6">
        <v>44983</v>
      </c>
      <c r="C129" s="6" t="str">
        <f t="shared" si="3"/>
        <v>Feb</v>
      </c>
      <c r="D129" t="s">
        <v>385</v>
      </c>
      <c r="E129" t="s">
        <v>36</v>
      </c>
      <c r="F129" t="s">
        <v>386</v>
      </c>
      <c r="G129">
        <v>7</v>
      </c>
      <c r="H129" s="7">
        <v>443.71</v>
      </c>
      <c r="I129" t="s">
        <v>19</v>
      </c>
      <c r="J129" t="s">
        <v>42</v>
      </c>
      <c r="K129">
        <v>10</v>
      </c>
      <c r="L129" s="7">
        <f t="shared" si="4"/>
        <v>3105.97</v>
      </c>
      <c r="M129" s="7"/>
      <c r="O129">
        <f t="shared" si="5"/>
        <v>4</v>
      </c>
      <c r="Q129" t="s">
        <v>19</v>
      </c>
    </row>
    <row r="130" spans="1:17" x14ac:dyDescent="0.3">
      <c r="A130" t="s">
        <v>387</v>
      </c>
      <c r="B130" s="6">
        <v>44940</v>
      </c>
      <c r="C130" s="6" t="str">
        <f t="shared" si="3"/>
        <v>Jan</v>
      </c>
      <c r="D130" t="s">
        <v>388</v>
      </c>
      <c r="E130" t="s">
        <v>19</v>
      </c>
      <c r="F130" t="s">
        <v>389</v>
      </c>
      <c r="G130">
        <v>1</v>
      </c>
      <c r="H130" s="7">
        <v>252.16</v>
      </c>
      <c r="I130" t="s">
        <v>19</v>
      </c>
      <c r="J130" t="s">
        <v>22</v>
      </c>
      <c r="K130">
        <v>20</v>
      </c>
      <c r="L130" s="7">
        <f t="shared" si="4"/>
        <v>252.16</v>
      </c>
      <c r="M130" s="7"/>
      <c r="O130">
        <f t="shared" si="5"/>
        <v>2</v>
      </c>
      <c r="Q130" t="s">
        <v>19</v>
      </c>
    </row>
    <row r="131" spans="1:17" x14ac:dyDescent="0.3">
      <c r="A131" t="s">
        <v>390</v>
      </c>
      <c r="B131" s="6">
        <v>44932</v>
      </c>
      <c r="C131" s="6" t="str">
        <f t="shared" ref="C131:C194" si="6">TEXT(B131,"MMM")</f>
        <v>Jan</v>
      </c>
      <c r="D131" t="s">
        <v>391</v>
      </c>
      <c r="E131" t="s">
        <v>50</v>
      </c>
      <c r="F131" t="s">
        <v>198</v>
      </c>
      <c r="G131">
        <v>1</v>
      </c>
      <c r="H131" s="7">
        <v>80.180000000000007</v>
      </c>
      <c r="I131" t="s">
        <v>32</v>
      </c>
      <c r="J131" t="s">
        <v>42</v>
      </c>
      <c r="K131">
        <v>10</v>
      </c>
      <c r="L131" s="7">
        <f t="shared" ref="L131:L194" si="7">G131*H131</f>
        <v>80.180000000000007</v>
      </c>
      <c r="M131" s="7"/>
      <c r="O131">
        <f t="shared" si="5"/>
        <v>2</v>
      </c>
      <c r="Q131" t="s">
        <v>33</v>
      </c>
    </row>
    <row r="132" spans="1:17" x14ac:dyDescent="0.3">
      <c r="A132" t="s">
        <v>392</v>
      </c>
      <c r="B132" s="6">
        <v>45010</v>
      </c>
      <c r="C132" s="6" t="str">
        <f t="shared" si="6"/>
        <v>Mar</v>
      </c>
      <c r="D132" t="s">
        <v>393</v>
      </c>
      <c r="E132" t="s">
        <v>50</v>
      </c>
      <c r="F132" t="s">
        <v>289</v>
      </c>
      <c r="G132">
        <v>9</v>
      </c>
      <c r="H132" s="7">
        <v>167.64</v>
      </c>
      <c r="I132" t="s">
        <v>32</v>
      </c>
      <c r="J132" t="s">
        <v>87</v>
      </c>
      <c r="K132">
        <v>15</v>
      </c>
      <c r="L132" s="7">
        <f t="shared" si="7"/>
        <v>1508.7599999999998</v>
      </c>
      <c r="M132" s="7"/>
      <c r="O132">
        <f t="shared" ref="O132:O195" si="8">IF(L132&gt;3500,5,IF(L132&gt;3000,4,IF(L132&gt;2500,3,IF(L132&gt;2000,2,IF(L132&gt;1000,2,2)))))</f>
        <v>2</v>
      </c>
      <c r="Q132" t="s">
        <v>33</v>
      </c>
    </row>
    <row r="133" spans="1:17" x14ac:dyDescent="0.3">
      <c r="A133" t="s">
        <v>394</v>
      </c>
      <c r="B133" s="6">
        <v>45045</v>
      </c>
      <c r="C133" s="6" t="str">
        <f t="shared" si="6"/>
        <v>Apr</v>
      </c>
      <c r="D133" t="s">
        <v>395</v>
      </c>
      <c r="E133" t="s">
        <v>19</v>
      </c>
      <c r="F133" t="s">
        <v>116</v>
      </c>
      <c r="G133">
        <v>9</v>
      </c>
      <c r="H133" s="7">
        <v>31.96</v>
      </c>
      <c r="I133" t="s">
        <v>21</v>
      </c>
      <c r="J133" t="s">
        <v>42</v>
      </c>
      <c r="K133">
        <v>15</v>
      </c>
      <c r="L133" s="7">
        <f t="shared" si="7"/>
        <v>287.64</v>
      </c>
      <c r="M133" s="7"/>
      <c r="O133">
        <f t="shared" si="8"/>
        <v>2</v>
      </c>
      <c r="Q133" t="s">
        <v>23</v>
      </c>
    </row>
    <row r="134" spans="1:17" x14ac:dyDescent="0.3">
      <c r="A134" t="s">
        <v>396</v>
      </c>
      <c r="B134" s="6">
        <v>45223</v>
      </c>
      <c r="C134" s="6" t="str">
        <f t="shared" si="6"/>
        <v>Oct</v>
      </c>
      <c r="D134" t="s">
        <v>397</v>
      </c>
      <c r="E134" t="s">
        <v>26</v>
      </c>
      <c r="F134" t="s">
        <v>398</v>
      </c>
      <c r="G134">
        <v>4</v>
      </c>
      <c r="H134" s="7">
        <v>95.32</v>
      </c>
      <c r="I134" t="s">
        <v>32</v>
      </c>
      <c r="J134" t="s">
        <v>19</v>
      </c>
      <c r="K134">
        <v>15</v>
      </c>
      <c r="L134" s="7">
        <f t="shared" si="7"/>
        <v>381.28</v>
      </c>
      <c r="M134" s="7"/>
      <c r="O134">
        <f t="shared" si="8"/>
        <v>2</v>
      </c>
      <c r="Q134" t="s">
        <v>33</v>
      </c>
    </row>
    <row r="135" spans="1:17" x14ac:dyDescent="0.3">
      <c r="A135" t="s">
        <v>399</v>
      </c>
      <c r="B135" s="6">
        <v>45081</v>
      </c>
      <c r="C135" s="6" t="str">
        <f t="shared" si="6"/>
        <v>Jun</v>
      </c>
      <c r="D135" t="s">
        <v>400</v>
      </c>
      <c r="E135" t="s">
        <v>31</v>
      </c>
      <c r="F135" t="s">
        <v>295</v>
      </c>
      <c r="G135">
        <v>9</v>
      </c>
      <c r="H135" s="7">
        <v>482.78</v>
      </c>
      <c r="I135" t="s">
        <v>32</v>
      </c>
      <c r="J135" t="s">
        <v>19</v>
      </c>
      <c r="K135">
        <v>10</v>
      </c>
      <c r="L135" s="7">
        <f t="shared" si="7"/>
        <v>4345.0199999999995</v>
      </c>
      <c r="M135" s="7"/>
      <c r="O135">
        <f t="shared" si="8"/>
        <v>5</v>
      </c>
      <c r="Q135" t="s">
        <v>33</v>
      </c>
    </row>
    <row r="136" spans="1:17" x14ac:dyDescent="0.3">
      <c r="A136" t="s">
        <v>401</v>
      </c>
      <c r="B136" s="6">
        <v>45121</v>
      </c>
      <c r="C136" s="6" t="str">
        <f t="shared" si="6"/>
        <v>Jul</v>
      </c>
      <c r="D136" t="s">
        <v>402</v>
      </c>
      <c r="E136" t="s">
        <v>50</v>
      </c>
      <c r="F136" t="s">
        <v>403</v>
      </c>
      <c r="G136">
        <v>3</v>
      </c>
      <c r="H136" s="7">
        <v>216.95</v>
      </c>
      <c r="I136" t="s">
        <v>21</v>
      </c>
      <c r="J136" t="s">
        <v>28</v>
      </c>
      <c r="K136">
        <v>5</v>
      </c>
      <c r="L136" s="7">
        <f t="shared" si="7"/>
        <v>650.84999999999991</v>
      </c>
      <c r="M136" s="7"/>
      <c r="O136">
        <f t="shared" si="8"/>
        <v>2</v>
      </c>
      <c r="Q136" t="s">
        <v>23</v>
      </c>
    </row>
    <row r="137" spans="1:17" x14ac:dyDescent="0.3">
      <c r="A137" t="s">
        <v>404</v>
      </c>
      <c r="B137" s="6">
        <v>45195</v>
      </c>
      <c r="C137" s="6" t="str">
        <f t="shared" si="6"/>
        <v>Sep</v>
      </c>
      <c r="D137" t="s">
        <v>405</v>
      </c>
      <c r="E137" t="s">
        <v>36</v>
      </c>
      <c r="F137" t="s">
        <v>406</v>
      </c>
      <c r="G137">
        <v>7</v>
      </c>
      <c r="H137" s="7">
        <v>317.85000000000002</v>
      </c>
      <c r="I137" t="s">
        <v>46</v>
      </c>
      <c r="J137" t="s">
        <v>72</v>
      </c>
      <c r="K137">
        <v>15</v>
      </c>
      <c r="L137" s="7">
        <f t="shared" si="7"/>
        <v>2224.9500000000003</v>
      </c>
      <c r="M137" s="7"/>
      <c r="O137">
        <f t="shared" si="8"/>
        <v>2</v>
      </c>
      <c r="Q137" t="s">
        <v>47</v>
      </c>
    </row>
    <row r="138" spans="1:17" x14ac:dyDescent="0.3">
      <c r="A138" t="s">
        <v>407</v>
      </c>
      <c r="B138" s="6">
        <v>45105</v>
      </c>
      <c r="C138" s="6" t="str">
        <f t="shared" si="6"/>
        <v>Jun</v>
      </c>
      <c r="D138" t="s">
        <v>408</v>
      </c>
      <c r="E138" t="s">
        <v>36</v>
      </c>
      <c r="F138" t="s">
        <v>409</v>
      </c>
      <c r="G138">
        <v>6</v>
      </c>
      <c r="H138" s="7">
        <v>364.43</v>
      </c>
      <c r="I138" t="s">
        <v>19</v>
      </c>
      <c r="J138" t="s">
        <v>22</v>
      </c>
      <c r="K138">
        <v>20</v>
      </c>
      <c r="L138" s="7">
        <f t="shared" si="7"/>
        <v>2186.58</v>
      </c>
      <c r="M138" s="7"/>
      <c r="O138">
        <f t="shared" si="8"/>
        <v>2</v>
      </c>
      <c r="Q138" t="s">
        <v>19</v>
      </c>
    </row>
    <row r="139" spans="1:17" x14ac:dyDescent="0.3">
      <c r="A139" t="s">
        <v>410</v>
      </c>
      <c r="B139" s="6">
        <v>45071</v>
      </c>
      <c r="C139" s="6" t="str">
        <f t="shared" si="6"/>
        <v>May</v>
      </c>
      <c r="D139" t="s">
        <v>411</v>
      </c>
      <c r="E139" t="s">
        <v>26</v>
      </c>
      <c r="F139" t="s">
        <v>412</v>
      </c>
      <c r="G139">
        <v>8</v>
      </c>
      <c r="H139" s="7">
        <v>186.65</v>
      </c>
      <c r="I139" t="s">
        <v>21</v>
      </c>
      <c r="J139" t="s">
        <v>19</v>
      </c>
      <c r="K139">
        <v>10</v>
      </c>
      <c r="L139" s="7">
        <f t="shared" si="7"/>
        <v>1493.2</v>
      </c>
      <c r="M139" s="7"/>
      <c r="O139">
        <f t="shared" si="8"/>
        <v>2</v>
      </c>
      <c r="Q139" t="s">
        <v>23</v>
      </c>
    </row>
    <row r="140" spans="1:17" x14ac:dyDescent="0.3">
      <c r="A140" t="s">
        <v>413</v>
      </c>
      <c r="B140" s="6">
        <v>45142</v>
      </c>
      <c r="C140" s="6" t="str">
        <f t="shared" si="6"/>
        <v>Aug</v>
      </c>
      <c r="D140" t="s">
        <v>414</v>
      </c>
      <c r="E140" t="s">
        <v>31</v>
      </c>
      <c r="F140" t="s">
        <v>415</v>
      </c>
      <c r="G140">
        <v>9</v>
      </c>
      <c r="H140" s="7">
        <v>77.88</v>
      </c>
      <c r="I140" t="s">
        <v>103</v>
      </c>
      <c r="J140" t="s">
        <v>42</v>
      </c>
      <c r="K140">
        <v>5</v>
      </c>
      <c r="L140" s="7">
        <f t="shared" si="7"/>
        <v>700.92</v>
      </c>
      <c r="M140" s="7"/>
      <c r="O140">
        <f t="shared" si="8"/>
        <v>2</v>
      </c>
      <c r="Q140" t="s">
        <v>104</v>
      </c>
    </row>
    <row r="141" spans="1:17" x14ac:dyDescent="0.3">
      <c r="A141" t="s">
        <v>416</v>
      </c>
      <c r="B141" s="6">
        <v>45187</v>
      </c>
      <c r="C141" s="6" t="str">
        <f t="shared" si="6"/>
        <v>Sep</v>
      </c>
      <c r="D141" t="s">
        <v>221</v>
      </c>
      <c r="E141" t="s">
        <v>19</v>
      </c>
      <c r="F141" t="s">
        <v>417</v>
      </c>
      <c r="G141">
        <v>5</v>
      </c>
      <c r="H141" s="7">
        <v>107.26</v>
      </c>
      <c r="I141" t="s">
        <v>21</v>
      </c>
      <c r="J141" t="s">
        <v>19</v>
      </c>
      <c r="K141">
        <v>5</v>
      </c>
      <c r="L141" s="7">
        <f t="shared" si="7"/>
        <v>536.30000000000007</v>
      </c>
      <c r="M141" s="7"/>
      <c r="O141">
        <f t="shared" si="8"/>
        <v>2</v>
      </c>
      <c r="Q141" t="s">
        <v>23</v>
      </c>
    </row>
    <row r="142" spans="1:17" x14ac:dyDescent="0.3">
      <c r="A142" t="s">
        <v>418</v>
      </c>
      <c r="B142" s="6">
        <v>45267</v>
      </c>
      <c r="C142" s="6" t="str">
        <f t="shared" si="6"/>
        <v>Dec</v>
      </c>
      <c r="D142" t="s">
        <v>419</v>
      </c>
      <c r="E142" t="s">
        <v>26</v>
      </c>
      <c r="F142" t="s">
        <v>420</v>
      </c>
      <c r="G142">
        <v>1</v>
      </c>
      <c r="H142" s="7">
        <v>160.07</v>
      </c>
      <c r="I142" t="s">
        <v>46</v>
      </c>
      <c r="J142" t="s">
        <v>28</v>
      </c>
      <c r="K142">
        <v>15</v>
      </c>
      <c r="L142" s="7">
        <f t="shared" si="7"/>
        <v>160.07</v>
      </c>
      <c r="M142" s="7"/>
      <c r="O142">
        <f t="shared" si="8"/>
        <v>2</v>
      </c>
      <c r="Q142" t="s">
        <v>47</v>
      </c>
    </row>
    <row r="143" spans="1:17" x14ac:dyDescent="0.3">
      <c r="A143" t="s">
        <v>421</v>
      </c>
      <c r="B143" s="6">
        <v>45201</v>
      </c>
      <c r="C143" s="6" t="str">
        <f t="shared" si="6"/>
        <v>Oct</v>
      </c>
      <c r="D143" t="s">
        <v>422</v>
      </c>
      <c r="E143" t="s">
        <v>36</v>
      </c>
      <c r="F143" t="s">
        <v>423</v>
      </c>
      <c r="G143">
        <v>3</v>
      </c>
      <c r="H143" s="7">
        <v>319.85000000000002</v>
      </c>
      <c r="I143" t="s">
        <v>19</v>
      </c>
      <c r="J143" t="s">
        <v>42</v>
      </c>
      <c r="K143">
        <v>10</v>
      </c>
      <c r="L143" s="7">
        <f t="shared" si="7"/>
        <v>959.55000000000007</v>
      </c>
      <c r="M143" s="7"/>
      <c r="O143">
        <f t="shared" si="8"/>
        <v>2</v>
      </c>
      <c r="Q143" t="s">
        <v>19</v>
      </c>
    </row>
    <row r="144" spans="1:17" x14ac:dyDescent="0.3">
      <c r="A144" t="s">
        <v>424</v>
      </c>
      <c r="B144" s="6">
        <v>45230</v>
      </c>
      <c r="C144" s="6" t="str">
        <f t="shared" si="6"/>
        <v>Oct</v>
      </c>
      <c r="D144" t="s">
        <v>425</v>
      </c>
      <c r="E144" t="s">
        <v>36</v>
      </c>
      <c r="F144" t="s">
        <v>369</v>
      </c>
      <c r="G144">
        <v>8</v>
      </c>
      <c r="H144" s="7">
        <v>202.15</v>
      </c>
      <c r="I144" t="s">
        <v>103</v>
      </c>
      <c r="J144" t="s">
        <v>87</v>
      </c>
      <c r="K144">
        <v>0</v>
      </c>
      <c r="L144" s="7">
        <f t="shared" si="7"/>
        <v>1617.2</v>
      </c>
      <c r="M144" s="7"/>
      <c r="O144">
        <f t="shared" si="8"/>
        <v>2</v>
      </c>
      <c r="Q144" t="s">
        <v>104</v>
      </c>
    </row>
    <row r="145" spans="1:17" x14ac:dyDescent="0.3">
      <c r="A145" t="s">
        <v>426</v>
      </c>
      <c r="B145" s="6">
        <v>44989</v>
      </c>
      <c r="C145" s="6" t="str">
        <f t="shared" si="6"/>
        <v>Mar</v>
      </c>
      <c r="D145" t="s">
        <v>427</v>
      </c>
      <c r="E145" t="s">
        <v>40</v>
      </c>
      <c r="F145" t="s">
        <v>173</v>
      </c>
      <c r="G145">
        <v>6</v>
      </c>
      <c r="H145" s="7">
        <v>8.3699999999999992</v>
      </c>
      <c r="I145" t="s">
        <v>19</v>
      </c>
      <c r="J145" t="s">
        <v>28</v>
      </c>
      <c r="K145">
        <v>10</v>
      </c>
      <c r="L145" s="7">
        <f t="shared" si="7"/>
        <v>50.22</v>
      </c>
      <c r="M145" s="7"/>
      <c r="O145">
        <f t="shared" si="8"/>
        <v>2</v>
      </c>
      <c r="Q145" t="s">
        <v>19</v>
      </c>
    </row>
    <row r="146" spans="1:17" x14ac:dyDescent="0.3">
      <c r="A146" t="s">
        <v>428</v>
      </c>
      <c r="B146" s="6">
        <v>45241</v>
      </c>
      <c r="C146" s="6" t="str">
        <f t="shared" si="6"/>
        <v>Nov</v>
      </c>
      <c r="D146" t="s">
        <v>429</v>
      </c>
      <c r="E146" t="s">
        <v>19</v>
      </c>
      <c r="F146" t="s">
        <v>359</v>
      </c>
      <c r="G146">
        <v>8</v>
      </c>
      <c r="H146" s="7">
        <v>264.08999999999997</v>
      </c>
      <c r="I146" t="s">
        <v>32</v>
      </c>
      <c r="J146" t="s">
        <v>19</v>
      </c>
      <c r="K146">
        <v>10</v>
      </c>
      <c r="L146" s="7">
        <f t="shared" si="7"/>
        <v>2112.7199999999998</v>
      </c>
      <c r="M146" s="7"/>
      <c r="O146">
        <f t="shared" si="8"/>
        <v>2</v>
      </c>
      <c r="Q146" t="s">
        <v>33</v>
      </c>
    </row>
    <row r="147" spans="1:17" x14ac:dyDescent="0.3">
      <c r="A147" t="s">
        <v>430</v>
      </c>
      <c r="B147" s="6">
        <v>44941</v>
      </c>
      <c r="C147" s="6" t="str">
        <f t="shared" si="6"/>
        <v>Jan</v>
      </c>
      <c r="D147" t="s">
        <v>431</v>
      </c>
      <c r="E147" t="s">
        <v>19</v>
      </c>
      <c r="F147" t="s">
        <v>432</v>
      </c>
      <c r="G147">
        <v>9</v>
      </c>
      <c r="H147" s="7">
        <v>461.15</v>
      </c>
      <c r="I147" t="s">
        <v>21</v>
      </c>
      <c r="J147" t="s">
        <v>19</v>
      </c>
      <c r="K147">
        <v>5</v>
      </c>
      <c r="L147" s="7">
        <f t="shared" si="7"/>
        <v>4150.3499999999995</v>
      </c>
      <c r="M147" s="7"/>
      <c r="O147">
        <f t="shared" si="8"/>
        <v>5</v>
      </c>
      <c r="Q147" t="s">
        <v>23</v>
      </c>
    </row>
    <row r="148" spans="1:17" x14ac:dyDescent="0.3">
      <c r="A148" t="s">
        <v>433</v>
      </c>
      <c r="B148" s="6">
        <v>45279</v>
      </c>
      <c r="C148" s="6" t="str">
        <f t="shared" si="6"/>
        <v>Dec</v>
      </c>
      <c r="D148" t="s">
        <v>86</v>
      </c>
      <c r="E148" t="s">
        <v>62</v>
      </c>
      <c r="F148" t="s">
        <v>434</v>
      </c>
      <c r="G148">
        <v>4</v>
      </c>
      <c r="H148" s="7">
        <v>406.98</v>
      </c>
      <c r="I148" t="s">
        <v>21</v>
      </c>
      <c r="J148" t="s">
        <v>22</v>
      </c>
      <c r="K148">
        <v>5</v>
      </c>
      <c r="L148" s="7">
        <f t="shared" si="7"/>
        <v>1627.92</v>
      </c>
      <c r="M148" s="7"/>
      <c r="O148">
        <f t="shared" si="8"/>
        <v>2</v>
      </c>
      <c r="Q148" t="s">
        <v>23</v>
      </c>
    </row>
    <row r="149" spans="1:17" x14ac:dyDescent="0.3">
      <c r="A149" t="s">
        <v>435</v>
      </c>
      <c r="B149" s="6">
        <v>45136</v>
      </c>
      <c r="C149" s="6" t="str">
        <f t="shared" si="6"/>
        <v>Jul</v>
      </c>
      <c r="D149" t="s">
        <v>419</v>
      </c>
      <c r="E149" t="s">
        <v>19</v>
      </c>
      <c r="F149" t="s">
        <v>436</v>
      </c>
      <c r="G149">
        <v>1</v>
      </c>
      <c r="H149" s="7">
        <v>413.48</v>
      </c>
      <c r="I149" t="s">
        <v>32</v>
      </c>
      <c r="J149" t="s">
        <v>72</v>
      </c>
      <c r="K149">
        <v>10</v>
      </c>
      <c r="L149" s="7">
        <f t="shared" si="7"/>
        <v>413.48</v>
      </c>
      <c r="M149" s="7"/>
      <c r="O149">
        <f t="shared" si="8"/>
        <v>2</v>
      </c>
      <c r="Q149" t="s">
        <v>33</v>
      </c>
    </row>
    <row r="150" spans="1:17" x14ac:dyDescent="0.3">
      <c r="A150" t="s">
        <v>437</v>
      </c>
      <c r="B150" s="6">
        <v>44939</v>
      </c>
      <c r="C150" s="6" t="str">
        <f t="shared" si="6"/>
        <v>Jan</v>
      </c>
      <c r="D150" t="s">
        <v>438</v>
      </c>
      <c r="E150" t="s">
        <v>40</v>
      </c>
      <c r="F150" t="s">
        <v>145</v>
      </c>
      <c r="G150">
        <v>1</v>
      </c>
      <c r="H150" s="7">
        <v>398.55</v>
      </c>
      <c r="I150" t="s">
        <v>21</v>
      </c>
      <c r="J150" t="s">
        <v>19</v>
      </c>
      <c r="K150">
        <v>10</v>
      </c>
      <c r="L150" s="7">
        <f t="shared" si="7"/>
        <v>398.55</v>
      </c>
      <c r="M150" s="7"/>
      <c r="O150">
        <f t="shared" si="8"/>
        <v>2</v>
      </c>
      <c r="Q150" t="s">
        <v>23</v>
      </c>
    </row>
    <row r="151" spans="1:17" x14ac:dyDescent="0.3">
      <c r="A151" t="s">
        <v>439</v>
      </c>
      <c r="B151" s="6">
        <v>45089</v>
      </c>
      <c r="C151" s="6" t="str">
        <f t="shared" si="6"/>
        <v>Jun</v>
      </c>
      <c r="D151" t="s">
        <v>440</v>
      </c>
      <c r="E151" t="s">
        <v>19</v>
      </c>
      <c r="F151" t="s">
        <v>90</v>
      </c>
      <c r="G151">
        <v>4</v>
      </c>
      <c r="H151" s="7">
        <v>165.25</v>
      </c>
      <c r="I151" t="s">
        <v>103</v>
      </c>
      <c r="J151" t="s">
        <v>19</v>
      </c>
      <c r="K151">
        <v>5</v>
      </c>
      <c r="L151" s="7">
        <f t="shared" si="7"/>
        <v>661</v>
      </c>
      <c r="M151" s="7"/>
      <c r="O151">
        <f t="shared" si="8"/>
        <v>2</v>
      </c>
      <c r="Q151" t="s">
        <v>104</v>
      </c>
    </row>
    <row r="152" spans="1:17" x14ac:dyDescent="0.3">
      <c r="A152" t="s">
        <v>441</v>
      </c>
      <c r="B152" s="6">
        <v>45181</v>
      </c>
      <c r="C152" s="6" t="str">
        <f t="shared" si="6"/>
        <v>Sep</v>
      </c>
      <c r="D152" t="s">
        <v>442</v>
      </c>
      <c r="E152" t="s">
        <v>40</v>
      </c>
      <c r="F152" t="s">
        <v>436</v>
      </c>
      <c r="G152">
        <v>7</v>
      </c>
      <c r="H152" s="7">
        <v>383.77</v>
      </c>
      <c r="I152" t="s">
        <v>19</v>
      </c>
      <c r="J152" t="s">
        <v>42</v>
      </c>
      <c r="K152">
        <v>20</v>
      </c>
      <c r="L152" s="7">
        <f t="shared" si="7"/>
        <v>2686.39</v>
      </c>
      <c r="M152" s="7"/>
      <c r="O152">
        <f t="shared" si="8"/>
        <v>3</v>
      </c>
      <c r="Q152" t="s">
        <v>19</v>
      </c>
    </row>
    <row r="153" spans="1:17" x14ac:dyDescent="0.3">
      <c r="A153" t="s">
        <v>443</v>
      </c>
      <c r="B153" s="6">
        <v>44943</v>
      </c>
      <c r="C153" s="6" t="str">
        <f t="shared" si="6"/>
        <v>Jan</v>
      </c>
      <c r="D153" t="s">
        <v>444</v>
      </c>
      <c r="E153" t="s">
        <v>40</v>
      </c>
      <c r="F153" t="s">
        <v>445</v>
      </c>
      <c r="G153">
        <v>2</v>
      </c>
      <c r="H153" s="7">
        <v>75.86</v>
      </c>
      <c r="I153" t="s">
        <v>64</v>
      </c>
      <c r="J153" t="s">
        <v>19</v>
      </c>
      <c r="K153">
        <v>20</v>
      </c>
      <c r="L153" s="7">
        <f t="shared" si="7"/>
        <v>151.72</v>
      </c>
      <c r="M153" s="7"/>
      <c r="O153">
        <f t="shared" si="8"/>
        <v>2</v>
      </c>
      <c r="Q153" t="s">
        <v>65</v>
      </c>
    </row>
    <row r="154" spans="1:17" x14ac:dyDescent="0.3">
      <c r="A154" t="s">
        <v>446</v>
      </c>
      <c r="B154" s="6">
        <v>45209</v>
      </c>
      <c r="C154" s="6" t="str">
        <f t="shared" si="6"/>
        <v>Oct</v>
      </c>
      <c r="D154" t="s">
        <v>447</v>
      </c>
      <c r="E154" t="s">
        <v>19</v>
      </c>
      <c r="F154" t="s">
        <v>423</v>
      </c>
      <c r="G154">
        <v>3</v>
      </c>
      <c r="H154" s="7">
        <v>330.57</v>
      </c>
      <c r="I154" t="s">
        <v>21</v>
      </c>
      <c r="J154" t="s">
        <v>22</v>
      </c>
      <c r="K154">
        <v>0</v>
      </c>
      <c r="L154" s="7">
        <f t="shared" si="7"/>
        <v>991.71</v>
      </c>
      <c r="M154" s="7"/>
      <c r="O154">
        <f t="shared" si="8"/>
        <v>2</v>
      </c>
      <c r="Q154" t="s">
        <v>23</v>
      </c>
    </row>
    <row r="155" spans="1:17" x14ac:dyDescent="0.3">
      <c r="A155" t="s">
        <v>448</v>
      </c>
      <c r="B155" s="6">
        <v>45077</v>
      </c>
      <c r="C155" s="6" t="str">
        <f t="shared" si="6"/>
        <v>May</v>
      </c>
      <c r="D155" t="s">
        <v>449</v>
      </c>
      <c r="E155" t="s">
        <v>36</v>
      </c>
      <c r="F155" t="s">
        <v>450</v>
      </c>
      <c r="G155">
        <v>1</v>
      </c>
      <c r="H155" s="7">
        <v>322.58</v>
      </c>
      <c r="I155" t="s">
        <v>21</v>
      </c>
      <c r="J155" t="s">
        <v>28</v>
      </c>
      <c r="K155">
        <v>5</v>
      </c>
      <c r="L155" s="7">
        <f t="shared" si="7"/>
        <v>322.58</v>
      </c>
      <c r="M155" s="7"/>
      <c r="O155">
        <f t="shared" si="8"/>
        <v>2</v>
      </c>
      <c r="Q155" t="s">
        <v>23</v>
      </c>
    </row>
    <row r="156" spans="1:17" x14ac:dyDescent="0.3">
      <c r="A156" t="s">
        <v>451</v>
      </c>
      <c r="B156" s="6">
        <v>44979</v>
      </c>
      <c r="C156" s="6" t="str">
        <f t="shared" si="6"/>
        <v>Feb</v>
      </c>
      <c r="D156" t="s">
        <v>452</v>
      </c>
      <c r="E156" t="s">
        <v>50</v>
      </c>
      <c r="F156" t="s">
        <v>436</v>
      </c>
      <c r="G156">
        <v>5</v>
      </c>
      <c r="H156" s="7">
        <v>17.66</v>
      </c>
      <c r="I156" t="s">
        <v>64</v>
      </c>
      <c r="J156" t="s">
        <v>72</v>
      </c>
      <c r="K156">
        <v>15</v>
      </c>
      <c r="L156" s="7">
        <f t="shared" si="7"/>
        <v>88.3</v>
      </c>
      <c r="M156" s="7"/>
      <c r="O156">
        <f t="shared" si="8"/>
        <v>2</v>
      </c>
      <c r="Q156" t="s">
        <v>65</v>
      </c>
    </row>
    <row r="157" spans="1:17" x14ac:dyDescent="0.3">
      <c r="A157" t="s">
        <v>453</v>
      </c>
      <c r="B157" s="6">
        <v>45224</v>
      </c>
      <c r="C157" s="6" t="str">
        <f t="shared" si="6"/>
        <v>Oct</v>
      </c>
      <c r="D157" t="s">
        <v>454</v>
      </c>
      <c r="E157" t="s">
        <v>50</v>
      </c>
      <c r="F157" t="s">
        <v>295</v>
      </c>
      <c r="G157">
        <v>1</v>
      </c>
      <c r="H157" s="7">
        <v>395.05</v>
      </c>
      <c r="I157" t="s">
        <v>19</v>
      </c>
      <c r="J157" t="s">
        <v>19</v>
      </c>
      <c r="K157">
        <v>10</v>
      </c>
      <c r="L157" s="7">
        <f t="shared" si="7"/>
        <v>395.05</v>
      </c>
      <c r="M157" s="7"/>
      <c r="O157">
        <f t="shared" si="8"/>
        <v>2</v>
      </c>
      <c r="Q157" t="s">
        <v>19</v>
      </c>
    </row>
    <row r="158" spans="1:17" x14ac:dyDescent="0.3">
      <c r="A158" t="s">
        <v>455</v>
      </c>
      <c r="B158" s="6">
        <v>45150</v>
      </c>
      <c r="C158" s="6" t="str">
        <f t="shared" si="6"/>
        <v>Aug</v>
      </c>
      <c r="D158" t="s">
        <v>280</v>
      </c>
      <c r="E158" t="s">
        <v>19</v>
      </c>
      <c r="F158" t="s">
        <v>142</v>
      </c>
      <c r="G158">
        <v>8</v>
      </c>
      <c r="H158" s="7">
        <v>452.11</v>
      </c>
      <c r="I158" t="s">
        <v>21</v>
      </c>
      <c r="J158" t="s">
        <v>28</v>
      </c>
      <c r="K158">
        <v>5</v>
      </c>
      <c r="L158" s="7">
        <f t="shared" si="7"/>
        <v>3616.88</v>
      </c>
      <c r="M158" s="7"/>
      <c r="O158">
        <f t="shared" si="8"/>
        <v>5</v>
      </c>
      <c r="Q158" t="s">
        <v>23</v>
      </c>
    </row>
    <row r="159" spans="1:17" x14ac:dyDescent="0.3">
      <c r="A159" t="s">
        <v>456</v>
      </c>
      <c r="B159" s="6">
        <v>45174</v>
      </c>
      <c r="C159" s="6" t="str">
        <f t="shared" si="6"/>
        <v>Sep</v>
      </c>
      <c r="D159" t="s">
        <v>371</v>
      </c>
      <c r="E159" t="s">
        <v>19</v>
      </c>
      <c r="F159" t="s">
        <v>423</v>
      </c>
      <c r="G159">
        <v>1</v>
      </c>
      <c r="H159" s="7">
        <v>137.37</v>
      </c>
      <c r="I159" t="s">
        <v>103</v>
      </c>
      <c r="J159" t="s">
        <v>19</v>
      </c>
      <c r="K159">
        <v>20</v>
      </c>
      <c r="L159" s="7">
        <f t="shared" si="7"/>
        <v>137.37</v>
      </c>
      <c r="M159" s="7"/>
      <c r="O159">
        <f t="shared" si="8"/>
        <v>2</v>
      </c>
      <c r="Q159" t="s">
        <v>104</v>
      </c>
    </row>
    <row r="160" spans="1:17" x14ac:dyDescent="0.3">
      <c r="A160" t="s">
        <v>457</v>
      </c>
      <c r="B160" s="6">
        <v>45049</v>
      </c>
      <c r="C160" s="6" t="str">
        <f t="shared" si="6"/>
        <v>May</v>
      </c>
      <c r="D160" t="s">
        <v>458</v>
      </c>
      <c r="E160" t="s">
        <v>62</v>
      </c>
      <c r="F160" t="s">
        <v>278</v>
      </c>
      <c r="G160">
        <v>5</v>
      </c>
      <c r="H160" s="7">
        <v>407.13</v>
      </c>
      <c r="I160" t="s">
        <v>19</v>
      </c>
      <c r="J160" t="s">
        <v>28</v>
      </c>
      <c r="K160">
        <v>5</v>
      </c>
      <c r="L160" s="7">
        <f t="shared" si="7"/>
        <v>2035.65</v>
      </c>
      <c r="M160" s="7"/>
      <c r="O160">
        <f t="shared" si="8"/>
        <v>2</v>
      </c>
      <c r="Q160" t="s">
        <v>19</v>
      </c>
    </row>
    <row r="161" spans="1:17" x14ac:dyDescent="0.3">
      <c r="A161" t="s">
        <v>459</v>
      </c>
      <c r="B161" s="6">
        <v>45088</v>
      </c>
      <c r="C161" s="6" t="str">
        <f t="shared" si="6"/>
        <v>Jun</v>
      </c>
      <c r="D161" t="s">
        <v>460</v>
      </c>
      <c r="E161" t="s">
        <v>26</v>
      </c>
      <c r="F161" t="s">
        <v>331</v>
      </c>
      <c r="G161">
        <v>2</v>
      </c>
      <c r="H161" s="7">
        <v>45.79</v>
      </c>
      <c r="I161" t="s">
        <v>103</v>
      </c>
      <c r="J161" t="s">
        <v>28</v>
      </c>
      <c r="K161">
        <v>20</v>
      </c>
      <c r="L161" s="7">
        <f t="shared" si="7"/>
        <v>91.58</v>
      </c>
      <c r="M161" s="7"/>
      <c r="O161">
        <f t="shared" si="8"/>
        <v>2</v>
      </c>
      <c r="Q161" t="s">
        <v>104</v>
      </c>
    </row>
    <row r="162" spans="1:17" x14ac:dyDescent="0.3">
      <c r="A162" t="s">
        <v>461</v>
      </c>
      <c r="B162" s="6">
        <v>45190</v>
      </c>
      <c r="C162" s="6" t="str">
        <f t="shared" si="6"/>
        <v>Sep</v>
      </c>
      <c r="D162" t="s">
        <v>462</v>
      </c>
      <c r="E162" t="s">
        <v>19</v>
      </c>
      <c r="F162" t="s">
        <v>403</v>
      </c>
      <c r="G162">
        <v>2</v>
      </c>
      <c r="H162" s="7">
        <v>301.98</v>
      </c>
      <c r="I162" t="s">
        <v>21</v>
      </c>
      <c r="J162" t="s">
        <v>22</v>
      </c>
      <c r="K162">
        <v>5</v>
      </c>
      <c r="L162" s="7">
        <f t="shared" si="7"/>
        <v>603.96</v>
      </c>
      <c r="M162" s="7"/>
      <c r="O162">
        <f t="shared" si="8"/>
        <v>2</v>
      </c>
      <c r="Q162" t="s">
        <v>23</v>
      </c>
    </row>
    <row r="163" spans="1:17" x14ac:dyDescent="0.3">
      <c r="A163" t="s">
        <v>463</v>
      </c>
      <c r="B163" s="6">
        <v>44964</v>
      </c>
      <c r="C163" s="6" t="str">
        <f t="shared" si="6"/>
        <v>Feb</v>
      </c>
      <c r="D163" t="s">
        <v>361</v>
      </c>
      <c r="E163" t="s">
        <v>50</v>
      </c>
      <c r="F163" t="s">
        <v>148</v>
      </c>
      <c r="G163">
        <v>6</v>
      </c>
      <c r="H163" s="7">
        <v>245.4</v>
      </c>
      <c r="I163" t="s">
        <v>103</v>
      </c>
      <c r="J163" t="s">
        <v>87</v>
      </c>
      <c r="K163">
        <v>15</v>
      </c>
      <c r="L163" s="7">
        <f t="shared" si="7"/>
        <v>1472.4</v>
      </c>
      <c r="M163" s="7"/>
      <c r="O163">
        <f t="shared" si="8"/>
        <v>2</v>
      </c>
      <c r="Q163" t="s">
        <v>104</v>
      </c>
    </row>
    <row r="164" spans="1:17" x14ac:dyDescent="0.3">
      <c r="A164" t="s">
        <v>464</v>
      </c>
      <c r="B164" s="6">
        <v>45107</v>
      </c>
      <c r="C164" s="6" t="str">
        <f t="shared" si="6"/>
        <v>Jun</v>
      </c>
      <c r="D164" t="s">
        <v>465</v>
      </c>
      <c r="E164" t="s">
        <v>26</v>
      </c>
      <c r="F164" t="s">
        <v>466</v>
      </c>
      <c r="G164">
        <v>7</v>
      </c>
      <c r="H164" s="7">
        <v>275.23</v>
      </c>
      <c r="I164" t="s">
        <v>21</v>
      </c>
      <c r="J164" t="s">
        <v>42</v>
      </c>
      <c r="K164">
        <v>0</v>
      </c>
      <c r="L164" s="7">
        <f t="shared" si="7"/>
        <v>1926.6100000000001</v>
      </c>
      <c r="M164" s="7"/>
      <c r="O164">
        <f t="shared" si="8"/>
        <v>2</v>
      </c>
      <c r="Q164" t="s">
        <v>23</v>
      </c>
    </row>
    <row r="165" spans="1:17" x14ac:dyDescent="0.3">
      <c r="A165" t="s">
        <v>467</v>
      </c>
      <c r="B165" s="6">
        <v>45096</v>
      </c>
      <c r="C165" s="6" t="str">
        <f t="shared" si="6"/>
        <v>Jun</v>
      </c>
      <c r="D165" t="s">
        <v>468</v>
      </c>
      <c r="E165" t="s">
        <v>50</v>
      </c>
      <c r="F165" t="s">
        <v>469</v>
      </c>
      <c r="G165">
        <v>5</v>
      </c>
      <c r="H165" s="7">
        <v>463.47</v>
      </c>
      <c r="I165" t="s">
        <v>46</v>
      </c>
      <c r="J165" t="s">
        <v>42</v>
      </c>
      <c r="K165">
        <v>15</v>
      </c>
      <c r="L165" s="7">
        <f t="shared" si="7"/>
        <v>2317.3500000000004</v>
      </c>
      <c r="M165" s="7"/>
      <c r="O165">
        <f t="shared" si="8"/>
        <v>2</v>
      </c>
      <c r="Q165" t="s">
        <v>47</v>
      </c>
    </row>
    <row r="166" spans="1:17" x14ac:dyDescent="0.3">
      <c r="A166" t="s">
        <v>470</v>
      </c>
      <c r="B166" s="6">
        <v>45143</v>
      </c>
      <c r="C166" s="6" t="str">
        <f t="shared" si="6"/>
        <v>Aug</v>
      </c>
      <c r="D166" t="s">
        <v>471</v>
      </c>
      <c r="E166" t="s">
        <v>31</v>
      </c>
      <c r="F166" t="s">
        <v>472</v>
      </c>
      <c r="G166">
        <v>1</v>
      </c>
      <c r="H166" s="7">
        <v>436.3</v>
      </c>
      <c r="I166" t="s">
        <v>32</v>
      </c>
      <c r="J166" t="s">
        <v>19</v>
      </c>
      <c r="K166">
        <v>20</v>
      </c>
      <c r="L166" s="7">
        <f t="shared" si="7"/>
        <v>436.3</v>
      </c>
      <c r="M166" s="7"/>
      <c r="O166">
        <f t="shared" si="8"/>
        <v>2</v>
      </c>
      <c r="Q166" t="s">
        <v>33</v>
      </c>
    </row>
    <row r="167" spans="1:17" x14ac:dyDescent="0.3">
      <c r="A167" t="s">
        <v>473</v>
      </c>
      <c r="B167" s="6">
        <v>45195</v>
      </c>
      <c r="C167" s="6" t="str">
        <f t="shared" si="6"/>
        <v>Sep</v>
      </c>
      <c r="D167" t="s">
        <v>402</v>
      </c>
      <c r="E167" t="s">
        <v>50</v>
      </c>
      <c r="F167" t="s">
        <v>474</v>
      </c>
      <c r="G167">
        <v>1</v>
      </c>
      <c r="H167" s="7">
        <v>393.62</v>
      </c>
      <c r="I167" t="s">
        <v>46</v>
      </c>
      <c r="J167" t="s">
        <v>72</v>
      </c>
      <c r="K167">
        <v>10</v>
      </c>
      <c r="L167" s="7">
        <f t="shared" si="7"/>
        <v>393.62</v>
      </c>
      <c r="M167" s="7"/>
      <c r="O167">
        <f t="shared" si="8"/>
        <v>2</v>
      </c>
      <c r="Q167" t="s">
        <v>47</v>
      </c>
    </row>
    <row r="168" spans="1:17" x14ac:dyDescent="0.3">
      <c r="A168" t="s">
        <v>475</v>
      </c>
      <c r="B168" s="6">
        <v>45131</v>
      </c>
      <c r="C168" s="6" t="str">
        <f t="shared" si="6"/>
        <v>Jul</v>
      </c>
      <c r="D168" t="s">
        <v>476</v>
      </c>
      <c r="E168" t="s">
        <v>36</v>
      </c>
      <c r="F168" t="s">
        <v>113</v>
      </c>
      <c r="G168">
        <v>3</v>
      </c>
      <c r="H168" s="7">
        <v>140.47999999999999</v>
      </c>
      <c r="I168" t="s">
        <v>21</v>
      </c>
      <c r="J168" t="s">
        <v>19</v>
      </c>
      <c r="K168">
        <v>10</v>
      </c>
      <c r="L168" s="7">
        <f t="shared" si="7"/>
        <v>421.43999999999994</v>
      </c>
      <c r="M168" s="7"/>
      <c r="O168">
        <f t="shared" si="8"/>
        <v>2</v>
      </c>
      <c r="Q168" t="s">
        <v>23</v>
      </c>
    </row>
    <row r="169" spans="1:17" x14ac:dyDescent="0.3">
      <c r="A169" t="s">
        <v>477</v>
      </c>
      <c r="B169" s="6">
        <v>45035</v>
      </c>
      <c r="C169" s="6" t="str">
        <f t="shared" si="6"/>
        <v>Apr</v>
      </c>
      <c r="D169" t="s">
        <v>478</v>
      </c>
      <c r="E169" t="s">
        <v>50</v>
      </c>
      <c r="F169" t="s">
        <v>71</v>
      </c>
      <c r="G169">
        <v>2</v>
      </c>
      <c r="H169" s="7">
        <v>456.35</v>
      </c>
      <c r="I169" t="s">
        <v>21</v>
      </c>
      <c r="J169" t="s">
        <v>42</v>
      </c>
      <c r="K169">
        <v>10</v>
      </c>
      <c r="L169" s="7">
        <f t="shared" si="7"/>
        <v>912.7</v>
      </c>
      <c r="M169" s="7"/>
      <c r="O169">
        <f t="shared" si="8"/>
        <v>2</v>
      </c>
      <c r="Q169" t="s">
        <v>23</v>
      </c>
    </row>
    <row r="170" spans="1:17" x14ac:dyDescent="0.3">
      <c r="A170" t="s">
        <v>479</v>
      </c>
      <c r="B170" s="6">
        <v>45075</v>
      </c>
      <c r="C170" s="6" t="str">
        <f t="shared" si="6"/>
        <v>May</v>
      </c>
      <c r="D170" t="s">
        <v>61</v>
      </c>
      <c r="E170" t="s">
        <v>19</v>
      </c>
      <c r="F170" t="s">
        <v>480</v>
      </c>
      <c r="G170">
        <v>5</v>
      </c>
      <c r="H170" s="7">
        <v>53.27</v>
      </c>
      <c r="I170" t="s">
        <v>64</v>
      </c>
      <c r="J170" t="s">
        <v>87</v>
      </c>
      <c r="K170">
        <v>15</v>
      </c>
      <c r="L170" s="7">
        <f t="shared" si="7"/>
        <v>266.35000000000002</v>
      </c>
      <c r="M170" s="7"/>
      <c r="O170">
        <f t="shared" si="8"/>
        <v>2</v>
      </c>
      <c r="Q170" t="s">
        <v>65</v>
      </c>
    </row>
    <row r="171" spans="1:17" x14ac:dyDescent="0.3">
      <c r="A171" t="s">
        <v>481</v>
      </c>
      <c r="B171" s="6">
        <v>44930</v>
      </c>
      <c r="C171" s="6" t="str">
        <f t="shared" si="6"/>
        <v>Jan</v>
      </c>
      <c r="D171" t="s">
        <v>330</v>
      </c>
      <c r="E171" t="s">
        <v>50</v>
      </c>
      <c r="F171" t="s">
        <v>366</v>
      </c>
      <c r="G171">
        <v>6</v>
      </c>
      <c r="H171" s="7">
        <v>427.4</v>
      </c>
      <c r="I171" t="s">
        <v>32</v>
      </c>
      <c r="J171" t="s">
        <v>28</v>
      </c>
      <c r="K171">
        <v>5</v>
      </c>
      <c r="L171" s="7">
        <f t="shared" si="7"/>
        <v>2564.3999999999996</v>
      </c>
      <c r="M171" s="7"/>
      <c r="O171">
        <f t="shared" si="8"/>
        <v>3</v>
      </c>
      <c r="Q171" t="s">
        <v>33</v>
      </c>
    </row>
    <row r="172" spans="1:17" x14ac:dyDescent="0.3">
      <c r="A172" t="s">
        <v>482</v>
      </c>
      <c r="B172" s="6">
        <v>45280</v>
      </c>
      <c r="C172" s="6" t="str">
        <f t="shared" si="6"/>
        <v>Dec</v>
      </c>
      <c r="D172" t="s">
        <v>483</v>
      </c>
      <c r="E172" t="s">
        <v>19</v>
      </c>
      <c r="F172" t="s">
        <v>99</v>
      </c>
      <c r="G172">
        <v>7</v>
      </c>
      <c r="H172" s="7">
        <v>167.44</v>
      </c>
      <c r="I172" t="s">
        <v>103</v>
      </c>
      <c r="J172" t="s">
        <v>19</v>
      </c>
      <c r="K172">
        <v>0</v>
      </c>
      <c r="L172" s="7">
        <f t="shared" si="7"/>
        <v>1172.08</v>
      </c>
      <c r="M172" s="7"/>
      <c r="O172">
        <f t="shared" si="8"/>
        <v>2</v>
      </c>
      <c r="Q172" t="s">
        <v>104</v>
      </c>
    </row>
    <row r="173" spans="1:17" x14ac:dyDescent="0.3">
      <c r="A173" t="s">
        <v>484</v>
      </c>
      <c r="B173" s="6">
        <v>45263</v>
      </c>
      <c r="C173" s="6" t="str">
        <f t="shared" si="6"/>
        <v>Dec</v>
      </c>
      <c r="D173" t="s">
        <v>80</v>
      </c>
      <c r="E173" t="s">
        <v>19</v>
      </c>
      <c r="F173" t="s">
        <v>398</v>
      </c>
      <c r="G173">
        <v>4</v>
      </c>
      <c r="H173" s="7">
        <v>31.62</v>
      </c>
      <c r="I173" t="s">
        <v>64</v>
      </c>
      <c r="J173" t="s">
        <v>72</v>
      </c>
      <c r="K173">
        <v>5</v>
      </c>
      <c r="L173" s="7">
        <f t="shared" si="7"/>
        <v>126.48</v>
      </c>
      <c r="M173" s="7"/>
      <c r="O173">
        <f t="shared" si="8"/>
        <v>2</v>
      </c>
      <c r="Q173" t="s">
        <v>65</v>
      </c>
    </row>
    <row r="174" spans="1:17" x14ac:dyDescent="0.3">
      <c r="A174" t="s">
        <v>485</v>
      </c>
      <c r="B174" s="6">
        <v>45030</v>
      </c>
      <c r="C174" s="6" t="str">
        <f t="shared" si="6"/>
        <v>Apr</v>
      </c>
      <c r="D174" t="s">
        <v>35</v>
      </c>
      <c r="E174" t="s">
        <v>19</v>
      </c>
      <c r="F174" t="s">
        <v>486</v>
      </c>
      <c r="G174">
        <v>7</v>
      </c>
      <c r="H174" s="7">
        <v>336.33</v>
      </c>
      <c r="I174" t="s">
        <v>103</v>
      </c>
      <c r="J174" t="s">
        <v>28</v>
      </c>
      <c r="K174">
        <v>5</v>
      </c>
      <c r="L174" s="7">
        <f t="shared" si="7"/>
        <v>2354.31</v>
      </c>
      <c r="M174" s="7"/>
      <c r="O174">
        <f t="shared" si="8"/>
        <v>2</v>
      </c>
      <c r="Q174" t="s">
        <v>104</v>
      </c>
    </row>
    <row r="175" spans="1:17" x14ac:dyDescent="0.3">
      <c r="A175" t="s">
        <v>487</v>
      </c>
      <c r="B175" s="6">
        <v>45022</v>
      </c>
      <c r="C175" s="6" t="str">
        <f t="shared" si="6"/>
        <v>Apr</v>
      </c>
      <c r="D175" t="s">
        <v>230</v>
      </c>
      <c r="E175" t="s">
        <v>31</v>
      </c>
      <c r="F175" t="s">
        <v>488</v>
      </c>
      <c r="G175">
        <v>8</v>
      </c>
      <c r="H175" s="7">
        <v>119.48</v>
      </c>
      <c r="I175" t="s">
        <v>19</v>
      </c>
      <c r="J175" t="s">
        <v>19</v>
      </c>
      <c r="K175">
        <v>15</v>
      </c>
      <c r="L175" s="7">
        <f t="shared" si="7"/>
        <v>955.84</v>
      </c>
      <c r="M175" s="7"/>
      <c r="O175">
        <f t="shared" si="8"/>
        <v>2</v>
      </c>
      <c r="Q175" t="s">
        <v>19</v>
      </c>
    </row>
    <row r="176" spans="1:17" x14ac:dyDescent="0.3">
      <c r="A176" t="s">
        <v>489</v>
      </c>
      <c r="B176" s="6">
        <v>44988</v>
      </c>
      <c r="C176" s="6" t="str">
        <f t="shared" si="6"/>
        <v>Mar</v>
      </c>
      <c r="D176" t="s">
        <v>490</v>
      </c>
      <c r="E176" t="s">
        <v>62</v>
      </c>
      <c r="F176" t="s">
        <v>78</v>
      </c>
      <c r="G176">
        <v>1</v>
      </c>
      <c r="H176" s="7">
        <v>125.57</v>
      </c>
      <c r="I176" t="s">
        <v>21</v>
      </c>
      <c r="J176" t="s">
        <v>22</v>
      </c>
      <c r="K176">
        <v>0</v>
      </c>
      <c r="L176" s="7">
        <f t="shared" si="7"/>
        <v>125.57</v>
      </c>
      <c r="M176" s="7"/>
      <c r="O176">
        <f t="shared" si="8"/>
        <v>2</v>
      </c>
      <c r="Q176" t="s">
        <v>23</v>
      </c>
    </row>
    <row r="177" spans="1:17" x14ac:dyDescent="0.3">
      <c r="A177" t="s">
        <v>491</v>
      </c>
      <c r="B177" s="6">
        <v>45209</v>
      </c>
      <c r="C177" s="6" t="str">
        <f t="shared" si="6"/>
        <v>Oct</v>
      </c>
      <c r="D177" t="s">
        <v>492</v>
      </c>
      <c r="E177" t="s">
        <v>36</v>
      </c>
      <c r="F177" t="s">
        <v>131</v>
      </c>
      <c r="G177">
        <v>6</v>
      </c>
      <c r="H177" s="7">
        <v>156.49</v>
      </c>
      <c r="I177" t="s">
        <v>103</v>
      </c>
      <c r="J177" t="s">
        <v>28</v>
      </c>
      <c r="K177">
        <v>10</v>
      </c>
      <c r="L177" s="7">
        <f t="shared" si="7"/>
        <v>938.94</v>
      </c>
      <c r="M177" s="7"/>
      <c r="O177">
        <f t="shared" si="8"/>
        <v>2</v>
      </c>
      <c r="Q177" t="s">
        <v>104</v>
      </c>
    </row>
    <row r="178" spans="1:17" x14ac:dyDescent="0.3">
      <c r="A178" t="s">
        <v>493</v>
      </c>
      <c r="B178" s="6">
        <v>45196</v>
      </c>
      <c r="C178" s="6" t="str">
        <f t="shared" si="6"/>
        <v>Sep</v>
      </c>
      <c r="D178" t="s">
        <v>494</v>
      </c>
      <c r="E178" t="s">
        <v>26</v>
      </c>
      <c r="F178" t="s">
        <v>292</v>
      </c>
      <c r="G178">
        <v>8</v>
      </c>
      <c r="H178" s="7">
        <v>36.520000000000003</v>
      </c>
      <c r="I178" t="s">
        <v>19</v>
      </c>
      <c r="J178" t="s">
        <v>19</v>
      </c>
      <c r="K178">
        <v>5</v>
      </c>
      <c r="L178" s="7">
        <f t="shared" si="7"/>
        <v>292.16000000000003</v>
      </c>
      <c r="M178" s="7"/>
      <c r="O178">
        <f t="shared" si="8"/>
        <v>2</v>
      </c>
      <c r="Q178" t="s">
        <v>19</v>
      </c>
    </row>
    <row r="179" spans="1:17" x14ac:dyDescent="0.3">
      <c r="A179" t="s">
        <v>495</v>
      </c>
      <c r="B179" s="6">
        <v>44949</v>
      </c>
      <c r="C179" s="6" t="str">
        <f t="shared" si="6"/>
        <v>Jan</v>
      </c>
      <c r="D179" t="s">
        <v>496</v>
      </c>
      <c r="E179" t="s">
        <v>62</v>
      </c>
      <c r="F179" t="s">
        <v>270</v>
      </c>
      <c r="G179">
        <v>5</v>
      </c>
      <c r="H179" s="7">
        <v>92.68</v>
      </c>
      <c r="I179" t="s">
        <v>32</v>
      </c>
      <c r="J179" t="s">
        <v>22</v>
      </c>
      <c r="K179">
        <v>0</v>
      </c>
      <c r="L179" s="7">
        <f t="shared" si="7"/>
        <v>463.40000000000003</v>
      </c>
      <c r="M179" s="7"/>
      <c r="O179">
        <f t="shared" si="8"/>
        <v>2</v>
      </c>
      <c r="Q179" t="s">
        <v>33</v>
      </c>
    </row>
    <row r="180" spans="1:17" x14ac:dyDescent="0.3">
      <c r="A180" t="s">
        <v>497</v>
      </c>
      <c r="B180" s="6">
        <v>45212</v>
      </c>
      <c r="C180" s="6" t="str">
        <f t="shared" si="6"/>
        <v>Oct</v>
      </c>
      <c r="D180" t="s">
        <v>498</v>
      </c>
      <c r="E180" t="s">
        <v>40</v>
      </c>
      <c r="F180" t="s">
        <v>499</v>
      </c>
      <c r="G180">
        <v>5</v>
      </c>
      <c r="H180" s="7">
        <v>7.54</v>
      </c>
      <c r="I180" t="s">
        <v>64</v>
      </c>
      <c r="J180" t="s">
        <v>72</v>
      </c>
      <c r="K180">
        <v>10</v>
      </c>
      <c r="L180" s="7">
        <f t="shared" si="7"/>
        <v>37.700000000000003</v>
      </c>
      <c r="M180" s="7"/>
      <c r="O180">
        <f t="shared" si="8"/>
        <v>2</v>
      </c>
      <c r="Q180" t="s">
        <v>65</v>
      </c>
    </row>
    <row r="181" spans="1:17" x14ac:dyDescent="0.3">
      <c r="A181" t="s">
        <v>500</v>
      </c>
      <c r="B181" s="6">
        <v>45038</v>
      </c>
      <c r="C181" s="6" t="str">
        <f t="shared" si="6"/>
        <v>Apr</v>
      </c>
      <c r="D181" t="s">
        <v>501</v>
      </c>
      <c r="E181" t="s">
        <v>62</v>
      </c>
      <c r="F181" t="s">
        <v>322</v>
      </c>
      <c r="G181">
        <v>2</v>
      </c>
      <c r="H181" s="7">
        <v>225.48</v>
      </c>
      <c r="I181" t="s">
        <v>64</v>
      </c>
      <c r="J181" t="s">
        <v>42</v>
      </c>
      <c r="K181">
        <v>5</v>
      </c>
      <c r="L181" s="7">
        <f t="shared" si="7"/>
        <v>450.96</v>
      </c>
      <c r="M181" s="7"/>
      <c r="O181">
        <f t="shared" si="8"/>
        <v>2</v>
      </c>
      <c r="Q181" t="s">
        <v>65</v>
      </c>
    </row>
    <row r="182" spans="1:17" x14ac:dyDescent="0.3">
      <c r="A182" t="s">
        <v>502</v>
      </c>
      <c r="B182" s="6">
        <v>45025</v>
      </c>
      <c r="C182" s="6" t="str">
        <f t="shared" si="6"/>
        <v>Apr</v>
      </c>
      <c r="D182" t="s">
        <v>503</v>
      </c>
      <c r="E182" t="s">
        <v>36</v>
      </c>
      <c r="F182" t="s">
        <v>504</v>
      </c>
      <c r="G182">
        <v>6</v>
      </c>
      <c r="H182" s="7">
        <v>46.71</v>
      </c>
      <c r="I182" t="s">
        <v>32</v>
      </c>
      <c r="J182" t="s">
        <v>87</v>
      </c>
      <c r="K182">
        <v>0</v>
      </c>
      <c r="L182" s="7">
        <f t="shared" si="7"/>
        <v>280.26</v>
      </c>
      <c r="M182" s="7"/>
      <c r="O182">
        <f t="shared" si="8"/>
        <v>2</v>
      </c>
      <c r="Q182" t="s">
        <v>33</v>
      </c>
    </row>
    <row r="183" spans="1:17" x14ac:dyDescent="0.3">
      <c r="A183" t="s">
        <v>505</v>
      </c>
      <c r="B183" s="6">
        <v>45089</v>
      </c>
      <c r="C183" s="6" t="str">
        <f t="shared" si="6"/>
        <v>Jun</v>
      </c>
      <c r="D183" t="s">
        <v>506</v>
      </c>
      <c r="E183" t="s">
        <v>19</v>
      </c>
      <c r="F183" t="s">
        <v>208</v>
      </c>
      <c r="G183">
        <v>6</v>
      </c>
      <c r="H183" s="7">
        <v>342.91</v>
      </c>
      <c r="I183" t="s">
        <v>103</v>
      </c>
      <c r="J183" t="s">
        <v>87</v>
      </c>
      <c r="K183">
        <v>15</v>
      </c>
      <c r="L183" s="7">
        <f t="shared" si="7"/>
        <v>2057.46</v>
      </c>
      <c r="M183" s="7"/>
      <c r="O183">
        <f t="shared" si="8"/>
        <v>2</v>
      </c>
      <c r="Q183" t="s">
        <v>104</v>
      </c>
    </row>
    <row r="184" spans="1:17" x14ac:dyDescent="0.3">
      <c r="A184" t="s">
        <v>507</v>
      </c>
      <c r="B184" s="6">
        <v>45066</v>
      </c>
      <c r="C184" s="6" t="str">
        <f t="shared" si="6"/>
        <v>May</v>
      </c>
      <c r="D184" t="s">
        <v>508</v>
      </c>
      <c r="E184" t="s">
        <v>19</v>
      </c>
      <c r="F184" t="s">
        <v>94</v>
      </c>
      <c r="G184">
        <v>1</v>
      </c>
      <c r="H184" s="7">
        <v>121.63</v>
      </c>
      <c r="I184" t="s">
        <v>64</v>
      </c>
      <c r="J184" t="s">
        <v>72</v>
      </c>
      <c r="K184">
        <v>10</v>
      </c>
      <c r="L184" s="7">
        <f t="shared" si="7"/>
        <v>121.63</v>
      </c>
      <c r="M184" s="7"/>
      <c r="O184">
        <f t="shared" si="8"/>
        <v>2</v>
      </c>
      <c r="Q184" t="s">
        <v>65</v>
      </c>
    </row>
    <row r="185" spans="1:17" x14ac:dyDescent="0.3">
      <c r="A185" t="s">
        <v>509</v>
      </c>
      <c r="B185" s="6">
        <v>44941</v>
      </c>
      <c r="C185" s="6" t="str">
        <f t="shared" si="6"/>
        <v>Jan</v>
      </c>
      <c r="D185" t="s">
        <v>510</v>
      </c>
      <c r="E185" t="s">
        <v>40</v>
      </c>
      <c r="F185" t="s">
        <v>511</v>
      </c>
      <c r="G185">
        <v>9</v>
      </c>
      <c r="H185" s="7">
        <v>472.07</v>
      </c>
      <c r="I185" t="s">
        <v>19</v>
      </c>
      <c r="J185" t="s">
        <v>19</v>
      </c>
      <c r="K185">
        <v>10</v>
      </c>
      <c r="L185" s="7">
        <f t="shared" si="7"/>
        <v>4248.63</v>
      </c>
      <c r="M185" s="7"/>
      <c r="O185">
        <f t="shared" si="8"/>
        <v>5</v>
      </c>
      <c r="Q185" t="s">
        <v>19</v>
      </c>
    </row>
    <row r="186" spans="1:17" x14ac:dyDescent="0.3">
      <c r="A186" t="s">
        <v>512</v>
      </c>
      <c r="B186" s="6">
        <v>45127</v>
      </c>
      <c r="C186" s="6" t="str">
        <f t="shared" si="6"/>
        <v>Jul</v>
      </c>
      <c r="D186" t="s">
        <v>513</v>
      </c>
      <c r="E186" t="s">
        <v>50</v>
      </c>
      <c r="F186" t="s">
        <v>514</v>
      </c>
      <c r="G186">
        <v>6</v>
      </c>
      <c r="H186" s="7">
        <v>436.27</v>
      </c>
      <c r="I186" t="s">
        <v>103</v>
      </c>
      <c r="J186" t="s">
        <v>19</v>
      </c>
      <c r="K186">
        <v>5</v>
      </c>
      <c r="L186" s="7">
        <f t="shared" si="7"/>
        <v>2617.62</v>
      </c>
      <c r="M186" s="7"/>
      <c r="O186">
        <f t="shared" si="8"/>
        <v>3</v>
      </c>
      <c r="Q186" t="s">
        <v>104</v>
      </c>
    </row>
    <row r="187" spans="1:17" x14ac:dyDescent="0.3">
      <c r="A187" t="s">
        <v>515</v>
      </c>
      <c r="B187" s="6">
        <v>45104</v>
      </c>
      <c r="C187" s="6" t="str">
        <f t="shared" si="6"/>
        <v>Jun</v>
      </c>
      <c r="D187" t="s">
        <v>516</v>
      </c>
      <c r="E187" t="s">
        <v>19</v>
      </c>
      <c r="F187" t="s">
        <v>517</v>
      </c>
      <c r="G187">
        <v>3</v>
      </c>
      <c r="H187" s="7">
        <v>148.27000000000001</v>
      </c>
      <c r="I187" t="s">
        <v>64</v>
      </c>
      <c r="J187" t="s">
        <v>72</v>
      </c>
      <c r="K187">
        <v>5</v>
      </c>
      <c r="L187" s="7">
        <f t="shared" si="7"/>
        <v>444.81000000000006</v>
      </c>
      <c r="M187" s="7"/>
      <c r="O187">
        <f t="shared" si="8"/>
        <v>2</v>
      </c>
      <c r="Q187" t="s">
        <v>65</v>
      </c>
    </row>
    <row r="188" spans="1:17" x14ac:dyDescent="0.3">
      <c r="A188" t="s">
        <v>518</v>
      </c>
      <c r="B188" s="6">
        <v>45067</v>
      </c>
      <c r="C188" s="6" t="str">
        <f t="shared" si="6"/>
        <v>May</v>
      </c>
      <c r="D188" t="s">
        <v>519</v>
      </c>
      <c r="E188" t="s">
        <v>31</v>
      </c>
      <c r="F188" t="s">
        <v>520</v>
      </c>
      <c r="G188">
        <v>4</v>
      </c>
      <c r="H188" s="7">
        <v>392.69</v>
      </c>
      <c r="I188" t="s">
        <v>46</v>
      </c>
      <c r="J188" t="s">
        <v>87</v>
      </c>
      <c r="K188">
        <v>0</v>
      </c>
      <c r="L188" s="7">
        <f t="shared" si="7"/>
        <v>1570.76</v>
      </c>
      <c r="M188" s="7"/>
      <c r="O188">
        <f t="shared" si="8"/>
        <v>2</v>
      </c>
      <c r="Q188" t="s">
        <v>47</v>
      </c>
    </row>
    <row r="189" spans="1:17" x14ac:dyDescent="0.3">
      <c r="A189" t="s">
        <v>521</v>
      </c>
      <c r="B189" s="6">
        <v>44998</v>
      </c>
      <c r="C189" s="6" t="str">
        <f t="shared" si="6"/>
        <v>Mar</v>
      </c>
      <c r="D189" t="s">
        <v>522</v>
      </c>
      <c r="E189" t="s">
        <v>19</v>
      </c>
      <c r="F189" t="s">
        <v>523</v>
      </c>
      <c r="G189">
        <v>4</v>
      </c>
      <c r="H189" s="7">
        <v>402.61</v>
      </c>
      <c r="I189" t="s">
        <v>19</v>
      </c>
      <c r="J189" t="s">
        <v>19</v>
      </c>
      <c r="K189">
        <v>10</v>
      </c>
      <c r="L189" s="7">
        <f t="shared" si="7"/>
        <v>1610.44</v>
      </c>
      <c r="M189" s="7"/>
      <c r="O189">
        <f t="shared" si="8"/>
        <v>2</v>
      </c>
      <c r="Q189" t="s">
        <v>19</v>
      </c>
    </row>
    <row r="190" spans="1:17" x14ac:dyDescent="0.3">
      <c r="A190" t="s">
        <v>524</v>
      </c>
      <c r="B190" s="6">
        <v>44943</v>
      </c>
      <c r="C190" s="6" t="str">
        <f t="shared" si="6"/>
        <v>Jan</v>
      </c>
      <c r="D190" t="s">
        <v>525</v>
      </c>
      <c r="E190" t="s">
        <v>40</v>
      </c>
      <c r="F190" t="s">
        <v>372</v>
      </c>
      <c r="G190">
        <v>3</v>
      </c>
      <c r="H190" s="7">
        <v>493.35</v>
      </c>
      <c r="I190" t="s">
        <v>103</v>
      </c>
      <c r="J190" t="s">
        <v>87</v>
      </c>
      <c r="K190">
        <v>5</v>
      </c>
      <c r="L190" s="7">
        <f t="shared" si="7"/>
        <v>1480.0500000000002</v>
      </c>
      <c r="M190" s="7"/>
      <c r="O190">
        <f t="shared" si="8"/>
        <v>2</v>
      </c>
      <c r="Q190" t="s">
        <v>104</v>
      </c>
    </row>
    <row r="191" spans="1:17" x14ac:dyDescent="0.3">
      <c r="A191" t="s">
        <v>526</v>
      </c>
      <c r="B191" s="6">
        <v>45257</v>
      </c>
      <c r="C191" s="6" t="str">
        <f t="shared" si="6"/>
        <v>Nov</v>
      </c>
      <c r="D191" t="s">
        <v>527</v>
      </c>
      <c r="E191" t="s">
        <v>40</v>
      </c>
      <c r="F191" t="s">
        <v>436</v>
      </c>
      <c r="G191">
        <v>3</v>
      </c>
      <c r="H191" s="7">
        <v>300.93</v>
      </c>
      <c r="I191" t="s">
        <v>19</v>
      </c>
      <c r="J191" t="s">
        <v>28</v>
      </c>
      <c r="K191">
        <v>10</v>
      </c>
      <c r="L191" s="7">
        <f t="shared" si="7"/>
        <v>902.79</v>
      </c>
      <c r="M191" s="7"/>
      <c r="O191">
        <f t="shared" si="8"/>
        <v>2</v>
      </c>
      <c r="Q191" t="s">
        <v>19</v>
      </c>
    </row>
    <row r="192" spans="1:17" x14ac:dyDescent="0.3">
      <c r="A192" t="s">
        <v>528</v>
      </c>
      <c r="B192" s="6">
        <v>45133</v>
      </c>
      <c r="C192" s="6" t="str">
        <f t="shared" si="6"/>
        <v>Jul</v>
      </c>
      <c r="D192" t="s">
        <v>210</v>
      </c>
      <c r="E192" t="s">
        <v>19</v>
      </c>
      <c r="F192" t="s">
        <v>99</v>
      </c>
      <c r="G192">
        <v>3</v>
      </c>
      <c r="H192" s="7">
        <v>252.16</v>
      </c>
      <c r="I192" t="s">
        <v>103</v>
      </c>
      <c r="J192" t="s">
        <v>22</v>
      </c>
      <c r="K192">
        <v>5</v>
      </c>
      <c r="L192" s="7">
        <f t="shared" si="7"/>
        <v>756.48</v>
      </c>
      <c r="M192" s="7"/>
      <c r="O192">
        <f t="shared" si="8"/>
        <v>2</v>
      </c>
      <c r="Q192" t="s">
        <v>104</v>
      </c>
    </row>
    <row r="193" spans="1:17" x14ac:dyDescent="0.3">
      <c r="A193" t="s">
        <v>529</v>
      </c>
      <c r="B193" s="6">
        <v>45105</v>
      </c>
      <c r="C193" s="6" t="str">
        <f t="shared" si="6"/>
        <v>Jun</v>
      </c>
      <c r="D193" t="s">
        <v>530</v>
      </c>
      <c r="E193" t="s">
        <v>19</v>
      </c>
      <c r="F193" t="s">
        <v>182</v>
      </c>
      <c r="G193">
        <v>4</v>
      </c>
      <c r="H193" s="7">
        <v>325.18</v>
      </c>
      <c r="I193" t="s">
        <v>64</v>
      </c>
      <c r="J193" t="s">
        <v>19</v>
      </c>
      <c r="K193">
        <v>10</v>
      </c>
      <c r="L193" s="7">
        <f t="shared" si="7"/>
        <v>1300.72</v>
      </c>
      <c r="M193" s="7"/>
      <c r="O193">
        <f t="shared" si="8"/>
        <v>2</v>
      </c>
      <c r="Q193" t="s">
        <v>65</v>
      </c>
    </row>
    <row r="194" spans="1:17" x14ac:dyDescent="0.3">
      <c r="A194" t="s">
        <v>531</v>
      </c>
      <c r="B194" s="6">
        <v>44999</v>
      </c>
      <c r="C194" s="6" t="str">
        <f t="shared" si="6"/>
        <v>Mar</v>
      </c>
      <c r="D194" t="s">
        <v>207</v>
      </c>
      <c r="E194" t="s">
        <v>19</v>
      </c>
      <c r="F194" t="s">
        <v>292</v>
      </c>
      <c r="G194">
        <v>7</v>
      </c>
      <c r="H194" s="7">
        <v>314.36</v>
      </c>
      <c r="I194" t="s">
        <v>64</v>
      </c>
      <c r="J194" t="s">
        <v>42</v>
      </c>
      <c r="K194">
        <v>20</v>
      </c>
      <c r="L194" s="7">
        <f t="shared" si="7"/>
        <v>2200.52</v>
      </c>
      <c r="M194" s="7"/>
      <c r="O194">
        <f t="shared" si="8"/>
        <v>2</v>
      </c>
      <c r="Q194" t="s">
        <v>65</v>
      </c>
    </row>
    <row r="195" spans="1:17" x14ac:dyDescent="0.3">
      <c r="A195" t="s">
        <v>532</v>
      </c>
      <c r="B195" s="6">
        <v>44992</v>
      </c>
      <c r="C195" s="6" t="str">
        <f t="shared" ref="C195:C258" si="9">TEXT(B195,"MMM")</f>
        <v>Mar</v>
      </c>
      <c r="D195" t="s">
        <v>533</v>
      </c>
      <c r="E195" t="s">
        <v>31</v>
      </c>
      <c r="F195" t="s">
        <v>386</v>
      </c>
      <c r="G195">
        <v>4</v>
      </c>
      <c r="H195" s="7">
        <v>320.98</v>
      </c>
      <c r="I195" t="s">
        <v>21</v>
      </c>
      <c r="J195" t="s">
        <v>87</v>
      </c>
      <c r="K195">
        <v>10</v>
      </c>
      <c r="L195" s="7">
        <f t="shared" ref="L195:L258" si="10">G195*H195</f>
        <v>1283.92</v>
      </c>
      <c r="M195" s="7"/>
      <c r="O195">
        <f t="shared" si="8"/>
        <v>2</v>
      </c>
      <c r="Q195" t="s">
        <v>23</v>
      </c>
    </row>
    <row r="196" spans="1:17" x14ac:dyDescent="0.3">
      <c r="A196" t="s">
        <v>534</v>
      </c>
      <c r="B196" s="6">
        <v>45273</v>
      </c>
      <c r="C196" s="6" t="str">
        <f t="shared" si="9"/>
        <v>Dec</v>
      </c>
      <c r="D196" t="s">
        <v>535</v>
      </c>
      <c r="E196" t="s">
        <v>62</v>
      </c>
      <c r="F196" t="s">
        <v>222</v>
      </c>
      <c r="G196">
        <v>9</v>
      </c>
      <c r="H196" s="7">
        <v>157.04</v>
      </c>
      <c r="I196" t="s">
        <v>32</v>
      </c>
      <c r="J196" t="s">
        <v>87</v>
      </c>
      <c r="K196">
        <v>10</v>
      </c>
      <c r="L196" s="7">
        <f t="shared" si="10"/>
        <v>1413.36</v>
      </c>
      <c r="M196" s="7"/>
      <c r="O196">
        <f t="shared" ref="O196:O259" si="11">IF(L196&gt;3500,5,IF(L196&gt;3000,4,IF(L196&gt;2500,3,IF(L196&gt;2000,2,IF(L196&gt;1000,2,2)))))</f>
        <v>2</v>
      </c>
      <c r="Q196" t="s">
        <v>33</v>
      </c>
    </row>
    <row r="197" spans="1:17" x14ac:dyDescent="0.3">
      <c r="A197" t="s">
        <v>536</v>
      </c>
      <c r="B197" s="6">
        <v>45226</v>
      </c>
      <c r="C197" s="6" t="str">
        <f t="shared" si="9"/>
        <v>Oct</v>
      </c>
      <c r="D197" t="s">
        <v>537</v>
      </c>
      <c r="E197" t="s">
        <v>62</v>
      </c>
      <c r="F197" t="s">
        <v>538</v>
      </c>
      <c r="G197">
        <v>1</v>
      </c>
      <c r="H197" s="7">
        <v>430.54</v>
      </c>
      <c r="I197" t="s">
        <v>32</v>
      </c>
      <c r="J197" t="s">
        <v>42</v>
      </c>
      <c r="K197">
        <v>0</v>
      </c>
      <c r="L197" s="7">
        <f t="shared" si="10"/>
        <v>430.54</v>
      </c>
      <c r="M197" s="7"/>
      <c r="O197">
        <f t="shared" si="11"/>
        <v>2</v>
      </c>
      <c r="Q197" t="s">
        <v>33</v>
      </c>
    </row>
    <row r="198" spans="1:17" x14ac:dyDescent="0.3">
      <c r="A198" t="s">
        <v>539</v>
      </c>
      <c r="B198" s="6">
        <v>44986</v>
      </c>
      <c r="C198" s="6" t="str">
        <f t="shared" si="9"/>
        <v>Mar</v>
      </c>
      <c r="D198" t="s">
        <v>310</v>
      </c>
      <c r="E198" t="s">
        <v>62</v>
      </c>
      <c r="F198" t="s">
        <v>409</v>
      </c>
      <c r="G198">
        <v>8</v>
      </c>
      <c r="H198" s="7">
        <v>479.94</v>
      </c>
      <c r="I198" t="s">
        <v>64</v>
      </c>
      <c r="J198" t="s">
        <v>22</v>
      </c>
      <c r="K198">
        <v>10</v>
      </c>
      <c r="L198" s="7">
        <f t="shared" si="10"/>
        <v>3839.52</v>
      </c>
      <c r="M198" s="7"/>
      <c r="O198">
        <f t="shared" si="11"/>
        <v>5</v>
      </c>
      <c r="Q198" t="s">
        <v>65</v>
      </c>
    </row>
    <row r="199" spans="1:17" x14ac:dyDescent="0.3">
      <c r="A199" t="s">
        <v>540</v>
      </c>
      <c r="B199" s="6">
        <v>44983</v>
      </c>
      <c r="C199" s="6" t="str">
        <f t="shared" si="9"/>
        <v>Feb</v>
      </c>
      <c r="D199" t="s">
        <v>541</v>
      </c>
      <c r="E199" t="s">
        <v>19</v>
      </c>
      <c r="F199" t="s">
        <v>78</v>
      </c>
      <c r="G199">
        <v>7</v>
      </c>
      <c r="H199" s="7">
        <v>112.77</v>
      </c>
      <c r="I199" t="s">
        <v>46</v>
      </c>
      <c r="J199" t="s">
        <v>19</v>
      </c>
      <c r="K199">
        <v>20</v>
      </c>
      <c r="L199" s="7">
        <f t="shared" si="10"/>
        <v>789.39</v>
      </c>
      <c r="M199" s="7"/>
      <c r="O199">
        <f t="shared" si="11"/>
        <v>2</v>
      </c>
      <c r="Q199" t="s">
        <v>47</v>
      </c>
    </row>
    <row r="200" spans="1:17" x14ac:dyDescent="0.3">
      <c r="A200" t="s">
        <v>542</v>
      </c>
      <c r="B200" s="6">
        <v>45137</v>
      </c>
      <c r="C200" s="6" t="str">
        <f t="shared" si="9"/>
        <v>Jul</v>
      </c>
      <c r="D200" t="s">
        <v>543</v>
      </c>
      <c r="E200" t="s">
        <v>40</v>
      </c>
      <c r="F200" t="s">
        <v>423</v>
      </c>
      <c r="G200">
        <v>2</v>
      </c>
      <c r="H200" s="7">
        <v>48.64</v>
      </c>
      <c r="I200" t="s">
        <v>103</v>
      </c>
      <c r="J200" t="s">
        <v>28</v>
      </c>
      <c r="K200">
        <v>20</v>
      </c>
      <c r="L200" s="7">
        <f t="shared" si="10"/>
        <v>97.28</v>
      </c>
      <c r="M200" s="7"/>
      <c r="O200">
        <f t="shared" si="11"/>
        <v>2</v>
      </c>
      <c r="Q200" t="s">
        <v>104</v>
      </c>
    </row>
    <row r="201" spans="1:17" x14ac:dyDescent="0.3">
      <c r="A201" t="s">
        <v>544</v>
      </c>
      <c r="B201" s="6">
        <v>44990</v>
      </c>
      <c r="C201" s="6" t="str">
        <f t="shared" si="9"/>
        <v>Mar</v>
      </c>
      <c r="D201" t="s">
        <v>468</v>
      </c>
      <c r="E201" t="s">
        <v>36</v>
      </c>
      <c r="F201" t="s">
        <v>107</v>
      </c>
      <c r="G201">
        <v>8</v>
      </c>
      <c r="H201" s="7">
        <v>101.29</v>
      </c>
      <c r="I201" t="s">
        <v>21</v>
      </c>
      <c r="J201" t="s">
        <v>22</v>
      </c>
      <c r="K201">
        <v>5</v>
      </c>
      <c r="L201" s="7">
        <f t="shared" si="10"/>
        <v>810.32</v>
      </c>
      <c r="M201" s="7"/>
      <c r="O201">
        <f t="shared" si="11"/>
        <v>2</v>
      </c>
      <c r="Q201" t="s">
        <v>23</v>
      </c>
    </row>
    <row r="202" spans="1:17" x14ac:dyDescent="0.3">
      <c r="A202" t="s">
        <v>545</v>
      </c>
      <c r="B202" s="6">
        <v>45274</v>
      </c>
      <c r="C202" s="6" t="str">
        <f t="shared" si="9"/>
        <v>Dec</v>
      </c>
      <c r="D202" t="s">
        <v>546</v>
      </c>
      <c r="E202" t="s">
        <v>19</v>
      </c>
      <c r="F202" t="s">
        <v>466</v>
      </c>
      <c r="G202">
        <v>1</v>
      </c>
      <c r="H202" s="7">
        <v>411.17</v>
      </c>
      <c r="I202" t="s">
        <v>64</v>
      </c>
      <c r="J202" t="s">
        <v>42</v>
      </c>
      <c r="K202">
        <v>5</v>
      </c>
      <c r="L202" s="7">
        <f t="shared" si="10"/>
        <v>411.17</v>
      </c>
      <c r="M202" s="7"/>
      <c r="O202">
        <f t="shared" si="11"/>
        <v>2</v>
      </c>
      <c r="Q202" t="s">
        <v>65</v>
      </c>
    </row>
    <row r="203" spans="1:17" x14ac:dyDescent="0.3">
      <c r="A203" t="s">
        <v>547</v>
      </c>
      <c r="B203" s="6">
        <v>45011</v>
      </c>
      <c r="C203" s="6" t="str">
        <f t="shared" si="9"/>
        <v>Mar</v>
      </c>
      <c r="D203" t="s">
        <v>548</v>
      </c>
      <c r="E203" t="s">
        <v>19</v>
      </c>
      <c r="F203" t="s">
        <v>549</v>
      </c>
      <c r="G203">
        <v>9</v>
      </c>
      <c r="H203" s="7">
        <v>339.94</v>
      </c>
      <c r="I203" t="s">
        <v>19</v>
      </c>
      <c r="J203" t="s">
        <v>19</v>
      </c>
      <c r="K203">
        <v>10</v>
      </c>
      <c r="L203" s="7">
        <f t="shared" si="10"/>
        <v>3059.46</v>
      </c>
      <c r="M203" s="7"/>
      <c r="O203">
        <f t="shared" si="11"/>
        <v>4</v>
      </c>
      <c r="Q203" t="s">
        <v>19</v>
      </c>
    </row>
    <row r="204" spans="1:17" x14ac:dyDescent="0.3">
      <c r="A204" t="s">
        <v>550</v>
      </c>
      <c r="B204" s="6">
        <v>44986</v>
      </c>
      <c r="C204" s="6" t="str">
        <f t="shared" si="9"/>
        <v>Mar</v>
      </c>
      <c r="D204" t="s">
        <v>551</v>
      </c>
      <c r="E204" t="s">
        <v>19</v>
      </c>
      <c r="F204" t="s">
        <v>409</v>
      </c>
      <c r="G204">
        <v>9</v>
      </c>
      <c r="H204" s="7">
        <v>319.83999999999997</v>
      </c>
      <c r="I204" t="s">
        <v>21</v>
      </c>
      <c r="J204" t="s">
        <v>28</v>
      </c>
      <c r="K204">
        <v>15</v>
      </c>
      <c r="L204" s="7">
        <f t="shared" si="10"/>
        <v>2878.56</v>
      </c>
      <c r="M204" s="7"/>
      <c r="O204">
        <f t="shared" si="11"/>
        <v>3</v>
      </c>
      <c r="Q204" t="s">
        <v>23</v>
      </c>
    </row>
    <row r="205" spans="1:17" x14ac:dyDescent="0.3">
      <c r="A205" t="s">
        <v>552</v>
      </c>
      <c r="B205" s="6">
        <v>45134</v>
      </c>
      <c r="C205" s="6" t="str">
        <f t="shared" si="9"/>
        <v>Jul</v>
      </c>
      <c r="D205" t="s">
        <v>553</v>
      </c>
      <c r="E205" t="s">
        <v>62</v>
      </c>
      <c r="F205" t="s">
        <v>308</v>
      </c>
      <c r="G205">
        <v>2</v>
      </c>
      <c r="H205" s="7">
        <v>203.89</v>
      </c>
      <c r="I205" t="s">
        <v>46</v>
      </c>
      <c r="J205" t="s">
        <v>19</v>
      </c>
      <c r="K205">
        <v>10</v>
      </c>
      <c r="L205" s="7">
        <f t="shared" si="10"/>
        <v>407.78</v>
      </c>
      <c r="M205" s="7"/>
      <c r="O205">
        <f t="shared" si="11"/>
        <v>2</v>
      </c>
      <c r="Q205" t="s">
        <v>47</v>
      </c>
    </row>
    <row r="206" spans="1:17" x14ac:dyDescent="0.3">
      <c r="A206" t="s">
        <v>554</v>
      </c>
      <c r="B206" s="6">
        <v>45241</v>
      </c>
      <c r="C206" s="6" t="str">
        <f t="shared" si="9"/>
        <v>Nov</v>
      </c>
      <c r="D206" t="s">
        <v>555</v>
      </c>
      <c r="E206" t="s">
        <v>62</v>
      </c>
      <c r="F206" t="s">
        <v>556</v>
      </c>
      <c r="G206">
        <v>7</v>
      </c>
      <c r="H206" s="7">
        <v>291.02</v>
      </c>
      <c r="I206" t="s">
        <v>46</v>
      </c>
      <c r="J206" t="s">
        <v>22</v>
      </c>
      <c r="K206">
        <v>10</v>
      </c>
      <c r="L206" s="7">
        <f t="shared" si="10"/>
        <v>2037.1399999999999</v>
      </c>
      <c r="M206" s="7"/>
      <c r="O206">
        <f t="shared" si="11"/>
        <v>2</v>
      </c>
      <c r="Q206" t="s">
        <v>47</v>
      </c>
    </row>
    <row r="207" spans="1:17" x14ac:dyDescent="0.3">
      <c r="A207" t="s">
        <v>557</v>
      </c>
      <c r="B207" s="6">
        <v>45063</v>
      </c>
      <c r="C207" s="6" t="str">
        <f t="shared" si="9"/>
        <v>May</v>
      </c>
      <c r="D207" t="s">
        <v>558</v>
      </c>
      <c r="E207" t="s">
        <v>19</v>
      </c>
      <c r="F207" t="s">
        <v>398</v>
      </c>
      <c r="G207">
        <v>5</v>
      </c>
      <c r="H207" s="7">
        <v>157.4</v>
      </c>
      <c r="I207" t="s">
        <v>19</v>
      </c>
      <c r="J207" t="s">
        <v>42</v>
      </c>
      <c r="K207">
        <v>15</v>
      </c>
      <c r="L207" s="7">
        <f t="shared" si="10"/>
        <v>787</v>
      </c>
      <c r="M207" s="7"/>
      <c r="O207">
        <f t="shared" si="11"/>
        <v>2</v>
      </c>
      <c r="Q207" t="s">
        <v>19</v>
      </c>
    </row>
    <row r="208" spans="1:17" x14ac:dyDescent="0.3">
      <c r="A208" t="s">
        <v>559</v>
      </c>
      <c r="B208" s="6">
        <v>44981</v>
      </c>
      <c r="C208" s="6" t="str">
        <f t="shared" si="9"/>
        <v>Feb</v>
      </c>
      <c r="D208" t="s">
        <v>560</v>
      </c>
      <c r="E208" t="s">
        <v>31</v>
      </c>
      <c r="F208" t="s">
        <v>68</v>
      </c>
      <c r="G208">
        <v>5</v>
      </c>
      <c r="H208" s="7">
        <v>241.21</v>
      </c>
      <c r="I208" t="s">
        <v>64</v>
      </c>
      <c r="J208" t="s">
        <v>72</v>
      </c>
      <c r="K208">
        <v>10</v>
      </c>
      <c r="L208" s="7">
        <f t="shared" si="10"/>
        <v>1206.05</v>
      </c>
      <c r="M208" s="7"/>
      <c r="O208">
        <f t="shared" si="11"/>
        <v>2</v>
      </c>
      <c r="Q208" t="s">
        <v>65</v>
      </c>
    </row>
    <row r="209" spans="1:17" x14ac:dyDescent="0.3">
      <c r="A209" t="s">
        <v>561</v>
      </c>
      <c r="B209" s="6">
        <v>45120</v>
      </c>
      <c r="C209" s="6" t="str">
        <f t="shared" si="9"/>
        <v>Jul</v>
      </c>
      <c r="D209" t="s">
        <v>440</v>
      </c>
      <c r="E209" t="s">
        <v>19</v>
      </c>
      <c r="F209" t="s">
        <v>523</v>
      </c>
      <c r="G209">
        <v>9</v>
      </c>
      <c r="H209" s="7">
        <v>397.57</v>
      </c>
      <c r="I209" t="s">
        <v>32</v>
      </c>
      <c r="J209" t="s">
        <v>72</v>
      </c>
      <c r="K209">
        <v>20</v>
      </c>
      <c r="L209" s="7">
        <f t="shared" si="10"/>
        <v>3578.13</v>
      </c>
      <c r="M209" s="7"/>
      <c r="O209">
        <f t="shared" si="11"/>
        <v>5</v>
      </c>
      <c r="Q209" t="s">
        <v>33</v>
      </c>
    </row>
    <row r="210" spans="1:17" x14ac:dyDescent="0.3">
      <c r="A210" t="s">
        <v>562</v>
      </c>
      <c r="B210" s="6">
        <v>45001</v>
      </c>
      <c r="C210" s="6" t="str">
        <f t="shared" si="9"/>
        <v>Mar</v>
      </c>
      <c r="D210" t="s">
        <v>563</v>
      </c>
      <c r="E210" t="s">
        <v>19</v>
      </c>
      <c r="F210" t="s">
        <v>257</v>
      </c>
      <c r="G210">
        <v>4</v>
      </c>
      <c r="H210" s="7">
        <v>490.71</v>
      </c>
      <c r="I210" t="s">
        <v>32</v>
      </c>
      <c r="J210" t="s">
        <v>22</v>
      </c>
      <c r="K210">
        <v>5</v>
      </c>
      <c r="L210" s="7">
        <f t="shared" si="10"/>
        <v>1962.84</v>
      </c>
      <c r="M210" s="7"/>
      <c r="O210">
        <f t="shared" si="11"/>
        <v>2</v>
      </c>
      <c r="Q210" t="s">
        <v>33</v>
      </c>
    </row>
    <row r="211" spans="1:17" x14ac:dyDescent="0.3">
      <c r="A211" t="s">
        <v>564</v>
      </c>
      <c r="B211" s="6">
        <v>44932</v>
      </c>
      <c r="C211" s="6" t="str">
        <f t="shared" si="9"/>
        <v>Jan</v>
      </c>
      <c r="D211" t="s">
        <v>565</v>
      </c>
      <c r="E211" t="s">
        <v>26</v>
      </c>
      <c r="F211" t="s">
        <v>538</v>
      </c>
      <c r="G211">
        <v>1</v>
      </c>
      <c r="H211" s="7">
        <v>466.58</v>
      </c>
      <c r="I211" t="s">
        <v>19</v>
      </c>
      <c r="J211" t="s">
        <v>22</v>
      </c>
      <c r="K211">
        <v>5</v>
      </c>
      <c r="L211" s="7">
        <f t="shared" si="10"/>
        <v>466.58</v>
      </c>
      <c r="M211" s="7"/>
      <c r="O211">
        <f t="shared" si="11"/>
        <v>2</v>
      </c>
      <c r="Q211" t="s">
        <v>19</v>
      </c>
    </row>
    <row r="212" spans="1:17" x14ac:dyDescent="0.3">
      <c r="A212" t="s">
        <v>566</v>
      </c>
      <c r="B212" s="6">
        <v>45013</v>
      </c>
      <c r="C212" s="6" t="str">
        <f t="shared" si="9"/>
        <v>Mar</v>
      </c>
      <c r="D212" t="s">
        <v>567</v>
      </c>
      <c r="E212" t="s">
        <v>26</v>
      </c>
      <c r="F212" t="s">
        <v>369</v>
      </c>
      <c r="G212">
        <v>2</v>
      </c>
      <c r="H212" s="7">
        <v>467.26</v>
      </c>
      <c r="I212" t="s">
        <v>64</v>
      </c>
      <c r="J212" t="s">
        <v>87</v>
      </c>
      <c r="K212">
        <v>10</v>
      </c>
      <c r="L212" s="7">
        <f t="shared" si="10"/>
        <v>934.52</v>
      </c>
      <c r="M212" s="7"/>
      <c r="O212">
        <f t="shared" si="11"/>
        <v>2</v>
      </c>
      <c r="Q212" t="s">
        <v>65</v>
      </c>
    </row>
    <row r="213" spans="1:17" x14ac:dyDescent="0.3">
      <c r="A213" t="s">
        <v>568</v>
      </c>
      <c r="B213" s="6">
        <v>45147</v>
      </c>
      <c r="C213" s="6" t="str">
        <f t="shared" si="9"/>
        <v>Aug</v>
      </c>
      <c r="D213" t="s">
        <v>569</v>
      </c>
      <c r="E213" t="s">
        <v>19</v>
      </c>
      <c r="F213" t="s">
        <v>517</v>
      </c>
      <c r="G213">
        <v>1</v>
      </c>
      <c r="H213" s="7">
        <v>204.1</v>
      </c>
      <c r="I213" t="s">
        <v>46</v>
      </c>
      <c r="J213" t="s">
        <v>87</v>
      </c>
      <c r="K213">
        <v>5</v>
      </c>
      <c r="L213" s="7">
        <f t="shared" si="10"/>
        <v>204.1</v>
      </c>
      <c r="M213" s="7"/>
      <c r="O213">
        <f t="shared" si="11"/>
        <v>2</v>
      </c>
      <c r="Q213" t="s">
        <v>47</v>
      </c>
    </row>
    <row r="214" spans="1:17" x14ac:dyDescent="0.3">
      <c r="A214" t="s">
        <v>570</v>
      </c>
      <c r="B214" s="6">
        <v>45138</v>
      </c>
      <c r="C214" s="6" t="str">
        <f t="shared" si="9"/>
        <v>Jul</v>
      </c>
      <c r="D214" t="s">
        <v>571</v>
      </c>
      <c r="E214" t="s">
        <v>19</v>
      </c>
      <c r="F214" t="s">
        <v>363</v>
      </c>
      <c r="G214">
        <v>5</v>
      </c>
      <c r="H214" s="7">
        <v>237.05</v>
      </c>
      <c r="I214" t="s">
        <v>103</v>
      </c>
      <c r="J214" t="s">
        <v>28</v>
      </c>
      <c r="K214">
        <v>0</v>
      </c>
      <c r="L214" s="7">
        <f t="shared" si="10"/>
        <v>1185.25</v>
      </c>
      <c r="M214" s="7"/>
      <c r="O214">
        <f t="shared" si="11"/>
        <v>2</v>
      </c>
      <c r="Q214" t="s">
        <v>104</v>
      </c>
    </row>
    <row r="215" spans="1:17" x14ac:dyDescent="0.3">
      <c r="A215" t="s">
        <v>572</v>
      </c>
      <c r="B215" s="6">
        <v>45218</v>
      </c>
      <c r="C215" s="6" t="str">
        <f t="shared" si="9"/>
        <v>Oct</v>
      </c>
      <c r="D215" t="s">
        <v>175</v>
      </c>
      <c r="E215" t="s">
        <v>19</v>
      </c>
      <c r="F215" t="s">
        <v>151</v>
      </c>
      <c r="G215">
        <v>5</v>
      </c>
      <c r="H215" s="7">
        <v>354.29</v>
      </c>
      <c r="I215" t="s">
        <v>21</v>
      </c>
      <c r="J215" t="s">
        <v>42</v>
      </c>
      <c r="K215">
        <v>10</v>
      </c>
      <c r="L215" s="7">
        <f t="shared" si="10"/>
        <v>1771.45</v>
      </c>
      <c r="M215" s="7"/>
      <c r="O215">
        <f t="shared" si="11"/>
        <v>2</v>
      </c>
      <c r="Q215" t="s">
        <v>23</v>
      </c>
    </row>
    <row r="216" spans="1:17" x14ac:dyDescent="0.3">
      <c r="A216" t="s">
        <v>573</v>
      </c>
      <c r="B216" s="6">
        <v>45156</v>
      </c>
      <c r="C216" s="6" t="str">
        <f t="shared" si="9"/>
        <v>Aug</v>
      </c>
      <c r="D216" t="s">
        <v>574</v>
      </c>
      <c r="E216" t="s">
        <v>50</v>
      </c>
      <c r="F216" t="s">
        <v>575</v>
      </c>
      <c r="G216">
        <v>7</v>
      </c>
      <c r="H216" s="7">
        <v>461.49</v>
      </c>
      <c r="I216" t="s">
        <v>64</v>
      </c>
      <c r="J216" t="s">
        <v>87</v>
      </c>
      <c r="K216">
        <v>20</v>
      </c>
      <c r="L216" s="7">
        <f t="shared" si="10"/>
        <v>3230.4300000000003</v>
      </c>
      <c r="M216" s="7"/>
      <c r="O216">
        <f t="shared" si="11"/>
        <v>4</v>
      </c>
      <c r="Q216" t="s">
        <v>65</v>
      </c>
    </row>
    <row r="217" spans="1:17" x14ac:dyDescent="0.3">
      <c r="A217" t="s">
        <v>576</v>
      </c>
      <c r="B217" s="6">
        <v>45165</v>
      </c>
      <c r="C217" s="6" t="str">
        <f t="shared" si="9"/>
        <v>Aug</v>
      </c>
      <c r="D217" t="s">
        <v>577</v>
      </c>
      <c r="E217" t="s">
        <v>26</v>
      </c>
      <c r="F217" t="s">
        <v>99</v>
      </c>
      <c r="G217">
        <v>9</v>
      </c>
      <c r="H217" s="7">
        <v>75.290000000000006</v>
      </c>
      <c r="I217" t="s">
        <v>103</v>
      </c>
      <c r="J217" t="s">
        <v>87</v>
      </c>
      <c r="K217">
        <v>10</v>
      </c>
      <c r="L217" s="7">
        <f t="shared" si="10"/>
        <v>677.61</v>
      </c>
      <c r="M217" s="7"/>
      <c r="O217">
        <f t="shared" si="11"/>
        <v>2</v>
      </c>
      <c r="Q217" t="s">
        <v>104</v>
      </c>
    </row>
    <row r="218" spans="1:17" x14ac:dyDescent="0.3">
      <c r="A218" t="s">
        <v>578</v>
      </c>
      <c r="B218" s="6">
        <v>45108</v>
      </c>
      <c r="C218" s="6" t="str">
        <f t="shared" si="9"/>
        <v>Jul</v>
      </c>
      <c r="D218" t="s">
        <v>579</v>
      </c>
      <c r="E218" t="s">
        <v>19</v>
      </c>
      <c r="F218" t="s">
        <v>369</v>
      </c>
      <c r="G218">
        <v>9</v>
      </c>
      <c r="H218" s="7">
        <v>155.6</v>
      </c>
      <c r="I218" t="s">
        <v>19</v>
      </c>
      <c r="J218" t="s">
        <v>22</v>
      </c>
      <c r="K218">
        <v>10</v>
      </c>
      <c r="L218" s="7">
        <f t="shared" si="10"/>
        <v>1400.3999999999999</v>
      </c>
      <c r="M218" s="7"/>
      <c r="O218">
        <f t="shared" si="11"/>
        <v>2</v>
      </c>
      <c r="Q218" t="s">
        <v>19</v>
      </c>
    </row>
    <row r="219" spans="1:17" x14ac:dyDescent="0.3">
      <c r="A219" t="s">
        <v>580</v>
      </c>
      <c r="B219" s="6">
        <v>44951</v>
      </c>
      <c r="C219" s="6" t="str">
        <f t="shared" si="9"/>
        <v>Jan</v>
      </c>
      <c r="D219" t="s">
        <v>581</v>
      </c>
      <c r="E219" t="s">
        <v>50</v>
      </c>
      <c r="F219" t="s">
        <v>273</v>
      </c>
      <c r="G219">
        <v>3</v>
      </c>
      <c r="H219" s="7">
        <v>73.930000000000007</v>
      </c>
      <c r="I219" t="s">
        <v>32</v>
      </c>
      <c r="J219" t="s">
        <v>72</v>
      </c>
      <c r="K219">
        <v>5</v>
      </c>
      <c r="L219" s="7">
        <f t="shared" si="10"/>
        <v>221.79000000000002</v>
      </c>
      <c r="M219" s="7"/>
      <c r="O219">
        <f t="shared" si="11"/>
        <v>2</v>
      </c>
      <c r="Q219" t="s">
        <v>33</v>
      </c>
    </row>
    <row r="220" spans="1:17" x14ac:dyDescent="0.3">
      <c r="A220" t="s">
        <v>582</v>
      </c>
      <c r="B220" s="6">
        <v>45136</v>
      </c>
      <c r="C220" s="6" t="str">
        <f t="shared" si="9"/>
        <v>Jul</v>
      </c>
      <c r="D220" t="s">
        <v>583</v>
      </c>
      <c r="E220" t="s">
        <v>31</v>
      </c>
      <c r="F220" t="s">
        <v>263</v>
      </c>
      <c r="G220">
        <v>3</v>
      </c>
      <c r="H220" s="7">
        <v>307.94</v>
      </c>
      <c r="I220" t="s">
        <v>64</v>
      </c>
      <c r="J220" t="s">
        <v>22</v>
      </c>
      <c r="K220">
        <v>20</v>
      </c>
      <c r="L220" s="7">
        <f t="shared" si="10"/>
        <v>923.81999999999994</v>
      </c>
      <c r="M220" s="7"/>
      <c r="O220">
        <f t="shared" si="11"/>
        <v>2</v>
      </c>
      <c r="Q220" t="s">
        <v>65</v>
      </c>
    </row>
    <row r="221" spans="1:17" x14ac:dyDescent="0.3">
      <c r="A221" t="s">
        <v>584</v>
      </c>
      <c r="B221" s="6">
        <v>45195</v>
      </c>
      <c r="C221" s="6" t="str">
        <f t="shared" si="9"/>
        <v>Sep</v>
      </c>
      <c r="D221" t="s">
        <v>440</v>
      </c>
      <c r="E221" t="s">
        <v>31</v>
      </c>
      <c r="F221" t="s">
        <v>201</v>
      </c>
      <c r="G221">
        <v>3</v>
      </c>
      <c r="H221" s="7">
        <v>156.62</v>
      </c>
      <c r="I221" t="s">
        <v>64</v>
      </c>
      <c r="J221" t="s">
        <v>28</v>
      </c>
      <c r="K221">
        <v>10</v>
      </c>
      <c r="L221" s="7">
        <f t="shared" si="10"/>
        <v>469.86</v>
      </c>
      <c r="M221" s="7"/>
      <c r="O221">
        <f t="shared" si="11"/>
        <v>2</v>
      </c>
      <c r="Q221" t="s">
        <v>65</v>
      </c>
    </row>
    <row r="222" spans="1:17" x14ac:dyDescent="0.3">
      <c r="A222" t="s">
        <v>585</v>
      </c>
      <c r="B222" s="6">
        <v>45043</v>
      </c>
      <c r="C222" s="6" t="str">
        <f t="shared" si="9"/>
        <v>Apr</v>
      </c>
      <c r="D222" t="s">
        <v>408</v>
      </c>
      <c r="E222" t="s">
        <v>40</v>
      </c>
      <c r="F222" t="s">
        <v>586</v>
      </c>
      <c r="G222">
        <v>4</v>
      </c>
      <c r="H222" s="7">
        <v>166.42</v>
      </c>
      <c r="I222" t="s">
        <v>21</v>
      </c>
      <c r="J222" t="s">
        <v>42</v>
      </c>
      <c r="K222">
        <v>5</v>
      </c>
      <c r="L222" s="7">
        <f t="shared" si="10"/>
        <v>665.68</v>
      </c>
      <c r="M222" s="7"/>
      <c r="O222">
        <f t="shared" si="11"/>
        <v>2</v>
      </c>
      <c r="Q222" t="s">
        <v>23</v>
      </c>
    </row>
    <row r="223" spans="1:17" x14ac:dyDescent="0.3">
      <c r="A223" t="s">
        <v>587</v>
      </c>
      <c r="B223" s="6">
        <v>45085</v>
      </c>
      <c r="C223" s="6" t="str">
        <f t="shared" si="9"/>
        <v>Jun</v>
      </c>
      <c r="D223" t="s">
        <v>535</v>
      </c>
      <c r="E223" t="s">
        <v>19</v>
      </c>
      <c r="F223" t="s">
        <v>556</v>
      </c>
      <c r="G223">
        <v>8</v>
      </c>
      <c r="H223" s="7">
        <v>40.1</v>
      </c>
      <c r="I223" t="s">
        <v>32</v>
      </c>
      <c r="J223" t="s">
        <v>72</v>
      </c>
      <c r="K223">
        <v>10</v>
      </c>
      <c r="L223" s="7">
        <f t="shared" si="10"/>
        <v>320.8</v>
      </c>
      <c r="M223" s="7"/>
      <c r="O223">
        <f t="shared" si="11"/>
        <v>2</v>
      </c>
      <c r="Q223" t="s">
        <v>33</v>
      </c>
    </row>
    <row r="224" spans="1:17" x14ac:dyDescent="0.3">
      <c r="A224" t="s">
        <v>588</v>
      </c>
      <c r="B224" s="6">
        <v>44938</v>
      </c>
      <c r="C224" s="6" t="str">
        <f t="shared" si="9"/>
        <v>Jan</v>
      </c>
      <c r="D224" t="s">
        <v>541</v>
      </c>
      <c r="E224" t="s">
        <v>36</v>
      </c>
      <c r="F224" t="s">
        <v>403</v>
      </c>
      <c r="G224">
        <v>6</v>
      </c>
      <c r="H224" s="7">
        <v>178.15</v>
      </c>
      <c r="I224" t="s">
        <v>64</v>
      </c>
      <c r="J224" t="s">
        <v>42</v>
      </c>
      <c r="K224">
        <v>20</v>
      </c>
      <c r="L224" s="7">
        <f t="shared" si="10"/>
        <v>1068.9000000000001</v>
      </c>
      <c r="M224" s="7"/>
      <c r="O224">
        <f t="shared" si="11"/>
        <v>2</v>
      </c>
      <c r="Q224" t="s">
        <v>65</v>
      </c>
    </row>
    <row r="225" spans="1:17" x14ac:dyDescent="0.3">
      <c r="A225" t="s">
        <v>589</v>
      </c>
      <c r="B225" s="6">
        <v>45266</v>
      </c>
      <c r="C225" s="6" t="str">
        <f t="shared" si="9"/>
        <v>Dec</v>
      </c>
      <c r="D225" t="s">
        <v>590</v>
      </c>
      <c r="E225" t="s">
        <v>19</v>
      </c>
      <c r="F225" t="s">
        <v>353</v>
      </c>
      <c r="G225">
        <v>8</v>
      </c>
      <c r="H225" s="7">
        <v>431.94</v>
      </c>
      <c r="I225" t="s">
        <v>46</v>
      </c>
      <c r="J225" t="s">
        <v>72</v>
      </c>
      <c r="K225">
        <v>15</v>
      </c>
      <c r="L225" s="7">
        <f t="shared" si="10"/>
        <v>3455.52</v>
      </c>
      <c r="M225" s="7"/>
      <c r="O225">
        <f t="shared" si="11"/>
        <v>4</v>
      </c>
      <c r="Q225" t="s">
        <v>47</v>
      </c>
    </row>
    <row r="226" spans="1:17" x14ac:dyDescent="0.3">
      <c r="A226" t="s">
        <v>591</v>
      </c>
      <c r="B226" s="6">
        <v>45156</v>
      </c>
      <c r="C226" s="6" t="str">
        <f t="shared" si="9"/>
        <v>Aug</v>
      </c>
      <c r="D226" t="s">
        <v>592</v>
      </c>
      <c r="E226" t="s">
        <v>50</v>
      </c>
      <c r="F226" t="s">
        <v>20</v>
      </c>
      <c r="G226">
        <v>1</v>
      </c>
      <c r="H226" s="7">
        <v>120.37</v>
      </c>
      <c r="I226" t="s">
        <v>32</v>
      </c>
      <c r="J226" t="s">
        <v>19</v>
      </c>
      <c r="K226">
        <v>0</v>
      </c>
      <c r="L226" s="7">
        <f t="shared" si="10"/>
        <v>120.37</v>
      </c>
      <c r="M226" s="7"/>
      <c r="O226">
        <f t="shared" si="11"/>
        <v>2</v>
      </c>
      <c r="Q226" t="s">
        <v>33</v>
      </c>
    </row>
    <row r="227" spans="1:17" x14ac:dyDescent="0.3">
      <c r="A227" t="s">
        <v>593</v>
      </c>
      <c r="B227" s="6">
        <v>45249</v>
      </c>
      <c r="C227" s="6" t="str">
        <f t="shared" si="9"/>
        <v>Nov</v>
      </c>
      <c r="D227" t="s">
        <v>594</v>
      </c>
      <c r="E227" t="s">
        <v>26</v>
      </c>
      <c r="F227" t="s">
        <v>295</v>
      </c>
      <c r="G227">
        <v>8</v>
      </c>
      <c r="H227" s="7">
        <v>349.12</v>
      </c>
      <c r="I227" t="s">
        <v>64</v>
      </c>
      <c r="J227" t="s">
        <v>72</v>
      </c>
      <c r="K227">
        <v>15</v>
      </c>
      <c r="L227" s="7">
        <f t="shared" si="10"/>
        <v>2792.96</v>
      </c>
      <c r="M227" s="7"/>
      <c r="O227">
        <f t="shared" si="11"/>
        <v>3</v>
      </c>
      <c r="Q227" t="s">
        <v>65</v>
      </c>
    </row>
    <row r="228" spans="1:17" x14ac:dyDescent="0.3">
      <c r="A228" t="s">
        <v>595</v>
      </c>
      <c r="B228" s="6">
        <v>45172</v>
      </c>
      <c r="C228" s="6" t="str">
        <f t="shared" si="9"/>
        <v>Sep</v>
      </c>
      <c r="D228" t="s">
        <v>596</v>
      </c>
      <c r="E228" t="s">
        <v>50</v>
      </c>
      <c r="F228" t="s">
        <v>328</v>
      </c>
      <c r="G228">
        <v>4</v>
      </c>
      <c r="H228" s="7">
        <v>316.67</v>
      </c>
      <c r="I228" t="s">
        <v>19</v>
      </c>
      <c r="J228" t="s">
        <v>28</v>
      </c>
      <c r="K228">
        <v>20</v>
      </c>
      <c r="L228" s="7">
        <f t="shared" si="10"/>
        <v>1266.68</v>
      </c>
      <c r="M228" s="7"/>
      <c r="O228">
        <f t="shared" si="11"/>
        <v>2</v>
      </c>
      <c r="Q228" t="s">
        <v>19</v>
      </c>
    </row>
    <row r="229" spans="1:17" x14ac:dyDescent="0.3">
      <c r="A229" t="s">
        <v>597</v>
      </c>
      <c r="B229" s="6">
        <v>45125</v>
      </c>
      <c r="C229" s="6" t="str">
        <f t="shared" si="9"/>
        <v>Jul</v>
      </c>
      <c r="D229" t="s">
        <v>503</v>
      </c>
      <c r="E229" t="s">
        <v>62</v>
      </c>
      <c r="F229" t="s">
        <v>598</v>
      </c>
      <c r="G229">
        <v>1</v>
      </c>
      <c r="H229" s="7">
        <v>432.42</v>
      </c>
      <c r="I229" t="s">
        <v>103</v>
      </c>
      <c r="J229" t="s">
        <v>87</v>
      </c>
      <c r="K229">
        <v>10</v>
      </c>
      <c r="L229" s="7">
        <f t="shared" si="10"/>
        <v>432.42</v>
      </c>
      <c r="M229" s="7"/>
      <c r="O229">
        <f t="shared" si="11"/>
        <v>2</v>
      </c>
      <c r="Q229" t="s">
        <v>104</v>
      </c>
    </row>
    <row r="230" spans="1:17" x14ac:dyDescent="0.3">
      <c r="A230" t="s">
        <v>599</v>
      </c>
      <c r="B230" s="6">
        <v>45033</v>
      </c>
      <c r="C230" s="6" t="str">
        <f t="shared" si="9"/>
        <v>Apr</v>
      </c>
      <c r="D230" t="s">
        <v>600</v>
      </c>
      <c r="E230" t="s">
        <v>62</v>
      </c>
      <c r="F230" t="s">
        <v>222</v>
      </c>
      <c r="G230">
        <v>8</v>
      </c>
      <c r="H230" s="7">
        <v>70.48</v>
      </c>
      <c r="I230" t="s">
        <v>46</v>
      </c>
      <c r="J230" t="s">
        <v>22</v>
      </c>
      <c r="K230">
        <v>5</v>
      </c>
      <c r="L230" s="7">
        <f t="shared" si="10"/>
        <v>563.84</v>
      </c>
      <c r="M230" s="7"/>
      <c r="O230">
        <f t="shared" si="11"/>
        <v>2</v>
      </c>
      <c r="Q230" t="s">
        <v>47</v>
      </c>
    </row>
    <row r="231" spans="1:17" x14ac:dyDescent="0.3">
      <c r="A231" t="s">
        <v>601</v>
      </c>
      <c r="B231" s="6">
        <v>45105</v>
      </c>
      <c r="C231" s="6" t="str">
        <f t="shared" si="9"/>
        <v>Jun</v>
      </c>
      <c r="D231" t="s">
        <v>221</v>
      </c>
      <c r="E231" t="s">
        <v>31</v>
      </c>
      <c r="F231" t="s">
        <v>295</v>
      </c>
      <c r="G231">
        <v>4</v>
      </c>
      <c r="H231" s="7">
        <v>488.91</v>
      </c>
      <c r="I231" t="s">
        <v>103</v>
      </c>
      <c r="J231" t="s">
        <v>22</v>
      </c>
      <c r="K231">
        <v>20</v>
      </c>
      <c r="L231" s="7">
        <f t="shared" si="10"/>
        <v>1955.64</v>
      </c>
      <c r="M231" s="7"/>
      <c r="O231">
        <f t="shared" si="11"/>
        <v>2</v>
      </c>
      <c r="Q231" t="s">
        <v>104</v>
      </c>
    </row>
    <row r="232" spans="1:17" x14ac:dyDescent="0.3">
      <c r="A232" t="s">
        <v>602</v>
      </c>
      <c r="B232" s="6">
        <v>44949</v>
      </c>
      <c r="C232" s="6" t="str">
        <f t="shared" si="9"/>
        <v>Jan</v>
      </c>
      <c r="D232" t="s">
        <v>603</v>
      </c>
      <c r="E232" t="s">
        <v>36</v>
      </c>
      <c r="F232" t="s">
        <v>198</v>
      </c>
      <c r="G232">
        <v>6</v>
      </c>
      <c r="H232" s="7">
        <v>293.39999999999998</v>
      </c>
      <c r="I232" t="s">
        <v>103</v>
      </c>
      <c r="J232" t="s">
        <v>22</v>
      </c>
      <c r="K232">
        <v>0</v>
      </c>
      <c r="L232" s="7">
        <f t="shared" si="10"/>
        <v>1760.3999999999999</v>
      </c>
      <c r="M232" s="7"/>
      <c r="O232">
        <f t="shared" si="11"/>
        <v>2</v>
      </c>
      <c r="Q232" t="s">
        <v>104</v>
      </c>
    </row>
    <row r="233" spans="1:17" x14ac:dyDescent="0.3">
      <c r="A233" t="s">
        <v>604</v>
      </c>
      <c r="B233" s="6">
        <v>45038</v>
      </c>
      <c r="C233" s="6" t="str">
        <f t="shared" si="9"/>
        <v>Apr</v>
      </c>
      <c r="D233" t="s">
        <v>605</v>
      </c>
      <c r="E233" t="s">
        <v>62</v>
      </c>
      <c r="F233" t="s">
        <v>188</v>
      </c>
      <c r="G233">
        <v>8</v>
      </c>
      <c r="H233" s="7">
        <v>497.76</v>
      </c>
      <c r="I233" t="s">
        <v>19</v>
      </c>
      <c r="J233" t="s">
        <v>72</v>
      </c>
      <c r="K233">
        <v>20</v>
      </c>
      <c r="L233" s="7">
        <f t="shared" si="10"/>
        <v>3982.08</v>
      </c>
      <c r="M233" s="7"/>
      <c r="O233">
        <f t="shared" si="11"/>
        <v>5</v>
      </c>
      <c r="Q233" t="s">
        <v>19</v>
      </c>
    </row>
    <row r="234" spans="1:17" x14ac:dyDescent="0.3">
      <c r="A234" t="s">
        <v>606</v>
      </c>
      <c r="B234" s="6">
        <v>45117</v>
      </c>
      <c r="C234" s="6" t="str">
        <f t="shared" si="9"/>
        <v>Jul</v>
      </c>
      <c r="D234" t="s">
        <v>607</v>
      </c>
      <c r="E234" t="s">
        <v>62</v>
      </c>
      <c r="F234" t="s">
        <v>273</v>
      </c>
      <c r="G234">
        <v>4</v>
      </c>
      <c r="H234" s="7">
        <v>456.2</v>
      </c>
      <c r="I234" t="s">
        <v>46</v>
      </c>
      <c r="J234" t="s">
        <v>87</v>
      </c>
      <c r="K234">
        <v>5</v>
      </c>
      <c r="L234" s="7">
        <f t="shared" si="10"/>
        <v>1824.8</v>
      </c>
      <c r="M234" s="7"/>
      <c r="O234">
        <f t="shared" si="11"/>
        <v>2</v>
      </c>
      <c r="Q234" t="s">
        <v>47</v>
      </c>
    </row>
    <row r="235" spans="1:17" x14ac:dyDescent="0.3">
      <c r="A235" t="s">
        <v>608</v>
      </c>
      <c r="B235" s="6">
        <v>45189</v>
      </c>
      <c r="C235" s="6" t="str">
        <f t="shared" si="9"/>
        <v>Sep</v>
      </c>
      <c r="D235" t="s">
        <v>609</v>
      </c>
      <c r="E235" t="s">
        <v>40</v>
      </c>
      <c r="F235" t="s">
        <v>113</v>
      </c>
      <c r="G235">
        <v>3</v>
      </c>
      <c r="H235" s="7">
        <v>114.65</v>
      </c>
      <c r="I235" t="s">
        <v>19</v>
      </c>
      <c r="J235" t="s">
        <v>42</v>
      </c>
      <c r="K235">
        <v>15</v>
      </c>
      <c r="L235" s="7">
        <f t="shared" si="10"/>
        <v>343.95000000000005</v>
      </c>
      <c r="M235" s="7"/>
      <c r="O235">
        <f t="shared" si="11"/>
        <v>2</v>
      </c>
      <c r="Q235" t="s">
        <v>19</v>
      </c>
    </row>
    <row r="236" spans="1:17" x14ac:dyDescent="0.3">
      <c r="A236" t="s">
        <v>610</v>
      </c>
      <c r="B236" s="6">
        <v>45038</v>
      </c>
      <c r="C236" s="6" t="str">
        <f t="shared" si="9"/>
        <v>Apr</v>
      </c>
      <c r="D236" t="s">
        <v>611</v>
      </c>
      <c r="E236" t="s">
        <v>40</v>
      </c>
      <c r="F236" t="s">
        <v>538</v>
      </c>
      <c r="G236">
        <v>9</v>
      </c>
      <c r="H236" s="7">
        <v>32.799999999999997</v>
      </c>
      <c r="I236" t="s">
        <v>103</v>
      </c>
      <c r="J236" t="s">
        <v>87</v>
      </c>
      <c r="K236">
        <v>10</v>
      </c>
      <c r="L236" s="7">
        <f t="shared" si="10"/>
        <v>295.2</v>
      </c>
      <c r="M236" s="7"/>
      <c r="O236">
        <f t="shared" si="11"/>
        <v>2</v>
      </c>
      <c r="Q236" t="s">
        <v>104</v>
      </c>
    </row>
    <row r="237" spans="1:17" x14ac:dyDescent="0.3">
      <c r="A237" t="s">
        <v>612</v>
      </c>
      <c r="B237" s="6">
        <v>45186</v>
      </c>
      <c r="C237" s="6" t="str">
        <f t="shared" si="9"/>
        <v>Sep</v>
      </c>
      <c r="D237" t="s">
        <v>496</v>
      </c>
      <c r="E237" t="s">
        <v>36</v>
      </c>
      <c r="F237" t="s">
        <v>263</v>
      </c>
      <c r="G237">
        <v>3</v>
      </c>
      <c r="H237" s="7">
        <v>131.54</v>
      </c>
      <c r="I237" t="s">
        <v>103</v>
      </c>
      <c r="J237" t="s">
        <v>22</v>
      </c>
      <c r="K237">
        <v>15</v>
      </c>
      <c r="L237" s="7">
        <f t="shared" si="10"/>
        <v>394.62</v>
      </c>
      <c r="M237" s="7"/>
      <c r="O237">
        <f t="shared" si="11"/>
        <v>2</v>
      </c>
      <c r="Q237" t="s">
        <v>104</v>
      </c>
    </row>
    <row r="238" spans="1:17" x14ac:dyDescent="0.3">
      <c r="A238" t="s">
        <v>613</v>
      </c>
      <c r="B238" s="6">
        <v>45077</v>
      </c>
      <c r="C238" s="6" t="str">
        <f t="shared" si="9"/>
        <v>May</v>
      </c>
      <c r="D238" t="s">
        <v>614</v>
      </c>
      <c r="E238" t="s">
        <v>40</v>
      </c>
      <c r="F238" t="s">
        <v>246</v>
      </c>
      <c r="G238">
        <v>9</v>
      </c>
      <c r="H238" s="7">
        <v>266.14</v>
      </c>
      <c r="I238" t="s">
        <v>32</v>
      </c>
      <c r="J238" t="s">
        <v>19</v>
      </c>
      <c r="K238">
        <v>5</v>
      </c>
      <c r="L238" s="7">
        <f t="shared" si="10"/>
        <v>2395.2599999999998</v>
      </c>
      <c r="M238" s="7"/>
      <c r="O238">
        <f t="shared" si="11"/>
        <v>2</v>
      </c>
      <c r="Q238" t="s">
        <v>33</v>
      </c>
    </row>
    <row r="239" spans="1:17" x14ac:dyDescent="0.3">
      <c r="A239" t="s">
        <v>615</v>
      </c>
      <c r="B239" s="6">
        <v>45215</v>
      </c>
      <c r="C239" s="6" t="str">
        <f t="shared" si="9"/>
        <v>Oct</v>
      </c>
      <c r="D239" t="s">
        <v>616</v>
      </c>
      <c r="E239" t="s">
        <v>50</v>
      </c>
      <c r="F239" t="s">
        <v>372</v>
      </c>
      <c r="G239">
        <v>2</v>
      </c>
      <c r="H239" s="7">
        <v>89.94</v>
      </c>
      <c r="I239" t="s">
        <v>64</v>
      </c>
      <c r="J239" t="s">
        <v>87</v>
      </c>
      <c r="K239">
        <v>5</v>
      </c>
      <c r="L239" s="7">
        <f t="shared" si="10"/>
        <v>179.88</v>
      </c>
      <c r="M239" s="7"/>
      <c r="O239">
        <f t="shared" si="11"/>
        <v>2</v>
      </c>
      <c r="Q239" t="s">
        <v>65</v>
      </c>
    </row>
    <row r="240" spans="1:17" x14ac:dyDescent="0.3">
      <c r="A240" t="s">
        <v>617</v>
      </c>
      <c r="B240" s="6">
        <v>45017</v>
      </c>
      <c r="C240" s="6" t="str">
        <f t="shared" si="9"/>
        <v>Apr</v>
      </c>
      <c r="D240" t="s">
        <v>618</v>
      </c>
      <c r="E240" t="s">
        <v>36</v>
      </c>
      <c r="F240" t="s">
        <v>619</v>
      </c>
      <c r="G240">
        <v>2</v>
      </c>
      <c r="H240" s="7">
        <v>87.89</v>
      </c>
      <c r="I240" t="s">
        <v>64</v>
      </c>
      <c r="J240" t="s">
        <v>28</v>
      </c>
      <c r="K240">
        <v>0</v>
      </c>
      <c r="L240" s="7">
        <f t="shared" si="10"/>
        <v>175.78</v>
      </c>
      <c r="M240" s="7"/>
      <c r="O240">
        <f t="shared" si="11"/>
        <v>2</v>
      </c>
      <c r="Q240" t="s">
        <v>65</v>
      </c>
    </row>
    <row r="241" spans="1:17" x14ac:dyDescent="0.3">
      <c r="A241" t="s">
        <v>620</v>
      </c>
      <c r="B241" s="6">
        <v>45193</v>
      </c>
      <c r="C241" s="6" t="str">
        <f t="shared" si="9"/>
        <v>Sep</v>
      </c>
      <c r="D241" t="s">
        <v>621</v>
      </c>
      <c r="E241" t="s">
        <v>19</v>
      </c>
      <c r="F241" t="s">
        <v>257</v>
      </c>
      <c r="G241">
        <v>2</v>
      </c>
      <c r="H241" s="7">
        <v>233.98</v>
      </c>
      <c r="I241" t="s">
        <v>64</v>
      </c>
      <c r="J241" t="s">
        <v>42</v>
      </c>
      <c r="K241">
        <v>20</v>
      </c>
      <c r="L241" s="7">
        <f t="shared" si="10"/>
        <v>467.96</v>
      </c>
      <c r="M241" s="7"/>
      <c r="O241">
        <f t="shared" si="11"/>
        <v>2</v>
      </c>
      <c r="Q241" t="s">
        <v>65</v>
      </c>
    </row>
    <row r="242" spans="1:17" x14ac:dyDescent="0.3">
      <c r="A242" t="s">
        <v>622</v>
      </c>
      <c r="B242" s="6">
        <v>45171</v>
      </c>
      <c r="C242" s="6" t="str">
        <f t="shared" si="9"/>
        <v>Sep</v>
      </c>
      <c r="D242" t="s">
        <v>623</v>
      </c>
      <c r="E242" t="s">
        <v>19</v>
      </c>
      <c r="F242" t="s">
        <v>504</v>
      </c>
      <c r="G242">
        <v>6</v>
      </c>
      <c r="H242" s="7">
        <v>21.47</v>
      </c>
      <c r="I242" t="s">
        <v>103</v>
      </c>
      <c r="J242" t="s">
        <v>72</v>
      </c>
      <c r="K242">
        <v>20</v>
      </c>
      <c r="L242" s="7">
        <f t="shared" si="10"/>
        <v>128.82</v>
      </c>
      <c r="M242" s="7"/>
      <c r="O242">
        <f t="shared" si="11"/>
        <v>2</v>
      </c>
      <c r="Q242" t="s">
        <v>104</v>
      </c>
    </row>
    <row r="243" spans="1:17" x14ac:dyDescent="0.3">
      <c r="A243" t="s">
        <v>624</v>
      </c>
      <c r="B243" s="6">
        <v>45195</v>
      </c>
      <c r="C243" s="6" t="str">
        <f t="shared" si="9"/>
        <v>Sep</v>
      </c>
      <c r="D243" t="s">
        <v>219</v>
      </c>
      <c r="E243" t="s">
        <v>36</v>
      </c>
      <c r="F243" t="s">
        <v>20</v>
      </c>
      <c r="G243">
        <v>3</v>
      </c>
      <c r="H243" s="7">
        <v>65.33</v>
      </c>
      <c r="I243" t="s">
        <v>64</v>
      </c>
      <c r="J243" t="s">
        <v>19</v>
      </c>
      <c r="K243">
        <v>15</v>
      </c>
      <c r="L243" s="7">
        <f t="shared" si="10"/>
        <v>195.99</v>
      </c>
      <c r="M243" s="7"/>
      <c r="O243">
        <f t="shared" si="11"/>
        <v>2</v>
      </c>
      <c r="Q243" t="s">
        <v>65</v>
      </c>
    </row>
    <row r="244" spans="1:17" x14ac:dyDescent="0.3">
      <c r="A244" t="s">
        <v>625</v>
      </c>
      <c r="B244" s="6">
        <v>45006</v>
      </c>
      <c r="C244" s="6" t="str">
        <f t="shared" si="9"/>
        <v>Mar</v>
      </c>
      <c r="D244" t="s">
        <v>626</v>
      </c>
      <c r="E244" t="s">
        <v>19</v>
      </c>
      <c r="F244" t="s">
        <v>627</v>
      </c>
      <c r="G244">
        <v>9</v>
      </c>
      <c r="H244" s="7">
        <v>210.85</v>
      </c>
      <c r="I244" t="s">
        <v>46</v>
      </c>
      <c r="J244" t="s">
        <v>28</v>
      </c>
      <c r="K244">
        <v>10</v>
      </c>
      <c r="L244" s="7">
        <f t="shared" si="10"/>
        <v>1897.6499999999999</v>
      </c>
      <c r="M244" s="7"/>
      <c r="O244">
        <f t="shared" si="11"/>
        <v>2</v>
      </c>
      <c r="Q244" t="s">
        <v>47</v>
      </c>
    </row>
    <row r="245" spans="1:17" x14ac:dyDescent="0.3">
      <c r="A245" t="s">
        <v>628</v>
      </c>
      <c r="B245" s="6">
        <v>45146</v>
      </c>
      <c r="C245" s="6" t="str">
        <f t="shared" si="9"/>
        <v>Aug</v>
      </c>
      <c r="D245" t="s">
        <v>629</v>
      </c>
      <c r="E245" t="s">
        <v>26</v>
      </c>
      <c r="F245" t="s">
        <v>406</v>
      </c>
      <c r="G245">
        <v>4</v>
      </c>
      <c r="H245" s="7">
        <v>36.25</v>
      </c>
      <c r="I245" t="s">
        <v>64</v>
      </c>
      <c r="J245" t="s">
        <v>19</v>
      </c>
      <c r="K245">
        <v>10</v>
      </c>
      <c r="L245" s="7">
        <f t="shared" si="10"/>
        <v>145</v>
      </c>
      <c r="M245" s="7"/>
      <c r="O245">
        <f t="shared" si="11"/>
        <v>2</v>
      </c>
      <c r="Q245" t="s">
        <v>65</v>
      </c>
    </row>
    <row r="246" spans="1:17" x14ac:dyDescent="0.3">
      <c r="A246" t="s">
        <v>630</v>
      </c>
      <c r="B246" s="6">
        <v>45106</v>
      </c>
      <c r="C246" s="6" t="str">
        <f t="shared" si="9"/>
        <v>Jun</v>
      </c>
      <c r="D246" t="s">
        <v>631</v>
      </c>
      <c r="E246" t="s">
        <v>50</v>
      </c>
      <c r="F246" t="s">
        <v>237</v>
      </c>
      <c r="G246">
        <v>1</v>
      </c>
      <c r="H246" s="7">
        <v>201.39</v>
      </c>
      <c r="I246" t="s">
        <v>46</v>
      </c>
      <c r="J246" t="s">
        <v>28</v>
      </c>
      <c r="K246">
        <v>0</v>
      </c>
      <c r="L246" s="7">
        <f t="shared" si="10"/>
        <v>201.39</v>
      </c>
      <c r="M246" s="7"/>
      <c r="O246">
        <f t="shared" si="11"/>
        <v>2</v>
      </c>
      <c r="Q246" t="s">
        <v>47</v>
      </c>
    </row>
    <row r="247" spans="1:17" x14ac:dyDescent="0.3">
      <c r="A247" t="s">
        <v>632</v>
      </c>
      <c r="B247" s="6">
        <v>45139</v>
      </c>
      <c r="C247" s="6" t="str">
        <f t="shared" si="9"/>
        <v>Aug</v>
      </c>
      <c r="D247" t="s">
        <v>633</v>
      </c>
      <c r="E247" t="s">
        <v>19</v>
      </c>
      <c r="F247" t="s">
        <v>84</v>
      </c>
      <c r="G247">
        <v>4</v>
      </c>
      <c r="H247" s="7">
        <v>239.63</v>
      </c>
      <c r="I247" t="s">
        <v>46</v>
      </c>
      <c r="J247" t="s">
        <v>19</v>
      </c>
      <c r="K247">
        <v>5</v>
      </c>
      <c r="L247" s="7">
        <f t="shared" si="10"/>
        <v>958.52</v>
      </c>
      <c r="M247" s="7"/>
      <c r="O247">
        <f t="shared" si="11"/>
        <v>2</v>
      </c>
      <c r="Q247" t="s">
        <v>47</v>
      </c>
    </row>
    <row r="248" spans="1:17" x14ac:dyDescent="0.3">
      <c r="A248" t="s">
        <v>634</v>
      </c>
      <c r="B248" s="6">
        <v>45154</v>
      </c>
      <c r="C248" s="6" t="str">
        <f t="shared" si="9"/>
        <v>Aug</v>
      </c>
      <c r="D248" t="s">
        <v>635</v>
      </c>
      <c r="E248" t="s">
        <v>62</v>
      </c>
      <c r="F248" t="s">
        <v>474</v>
      </c>
      <c r="G248">
        <v>1</v>
      </c>
      <c r="H248" s="7">
        <v>228.38</v>
      </c>
      <c r="I248" t="s">
        <v>64</v>
      </c>
      <c r="J248" t="s">
        <v>72</v>
      </c>
      <c r="K248">
        <v>0</v>
      </c>
      <c r="L248" s="7">
        <f t="shared" si="10"/>
        <v>228.38</v>
      </c>
      <c r="M248" s="7"/>
      <c r="O248">
        <f t="shared" si="11"/>
        <v>2</v>
      </c>
      <c r="Q248" t="s">
        <v>65</v>
      </c>
    </row>
    <row r="249" spans="1:17" x14ac:dyDescent="0.3">
      <c r="A249" t="s">
        <v>636</v>
      </c>
      <c r="B249" s="6">
        <v>45279</v>
      </c>
      <c r="C249" s="6" t="str">
        <f t="shared" si="9"/>
        <v>Dec</v>
      </c>
      <c r="D249" t="s">
        <v>637</v>
      </c>
      <c r="E249" t="s">
        <v>40</v>
      </c>
      <c r="F249" t="s">
        <v>99</v>
      </c>
      <c r="G249">
        <v>5</v>
      </c>
      <c r="H249" s="7">
        <v>435.24</v>
      </c>
      <c r="I249" t="s">
        <v>19</v>
      </c>
      <c r="J249" t="s">
        <v>87</v>
      </c>
      <c r="K249">
        <v>20</v>
      </c>
      <c r="L249" s="7">
        <f t="shared" si="10"/>
        <v>2176.1999999999998</v>
      </c>
      <c r="M249" s="7"/>
      <c r="O249">
        <f t="shared" si="11"/>
        <v>2</v>
      </c>
      <c r="Q249" t="s">
        <v>19</v>
      </c>
    </row>
    <row r="250" spans="1:17" x14ac:dyDescent="0.3">
      <c r="A250" t="s">
        <v>638</v>
      </c>
      <c r="B250" s="6">
        <v>45281</v>
      </c>
      <c r="C250" s="6" t="str">
        <f t="shared" si="9"/>
        <v>Dec</v>
      </c>
      <c r="D250" t="s">
        <v>639</v>
      </c>
      <c r="E250" t="s">
        <v>36</v>
      </c>
      <c r="F250" t="s">
        <v>389</v>
      </c>
      <c r="G250">
        <v>4</v>
      </c>
      <c r="H250" s="7">
        <v>267.38</v>
      </c>
      <c r="I250" t="s">
        <v>103</v>
      </c>
      <c r="J250" t="s">
        <v>22</v>
      </c>
      <c r="K250">
        <v>10</v>
      </c>
      <c r="L250" s="7">
        <f t="shared" si="10"/>
        <v>1069.52</v>
      </c>
      <c r="M250" s="7"/>
      <c r="O250">
        <f t="shared" si="11"/>
        <v>2</v>
      </c>
      <c r="Q250" t="s">
        <v>104</v>
      </c>
    </row>
    <row r="251" spans="1:17" x14ac:dyDescent="0.3">
      <c r="A251" t="s">
        <v>640</v>
      </c>
      <c r="B251" s="6">
        <v>44964</v>
      </c>
      <c r="C251" s="6" t="str">
        <f t="shared" si="9"/>
        <v>Feb</v>
      </c>
      <c r="D251" t="s">
        <v>641</v>
      </c>
      <c r="E251" t="s">
        <v>62</v>
      </c>
      <c r="F251" t="s">
        <v>642</v>
      </c>
      <c r="G251">
        <v>8</v>
      </c>
      <c r="H251" s="7">
        <v>236.65</v>
      </c>
      <c r="I251" t="s">
        <v>21</v>
      </c>
      <c r="J251" t="s">
        <v>22</v>
      </c>
      <c r="K251">
        <v>10</v>
      </c>
      <c r="L251" s="7">
        <f t="shared" si="10"/>
        <v>1893.2</v>
      </c>
      <c r="M251" s="7"/>
      <c r="O251">
        <f t="shared" si="11"/>
        <v>2</v>
      </c>
      <c r="Q251" t="s">
        <v>23</v>
      </c>
    </row>
    <row r="252" spans="1:17" x14ac:dyDescent="0.3">
      <c r="A252" t="s">
        <v>643</v>
      </c>
      <c r="B252" s="6">
        <v>45204</v>
      </c>
      <c r="C252" s="6" t="str">
        <f t="shared" si="9"/>
        <v>Oct</v>
      </c>
      <c r="D252" t="s">
        <v>305</v>
      </c>
      <c r="E252" t="s">
        <v>36</v>
      </c>
      <c r="F252" t="s">
        <v>20</v>
      </c>
      <c r="G252">
        <v>8</v>
      </c>
      <c r="H252" s="7">
        <v>208.3</v>
      </c>
      <c r="I252" t="s">
        <v>21</v>
      </c>
      <c r="J252" t="s">
        <v>22</v>
      </c>
      <c r="K252">
        <v>10</v>
      </c>
      <c r="L252" s="7">
        <f t="shared" si="10"/>
        <v>1666.4</v>
      </c>
      <c r="M252" s="7"/>
      <c r="O252">
        <f t="shared" si="11"/>
        <v>2</v>
      </c>
      <c r="Q252" t="s">
        <v>23</v>
      </c>
    </row>
    <row r="253" spans="1:17" x14ac:dyDescent="0.3">
      <c r="A253" t="s">
        <v>644</v>
      </c>
      <c r="B253" s="6">
        <v>44972</v>
      </c>
      <c r="C253" s="6" t="str">
        <f t="shared" si="9"/>
        <v>Feb</v>
      </c>
      <c r="D253" t="s">
        <v>645</v>
      </c>
      <c r="E253" t="s">
        <v>19</v>
      </c>
      <c r="F253" t="s">
        <v>646</v>
      </c>
      <c r="G253">
        <v>7</v>
      </c>
      <c r="H253" s="7">
        <v>409.72</v>
      </c>
      <c r="I253" t="s">
        <v>21</v>
      </c>
      <c r="J253" t="s">
        <v>72</v>
      </c>
      <c r="K253">
        <v>5</v>
      </c>
      <c r="L253" s="7">
        <f t="shared" si="10"/>
        <v>2868.04</v>
      </c>
      <c r="M253" s="7"/>
      <c r="O253">
        <f t="shared" si="11"/>
        <v>3</v>
      </c>
      <c r="Q253" t="s">
        <v>23</v>
      </c>
    </row>
    <row r="254" spans="1:17" x14ac:dyDescent="0.3">
      <c r="A254" t="s">
        <v>647</v>
      </c>
      <c r="B254" s="6">
        <v>45223</v>
      </c>
      <c r="C254" s="6" t="str">
        <f t="shared" si="9"/>
        <v>Oct</v>
      </c>
      <c r="D254" t="s">
        <v>648</v>
      </c>
      <c r="E254" t="s">
        <v>62</v>
      </c>
      <c r="F254" t="s">
        <v>538</v>
      </c>
      <c r="G254">
        <v>3</v>
      </c>
      <c r="H254" s="7">
        <v>448.05</v>
      </c>
      <c r="I254" t="s">
        <v>64</v>
      </c>
      <c r="J254" t="s">
        <v>72</v>
      </c>
      <c r="K254">
        <v>0</v>
      </c>
      <c r="L254" s="7">
        <f t="shared" si="10"/>
        <v>1344.15</v>
      </c>
      <c r="M254" s="7"/>
      <c r="O254">
        <f t="shared" si="11"/>
        <v>2</v>
      </c>
      <c r="Q254" t="s">
        <v>65</v>
      </c>
    </row>
    <row r="255" spans="1:17" x14ac:dyDescent="0.3">
      <c r="A255" t="s">
        <v>649</v>
      </c>
      <c r="B255" s="6">
        <v>45210</v>
      </c>
      <c r="C255" s="6" t="str">
        <f t="shared" si="9"/>
        <v>Oct</v>
      </c>
      <c r="D255" t="s">
        <v>650</v>
      </c>
      <c r="E255" t="s">
        <v>26</v>
      </c>
      <c r="F255" t="s">
        <v>331</v>
      </c>
      <c r="G255">
        <v>1</v>
      </c>
      <c r="H255" s="7">
        <v>427.36</v>
      </c>
      <c r="I255" t="s">
        <v>19</v>
      </c>
      <c r="J255" t="s">
        <v>87</v>
      </c>
      <c r="K255">
        <v>15</v>
      </c>
      <c r="L255" s="7">
        <f t="shared" si="10"/>
        <v>427.36</v>
      </c>
      <c r="M255" s="7"/>
      <c r="O255">
        <f t="shared" si="11"/>
        <v>2</v>
      </c>
      <c r="Q255" t="s">
        <v>19</v>
      </c>
    </row>
    <row r="256" spans="1:17" x14ac:dyDescent="0.3">
      <c r="A256" t="s">
        <v>651</v>
      </c>
      <c r="B256" s="6">
        <v>45058</v>
      </c>
      <c r="C256" s="6" t="str">
        <f t="shared" si="9"/>
        <v>May</v>
      </c>
      <c r="D256" t="s">
        <v>652</v>
      </c>
      <c r="E256" t="s">
        <v>19</v>
      </c>
      <c r="F256" t="s">
        <v>81</v>
      </c>
      <c r="G256">
        <v>1</v>
      </c>
      <c r="H256" s="7">
        <v>338.41</v>
      </c>
      <c r="I256" t="s">
        <v>32</v>
      </c>
      <c r="J256" t="s">
        <v>87</v>
      </c>
      <c r="K256">
        <v>20</v>
      </c>
      <c r="L256" s="7">
        <f t="shared" si="10"/>
        <v>338.41</v>
      </c>
      <c r="M256" s="7"/>
      <c r="O256">
        <f t="shared" si="11"/>
        <v>2</v>
      </c>
      <c r="Q256" t="s">
        <v>33</v>
      </c>
    </row>
    <row r="257" spans="1:17" x14ac:dyDescent="0.3">
      <c r="A257" t="s">
        <v>653</v>
      </c>
      <c r="B257" s="6">
        <v>45069</v>
      </c>
      <c r="C257" s="6" t="str">
        <f t="shared" si="9"/>
        <v>May</v>
      </c>
      <c r="D257" t="s">
        <v>654</v>
      </c>
      <c r="E257" t="s">
        <v>62</v>
      </c>
      <c r="F257" t="s">
        <v>420</v>
      </c>
      <c r="G257">
        <v>3</v>
      </c>
      <c r="H257" s="7">
        <v>72.989999999999995</v>
      </c>
      <c r="I257" t="s">
        <v>103</v>
      </c>
      <c r="J257" t="s">
        <v>19</v>
      </c>
      <c r="K257">
        <v>10</v>
      </c>
      <c r="L257" s="7">
        <f t="shared" si="10"/>
        <v>218.96999999999997</v>
      </c>
      <c r="M257" s="7"/>
      <c r="O257">
        <f t="shared" si="11"/>
        <v>2</v>
      </c>
      <c r="Q257" t="s">
        <v>104</v>
      </c>
    </row>
    <row r="258" spans="1:17" x14ac:dyDescent="0.3">
      <c r="A258" t="s">
        <v>655</v>
      </c>
      <c r="B258" s="6">
        <v>45142</v>
      </c>
      <c r="C258" s="6" t="str">
        <f t="shared" si="9"/>
        <v>Aug</v>
      </c>
      <c r="D258" t="s">
        <v>656</v>
      </c>
      <c r="E258" t="s">
        <v>31</v>
      </c>
      <c r="F258" t="s">
        <v>657</v>
      </c>
      <c r="G258">
        <v>6</v>
      </c>
      <c r="H258" s="7">
        <v>252.16</v>
      </c>
      <c r="I258" t="s">
        <v>46</v>
      </c>
      <c r="J258" t="s">
        <v>42</v>
      </c>
      <c r="K258">
        <v>10</v>
      </c>
      <c r="L258" s="7">
        <f t="shared" si="10"/>
        <v>1512.96</v>
      </c>
      <c r="M258" s="7"/>
      <c r="O258">
        <f t="shared" si="11"/>
        <v>2</v>
      </c>
      <c r="Q258" t="s">
        <v>47</v>
      </c>
    </row>
    <row r="259" spans="1:17" x14ac:dyDescent="0.3">
      <c r="A259" t="s">
        <v>658</v>
      </c>
      <c r="B259" s="6">
        <v>45292</v>
      </c>
      <c r="C259" s="6" t="str">
        <f t="shared" ref="C259:C322" si="12">TEXT(B259,"MMM")</f>
        <v>Jan</v>
      </c>
      <c r="D259" t="s">
        <v>659</v>
      </c>
      <c r="E259" t="s">
        <v>62</v>
      </c>
      <c r="F259" t="s">
        <v>125</v>
      </c>
      <c r="G259">
        <v>7</v>
      </c>
      <c r="H259" s="7">
        <v>27.8</v>
      </c>
      <c r="I259" t="s">
        <v>46</v>
      </c>
      <c r="J259" t="s">
        <v>72</v>
      </c>
      <c r="K259">
        <v>0</v>
      </c>
      <c r="L259" s="7">
        <f t="shared" ref="L259:L322" si="13">G259*H259</f>
        <v>194.6</v>
      </c>
      <c r="M259" s="7"/>
      <c r="O259">
        <f t="shared" si="11"/>
        <v>2</v>
      </c>
      <c r="Q259" t="s">
        <v>47</v>
      </c>
    </row>
    <row r="260" spans="1:17" x14ac:dyDescent="0.3">
      <c r="A260" t="s">
        <v>660</v>
      </c>
      <c r="B260" s="6">
        <v>45254</v>
      </c>
      <c r="C260" s="6" t="str">
        <f t="shared" si="12"/>
        <v>Nov</v>
      </c>
      <c r="D260" t="s">
        <v>661</v>
      </c>
      <c r="E260" t="s">
        <v>40</v>
      </c>
      <c r="F260" t="s">
        <v>662</v>
      </c>
      <c r="G260">
        <v>6</v>
      </c>
      <c r="H260" s="7">
        <v>465.76</v>
      </c>
      <c r="I260" t="s">
        <v>32</v>
      </c>
      <c r="J260" t="s">
        <v>72</v>
      </c>
      <c r="K260">
        <v>20</v>
      </c>
      <c r="L260" s="7">
        <f t="shared" si="13"/>
        <v>2794.56</v>
      </c>
      <c r="M260" s="7"/>
      <c r="O260">
        <f t="shared" ref="O260:O323" si="14">IF(L260&gt;3500,5,IF(L260&gt;3000,4,IF(L260&gt;2500,3,IF(L260&gt;2000,2,IF(L260&gt;1000,2,2)))))</f>
        <v>3</v>
      </c>
      <c r="Q260" t="s">
        <v>33</v>
      </c>
    </row>
    <row r="261" spans="1:17" x14ac:dyDescent="0.3">
      <c r="A261" t="s">
        <v>663</v>
      </c>
      <c r="B261" s="6">
        <v>45104</v>
      </c>
      <c r="C261" s="6" t="str">
        <f t="shared" si="12"/>
        <v>Jun</v>
      </c>
      <c r="D261" t="s">
        <v>664</v>
      </c>
      <c r="E261" t="s">
        <v>62</v>
      </c>
      <c r="F261" t="s">
        <v>665</v>
      </c>
      <c r="G261">
        <v>6</v>
      </c>
      <c r="H261" s="7">
        <v>332.1</v>
      </c>
      <c r="I261" t="s">
        <v>19</v>
      </c>
      <c r="J261" t="s">
        <v>19</v>
      </c>
      <c r="K261">
        <v>20</v>
      </c>
      <c r="L261" s="7">
        <f t="shared" si="13"/>
        <v>1992.6000000000001</v>
      </c>
      <c r="M261" s="7"/>
      <c r="O261">
        <f t="shared" si="14"/>
        <v>2</v>
      </c>
      <c r="Q261" t="s">
        <v>19</v>
      </c>
    </row>
    <row r="262" spans="1:17" x14ac:dyDescent="0.3">
      <c r="A262" t="s">
        <v>666</v>
      </c>
      <c r="B262" s="6">
        <v>44955</v>
      </c>
      <c r="C262" s="6" t="str">
        <f t="shared" si="12"/>
        <v>Jan</v>
      </c>
      <c r="D262" t="s">
        <v>667</v>
      </c>
      <c r="E262" t="s">
        <v>26</v>
      </c>
      <c r="F262" t="s">
        <v>322</v>
      </c>
      <c r="G262">
        <v>6</v>
      </c>
      <c r="H262" s="7">
        <v>374.45</v>
      </c>
      <c r="I262" t="s">
        <v>19</v>
      </c>
      <c r="J262" t="s">
        <v>72</v>
      </c>
      <c r="K262">
        <v>10</v>
      </c>
      <c r="L262" s="7">
        <f t="shared" si="13"/>
        <v>2246.6999999999998</v>
      </c>
      <c r="M262" s="7"/>
      <c r="O262">
        <f t="shared" si="14"/>
        <v>2</v>
      </c>
      <c r="Q262" t="s">
        <v>19</v>
      </c>
    </row>
    <row r="263" spans="1:17" x14ac:dyDescent="0.3">
      <c r="A263" t="s">
        <v>668</v>
      </c>
      <c r="B263" s="6">
        <v>45130</v>
      </c>
      <c r="C263" s="6" t="str">
        <f t="shared" si="12"/>
        <v>Jul</v>
      </c>
      <c r="D263" t="s">
        <v>669</v>
      </c>
      <c r="E263" t="s">
        <v>19</v>
      </c>
      <c r="F263" t="s">
        <v>657</v>
      </c>
      <c r="G263">
        <v>3</v>
      </c>
      <c r="H263" s="7">
        <v>159.22999999999999</v>
      </c>
      <c r="I263" t="s">
        <v>32</v>
      </c>
      <c r="J263" t="s">
        <v>72</v>
      </c>
      <c r="K263">
        <v>10</v>
      </c>
      <c r="L263" s="7">
        <f t="shared" si="13"/>
        <v>477.68999999999994</v>
      </c>
      <c r="M263" s="7"/>
      <c r="O263">
        <f t="shared" si="14"/>
        <v>2</v>
      </c>
      <c r="Q263" t="s">
        <v>33</v>
      </c>
    </row>
    <row r="264" spans="1:17" x14ac:dyDescent="0.3">
      <c r="A264" t="s">
        <v>670</v>
      </c>
      <c r="B264" s="6">
        <v>44967</v>
      </c>
      <c r="C264" s="6" t="str">
        <f t="shared" si="12"/>
        <v>Feb</v>
      </c>
      <c r="D264" t="s">
        <v>671</v>
      </c>
      <c r="E264" t="s">
        <v>19</v>
      </c>
      <c r="F264" t="s">
        <v>179</v>
      </c>
      <c r="G264">
        <v>6</v>
      </c>
      <c r="H264" s="7">
        <v>423.6</v>
      </c>
      <c r="I264" t="s">
        <v>103</v>
      </c>
      <c r="J264" t="s">
        <v>28</v>
      </c>
      <c r="K264">
        <v>10</v>
      </c>
      <c r="L264" s="7">
        <f t="shared" si="13"/>
        <v>2541.6000000000004</v>
      </c>
      <c r="M264" s="7"/>
      <c r="O264">
        <f t="shared" si="14"/>
        <v>3</v>
      </c>
      <c r="Q264" t="s">
        <v>104</v>
      </c>
    </row>
    <row r="265" spans="1:17" x14ac:dyDescent="0.3">
      <c r="A265" t="s">
        <v>672</v>
      </c>
      <c r="B265" s="6">
        <v>45169</v>
      </c>
      <c r="C265" s="6" t="str">
        <f t="shared" si="12"/>
        <v>Aug</v>
      </c>
      <c r="D265" t="s">
        <v>673</v>
      </c>
      <c r="E265" t="s">
        <v>31</v>
      </c>
      <c r="F265" t="s">
        <v>263</v>
      </c>
      <c r="G265">
        <v>8</v>
      </c>
      <c r="H265" s="7">
        <v>133.5</v>
      </c>
      <c r="I265" t="s">
        <v>32</v>
      </c>
      <c r="J265" t="s">
        <v>87</v>
      </c>
      <c r="K265">
        <v>10</v>
      </c>
      <c r="L265" s="7">
        <f t="shared" si="13"/>
        <v>1068</v>
      </c>
      <c r="M265" s="7"/>
      <c r="O265">
        <f t="shared" si="14"/>
        <v>2</v>
      </c>
      <c r="Q265" t="s">
        <v>33</v>
      </c>
    </row>
    <row r="266" spans="1:17" x14ac:dyDescent="0.3">
      <c r="A266" t="s">
        <v>674</v>
      </c>
      <c r="B266" s="6">
        <v>45094</v>
      </c>
      <c r="C266" s="6" t="str">
        <f t="shared" si="12"/>
        <v>Jun</v>
      </c>
      <c r="D266" t="s">
        <v>675</v>
      </c>
      <c r="E266" t="s">
        <v>50</v>
      </c>
      <c r="F266" t="s">
        <v>151</v>
      </c>
      <c r="G266">
        <v>2</v>
      </c>
      <c r="H266" s="7">
        <v>5.81</v>
      </c>
      <c r="I266" t="s">
        <v>46</v>
      </c>
      <c r="J266" t="s">
        <v>19</v>
      </c>
      <c r="K266">
        <v>10</v>
      </c>
      <c r="L266" s="7">
        <f t="shared" si="13"/>
        <v>11.62</v>
      </c>
      <c r="M266" s="7"/>
      <c r="O266">
        <f t="shared" si="14"/>
        <v>2</v>
      </c>
      <c r="Q266" t="s">
        <v>47</v>
      </c>
    </row>
    <row r="267" spans="1:17" x14ac:dyDescent="0.3">
      <c r="A267" t="s">
        <v>676</v>
      </c>
      <c r="B267" s="6">
        <v>45022</v>
      </c>
      <c r="C267" s="6" t="str">
        <f t="shared" si="12"/>
        <v>Apr</v>
      </c>
      <c r="D267" t="s">
        <v>677</v>
      </c>
      <c r="E267" t="s">
        <v>31</v>
      </c>
      <c r="F267" t="s">
        <v>356</v>
      </c>
      <c r="G267">
        <v>5</v>
      </c>
      <c r="H267" s="7">
        <v>191.33</v>
      </c>
      <c r="I267" t="s">
        <v>64</v>
      </c>
      <c r="J267" t="s">
        <v>22</v>
      </c>
      <c r="K267">
        <v>0</v>
      </c>
      <c r="L267" s="7">
        <f t="shared" si="13"/>
        <v>956.65000000000009</v>
      </c>
      <c r="M267" s="7"/>
      <c r="O267">
        <f t="shared" si="14"/>
        <v>2</v>
      </c>
      <c r="Q267" t="s">
        <v>65</v>
      </c>
    </row>
    <row r="268" spans="1:17" x14ac:dyDescent="0.3">
      <c r="A268" t="s">
        <v>678</v>
      </c>
      <c r="B268" s="6">
        <v>45252</v>
      </c>
      <c r="C268" s="6" t="str">
        <f t="shared" si="12"/>
        <v>Nov</v>
      </c>
      <c r="D268" t="s">
        <v>679</v>
      </c>
      <c r="E268" t="s">
        <v>19</v>
      </c>
      <c r="F268" t="s">
        <v>389</v>
      </c>
      <c r="G268">
        <v>1</v>
      </c>
      <c r="H268" s="7">
        <v>287.52999999999997</v>
      </c>
      <c r="I268" t="s">
        <v>32</v>
      </c>
      <c r="J268" t="s">
        <v>87</v>
      </c>
      <c r="K268">
        <v>10</v>
      </c>
      <c r="L268" s="7">
        <f t="shared" si="13"/>
        <v>287.52999999999997</v>
      </c>
      <c r="M268" s="7"/>
      <c r="O268">
        <f t="shared" si="14"/>
        <v>2</v>
      </c>
      <c r="Q268" t="s">
        <v>33</v>
      </c>
    </row>
    <row r="269" spans="1:17" x14ac:dyDescent="0.3">
      <c r="A269" t="s">
        <v>680</v>
      </c>
      <c r="B269" s="6">
        <v>45282</v>
      </c>
      <c r="C269" s="6" t="str">
        <f t="shared" si="12"/>
        <v>Dec</v>
      </c>
      <c r="D269" t="s">
        <v>219</v>
      </c>
      <c r="E269" t="s">
        <v>36</v>
      </c>
      <c r="F269" t="s">
        <v>341</v>
      </c>
      <c r="G269">
        <v>1</v>
      </c>
      <c r="H269" s="7">
        <v>241.96</v>
      </c>
      <c r="I269" t="s">
        <v>21</v>
      </c>
      <c r="J269" t="s">
        <v>72</v>
      </c>
      <c r="K269">
        <v>15</v>
      </c>
      <c r="L269" s="7">
        <f t="shared" si="13"/>
        <v>241.96</v>
      </c>
      <c r="M269" s="7"/>
      <c r="O269">
        <f t="shared" si="14"/>
        <v>2</v>
      </c>
      <c r="Q269" t="s">
        <v>23</v>
      </c>
    </row>
    <row r="270" spans="1:17" x14ac:dyDescent="0.3">
      <c r="A270" t="s">
        <v>681</v>
      </c>
      <c r="B270" s="6">
        <v>44977</v>
      </c>
      <c r="C270" s="6" t="str">
        <f t="shared" si="12"/>
        <v>Feb</v>
      </c>
      <c r="D270" t="s">
        <v>682</v>
      </c>
      <c r="E270" t="s">
        <v>31</v>
      </c>
      <c r="F270" t="s">
        <v>520</v>
      </c>
      <c r="G270">
        <v>5</v>
      </c>
      <c r="H270" s="7">
        <v>431.73</v>
      </c>
      <c r="I270" t="s">
        <v>46</v>
      </c>
      <c r="J270" t="s">
        <v>28</v>
      </c>
      <c r="K270">
        <v>20</v>
      </c>
      <c r="L270" s="7">
        <f t="shared" si="13"/>
        <v>2158.65</v>
      </c>
      <c r="M270" s="7"/>
      <c r="O270">
        <f t="shared" si="14"/>
        <v>2</v>
      </c>
      <c r="Q270" t="s">
        <v>47</v>
      </c>
    </row>
    <row r="271" spans="1:17" x14ac:dyDescent="0.3">
      <c r="A271" t="s">
        <v>683</v>
      </c>
      <c r="B271" s="6">
        <v>45022</v>
      </c>
      <c r="C271" s="6" t="str">
        <f t="shared" si="12"/>
        <v>Apr</v>
      </c>
      <c r="D271" t="s">
        <v>127</v>
      </c>
      <c r="E271" t="s">
        <v>40</v>
      </c>
      <c r="F271" t="s">
        <v>684</v>
      </c>
      <c r="G271">
        <v>3</v>
      </c>
      <c r="H271" s="7">
        <v>57.18</v>
      </c>
      <c r="I271" t="s">
        <v>103</v>
      </c>
      <c r="J271" t="s">
        <v>42</v>
      </c>
      <c r="K271">
        <v>10</v>
      </c>
      <c r="L271" s="7">
        <f t="shared" si="13"/>
        <v>171.54</v>
      </c>
      <c r="M271" s="7"/>
      <c r="O271">
        <f t="shared" si="14"/>
        <v>2</v>
      </c>
      <c r="Q271" t="s">
        <v>104</v>
      </c>
    </row>
    <row r="272" spans="1:17" x14ac:dyDescent="0.3">
      <c r="A272" t="s">
        <v>685</v>
      </c>
      <c r="B272" s="6">
        <v>45203</v>
      </c>
      <c r="C272" s="6" t="str">
        <f t="shared" si="12"/>
        <v>Oct</v>
      </c>
      <c r="D272" t="s">
        <v>686</v>
      </c>
      <c r="E272" t="s">
        <v>31</v>
      </c>
      <c r="F272" t="s">
        <v>687</v>
      </c>
      <c r="G272">
        <v>4</v>
      </c>
      <c r="H272" s="7">
        <v>279.14</v>
      </c>
      <c r="I272" t="s">
        <v>64</v>
      </c>
      <c r="J272" t="s">
        <v>42</v>
      </c>
      <c r="K272">
        <v>20</v>
      </c>
      <c r="L272" s="7">
        <f t="shared" si="13"/>
        <v>1116.56</v>
      </c>
      <c r="M272" s="7"/>
      <c r="O272">
        <f t="shared" si="14"/>
        <v>2</v>
      </c>
      <c r="Q272" t="s">
        <v>65</v>
      </c>
    </row>
    <row r="273" spans="1:17" x14ac:dyDescent="0.3">
      <c r="A273" t="s">
        <v>688</v>
      </c>
      <c r="B273" s="6">
        <v>45122</v>
      </c>
      <c r="C273" s="6" t="str">
        <f t="shared" si="12"/>
        <v>Jul</v>
      </c>
      <c r="D273" t="s">
        <v>689</v>
      </c>
      <c r="E273" t="s">
        <v>19</v>
      </c>
      <c r="F273" t="s">
        <v>303</v>
      </c>
      <c r="G273">
        <v>3</v>
      </c>
      <c r="H273" s="7">
        <v>258.92</v>
      </c>
      <c r="I273" t="s">
        <v>19</v>
      </c>
      <c r="J273" t="s">
        <v>72</v>
      </c>
      <c r="K273">
        <v>5</v>
      </c>
      <c r="L273" s="7">
        <f t="shared" si="13"/>
        <v>776.76</v>
      </c>
      <c r="M273" s="7"/>
      <c r="O273">
        <f t="shared" si="14"/>
        <v>2</v>
      </c>
      <c r="Q273" t="s">
        <v>19</v>
      </c>
    </row>
    <row r="274" spans="1:17" x14ac:dyDescent="0.3">
      <c r="A274" t="s">
        <v>690</v>
      </c>
      <c r="B274" s="6">
        <v>44979</v>
      </c>
      <c r="C274" s="6" t="str">
        <f t="shared" si="12"/>
        <v>Feb</v>
      </c>
      <c r="D274" t="s">
        <v>503</v>
      </c>
      <c r="E274" t="s">
        <v>31</v>
      </c>
      <c r="F274" t="s">
        <v>116</v>
      </c>
      <c r="G274">
        <v>5</v>
      </c>
      <c r="H274" s="7">
        <v>144.29</v>
      </c>
      <c r="I274" t="s">
        <v>103</v>
      </c>
      <c r="J274" t="s">
        <v>87</v>
      </c>
      <c r="K274">
        <v>5</v>
      </c>
      <c r="L274" s="7">
        <f t="shared" si="13"/>
        <v>721.44999999999993</v>
      </c>
      <c r="M274" s="7"/>
      <c r="O274">
        <f t="shared" si="14"/>
        <v>2</v>
      </c>
      <c r="Q274" t="s">
        <v>104</v>
      </c>
    </row>
    <row r="275" spans="1:17" x14ac:dyDescent="0.3">
      <c r="A275" t="s">
        <v>691</v>
      </c>
      <c r="B275" s="6">
        <v>45139</v>
      </c>
      <c r="C275" s="6" t="str">
        <f t="shared" si="12"/>
        <v>Aug</v>
      </c>
      <c r="D275" t="s">
        <v>692</v>
      </c>
      <c r="E275" t="s">
        <v>31</v>
      </c>
      <c r="F275" t="s">
        <v>693</v>
      </c>
      <c r="G275">
        <v>1</v>
      </c>
      <c r="H275" s="7">
        <v>412</v>
      </c>
      <c r="I275" t="s">
        <v>21</v>
      </c>
      <c r="J275" t="s">
        <v>28</v>
      </c>
      <c r="K275">
        <v>10</v>
      </c>
      <c r="L275" s="7">
        <f t="shared" si="13"/>
        <v>412</v>
      </c>
      <c r="M275" s="7"/>
      <c r="O275">
        <f t="shared" si="14"/>
        <v>2</v>
      </c>
      <c r="Q275" t="s">
        <v>23</v>
      </c>
    </row>
    <row r="276" spans="1:17" x14ac:dyDescent="0.3">
      <c r="A276" t="s">
        <v>694</v>
      </c>
      <c r="B276" s="6">
        <v>45238</v>
      </c>
      <c r="C276" s="6" t="str">
        <f t="shared" si="12"/>
        <v>Nov</v>
      </c>
      <c r="D276" t="s">
        <v>695</v>
      </c>
      <c r="E276" t="s">
        <v>31</v>
      </c>
      <c r="F276" t="s">
        <v>696</v>
      </c>
      <c r="G276">
        <v>5</v>
      </c>
      <c r="H276" s="7">
        <v>377.66</v>
      </c>
      <c r="I276" t="s">
        <v>103</v>
      </c>
      <c r="J276" t="s">
        <v>87</v>
      </c>
      <c r="K276">
        <v>20</v>
      </c>
      <c r="L276" s="7">
        <f t="shared" si="13"/>
        <v>1888.3000000000002</v>
      </c>
      <c r="M276" s="7"/>
      <c r="O276">
        <f t="shared" si="14"/>
        <v>2</v>
      </c>
      <c r="Q276" t="s">
        <v>104</v>
      </c>
    </row>
    <row r="277" spans="1:17" x14ac:dyDescent="0.3">
      <c r="A277" t="s">
        <v>697</v>
      </c>
      <c r="B277" s="6">
        <v>45205</v>
      </c>
      <c r="C277" s="6" t="str">
        <f t="shared" si="12"/>
        <v>Oct</v>
      </c>
      <c r="D277" t="s">
        <v>483</v>
      </c>
      <c r="E277" t="s">
        <v>26</v>
      </c>
      <c r="F277" t="s">
        <v>698</v>
      </c>
      <c r="G277">
        <v>6</v>
      </c>
      <c r="H277" s="7">
        <v>252.16</v>
      </c>
      <c r="I277" t="s">
        <v>21</v>
      </c>
      <c r="J277" t="s">
        <v>19</v>
      </c>
      <c r="K277">
        <v>5</v>
      </c>
      <c r="L277" s="7">
        <f t="shared" si="13"/>
        <v>1512.96</v>
      </c>
      <c r="M277" s="7"/>
      <c r="O277">
        <f t="shared" si="14"/>
        <v>2</v>
      </c>
      <c r="Q277" t="s">
        <v>23</v>
      </c>
    </row>
    <row r="278" spans="1:17" x14ac:dyDescent="0.3">
      <c r="A278" t="s">
        <v>699</v>
      </c>
      <c r="B278" s="6">
        <v>45283</v>
      </c>
      <c r="C278" s="6" t="str">
        <f t="shared" si="12"/>
        <v>Dec</v>
      </c>
      <c r="D278" t="s">
        <v>700</v>
      </c>
      <c r="E278" t="s">
        <v>36</v>
      </c>
      <c r="F278" t="s">
        <v>122</v>
      </c>
      <c r="G278">
        <v>5</v>
      </c>
      <c r="H278" s="7">
        <v>438.72</v>
      </c>
      <c r="I278" t="s">
        <v>19</v>
      </c>
      <c r="J278" t="s">
        <v>87</v>
      </c>
      <c r="K278">
        <v>10</v>
      </c>
      <c r="L278" s="7">
        <f t="shared" si="13"/>
        <v>2193.6000000000004</v>
      </c>
      <c r="M278" s="7"/>
      <c r="O278">
        <f t="shared" si="14"/>
        <v>2</v>
      </c>
      <c r="Q278" t="s">
        <v>19</v>
      </c>
    </row>
    <row r="279" spans="1:17" x14ac:dyDescent="0.3">
      <c r="A279" t="s">
        <v>701</v>
      </c>
      <c r="B279" s="6">
        <v>45113</v>
      </c>
      <c r="C279" s="6" t="str">
        <f t="shared" si="12"/>
        <v>Jul</v>
      </c>
      <c r="D279" t="s">
        <v>702</v>
      </c>
      <c r="E279" t="s">
        <v>40</v>
      </c>
      <c r="F279" t="s">
        <v>486</v>
      </c>
      <c r="G279">
        <v>9</v>
      </c>
      <c r="H279" s="7">
        <v>252.16</v>
      </c>
      <c r="I279" t="s">
        <v>32</v>
      </c>
      <c r="J279" t="s">
        <v>42</v>
      </c>
      <c r="K279">
        <v>20</v>
      </c>
      <c r="L279" s="7">
        <f t="shared" si="13"/>
        <v>2269.44</v>
      </c>
      <c r="M279" s="7"/>
      <c r="O279">
        <f t="shared" si="14"/>
        <v>2</v>
      </c>
      <c r="Q279" t="s">
        <v>33</v>
      </c>
    </row>
    <row r="280" spans="1:17" x14ac:dyDescent="0.3">
      <c r="A280" t="s">
        <v>703</v>
      </c>
      <c r="B280" s="6">
        <v>44982</v>
      </c>
      <c r="C280" s="6" t="str">
        <f t="shared" si="12"/>
        <v>Feb</v>
      </c>
      <c r="D280" t="s">
        <v>648</v>
      </c>
      <c r="E280" t="s">
        <v>19</v>
      </c>
      <c r="F280" t="s">
        <v>128</v>
      </c>
      <c r="G280">
        <v>5</v>
      </c>
      <c r="H280" s="7">
        <v>119.76</v>
      </c>
      <c r="I280" t="s">
        <v>64</v>
      </c>
      <c r="J280" t="s">
        <v>72</v>
      </c>
      <c r="K280">
        <v>10</v>
      </c>
      <c r="L280" s="7">
        <f t="shared" si="13"/>
        <v>598.80000000000007</v>
      </c>
      <c r="M280" s="7"/>
      <c r="O280">
        <f t="shared" si="14"/>
        <v>2</v>
      </c>
      <c r="Q280" t="s">
        <v>65</v>
      </c>
    </row>
    <row r="281" spans="1:17" x14ac:dyDescent="0.3">
      <c r="A281" t="s">
        <v>704</v>
      </c>
      <c r="B281" s="6">
        <v>44961</v>
      </c>
      <c r="C281" s="6" t="str">
        <f t="shared" si="12"/>
        <v>Feb</v>
      </c>
      <c r="D281" t="s">
        <v>705</v>
      </c>
      <c r="E281" t="s">
        <v>19</v>
      </c>
      <c r="F281" t="s">
        <v>706</v>
      </c>
      <c r="G281">
        <v>8</v>
      </c>
      <c r="H281" s="7">
        <v>354.25</v>
      </c>
      <c r="I281" t="s">
        <v>103</v>
      </c>
      <c r="J281" t="s">
        <v>42</v>
      </c>
      <c r="K281">
        <v>10</v>
      </c>
      <c r="L281" s="7">
        <f t="shared" si="13"/>
        <v>2834</v>
      </c>
      <c r="M281" s="7"/>
      <c r="O281">
        <f t="shared" si="14"/>
        <v>3</v>
      </c>
      <c r="Q281" t="s">
        <v>104</v>
      </c>
    </row>
    <row r="282" spans="1:17" x14ac:dyDescent="0.3">
      <c r="A282" t="s">
        <v>707</v>
      </c>
      <c r="B282" s="6">
        <v>45034</v>
      </c>
      <c r="C282" s="6" t="str">
        <f t="shared" si="12"/>
        <v>Apr</v>
      </c>
      <c r="D282" t="s">
        <v>579</v>
      </c>
      <c r="E282" t="s">
        <v>26</v>
      </c>
      <c r="F282" t="s">
        <v>708</v>
      </c>
      <c r="G282">
        <v>1</v>
      </c>
      <c r="H282" s="7">
        <v>157.31</v>
      </c>
      <c r="I282" t="s">
        <v>21</v>
      </c>
      <c r="J282" t="s">
        <v>42</v>
      </c>
      <c r="K282">
        <v>20</v>
      </c>
      <c r="L282" s="7">
        <f t="shared" si="13"/>
        <v>157.31</v>
      </c>
      <c r="M282" s="7"/>
      <c r="O282">
        <f t="shared" si="14"/>
        <v>2</v>
      </c>
      <c r="Q282" t="s">
        <v>23</v>
      </c>
    </row>
    <row r="283" spans="1:17" x14ac:dyDescent="0.3">
      <c r="A283" t="s">
        <v>709</v>
      </c>
      <c r="B283" s="6">
        <v>44980</v>
      </c>
      <c r="C283" s="6" t="str">
        <f t="shared" si="12"/>
        <v>Feb</v>
      </c>
      <c r="D283" t="s">
        <v>710</v>
      </c>
      <c r="E283" t="s">
        <v>50</v>
      </c>
      <c r="F283" t="s">
        <v>486</v>
      </c>
      <c r="G283">
        <v>5</v>
      </c>
      <c r="H283" s="7">
        <v>124.88</v>
      </c>
      <c r="I283" t="s">
        <v>64</v>
      </c>
      <c r="J283" t="s">
        <v>22</v>
      </c>
      <c r="K283">
        <v>5</v>
      </c>
      <c r="L283" s="7">
        <f t="shared" si="13"/>
        <v>624.4</v>
      </c>
      <c r="M283" s="7"/>
      <c r="O283">
        <f t="shared" si="14"/>
        <v>2</v>
      </c>
      <c r="Q283" t="s">
        <v>65</v>
      </c>
    </row>
    <row r="284" spans="1:17" x14ac:dyDescent="0.3">
      <c r="A284" t="s">
        <v>711</v>
      </c>
      <c r="B284" s="6">
        <v>45087</v>
      </c>
      <c r="C284" s="6" t="str">
        <f t="shared" si="12"/>
        <v>Jun</v>
      </c>
      <c r="D284" t="s">
        <v>121</v>
      </c>
      <c r="E284" t="s">
        <v>19</v>
      </c>
      <c r="F284" t="s">
        <v>107</v>
      </c>
      <c r="G284">
        <v>3</v>
      </c>
      <c r="H284" s="7">
        <v>41.14</v>
      </c>
      <c r="I284" t="s">
        <v>46</v>
      </c>
      <c r="J284" t="s">
        <v>19</v>
      </c>
      <c r="K284">
        <v>10</v>
      </c>
      <c r="L284" s="7">
        <f t="shared" si="13"/>
        <v>123.42</v>
      </c>
      <c r="M284" s="7"/>
      <c r="O284">
        <f t="shared" si="14"/>
        <v>2</v>
      </c>
      <c r="Q284" t="s">
        <v>47</v>
      </c>
    </row>
    <row r="285" spans="1:17" x14ac:dyDescent="0.3">
      <c r="A285" t="s">
        <v>712</v>
      </c>
      <c r="B285" s="6">
        <v>45241</v>
      </c>
      <c r="C285" s="6" t="str">
        <f t="shared" si="12"/>
        <v>Nov</v>
      </c>
      <c r="D285" t="s">
        <v>563</v>
      </c>
      <c r="E285" t="s">
        <v>40</v>
      </c>
      <c r="F285" t="s">
        <v>713</v>
      </c>
      <c r="G285">
        <v>1</v>
      </c>
      <c r="H285" s="7">
        <v>373.29</v>
      </c>
      <c r="I285" t="s">
        <v>32</v>
      </c>
      <c r="J285" t="s">
        <v>22</v>
      </c>
      <c r="K285">
        <v>5</v>
      </c>
      <c r="L285" s="7">
        <f t="shared" si="13"/>
        <v>373.29</v>
      </c>
      <c r="M285" s="7"/>
      <c r="O285">
        <f t="shared" si="14"/>
        <v>2</v>
      </c>
      <c r="Q285" t="s">
        <v>33</v>
      </c>
    </row>
    <row r="286" spans="1:17" x14ac:dyDescent="0.3">
      <c r="A286" t="s">
        <v>714</v>
      </c>
      <c r="B286" s="6">
        <v>44952</v>
      </c>
      <c r="C286" s="6" t="str">
        <f t="shared" si="12"/>
        <v>Jan</v>
      </c>
      <c r="D286" t="s">
        <v>715</v>
      </c>
      <c r="E286" t="s">
        <v>26</v>
      </c>
      <c r="F286" t="s">
        <v>63</v>
      </c>
      <c r="G286">
        <v>4</v>
      </c>
      <c r="H286" s="7">
        <v>356.95</v>
      </c>
      <c r="I286" t="s">
        <v>21</v>
      </c>
      <c r="J286" t="s">
        <v>22</v>
      </c>
      <c r="K286">
        <v>10</v>
      </c>
      <c r="L286" s="7">
        <f t="shared" si="13"/>
        <v>1427.8</v>
      </c>
      <c r="M286" s="7"/>
      <c r="O286">
        <f t="shared" si="14"/>
        <v>2</v>
      </c>
      <c r="Q286" t="s">
        <v>23</v>
      </c>
    </row>
    <row r="287" spans="1:17" x14ac:dyDescent="0.3">
      <c r="A287" t="s">
        <v>716</v>
      </c>
      <c r="B287" s="6">
        <v>45256</v>
      </c>
      <c r="C287" s="6" t="str">
        <f t="shared" si="12"/>
        <v>Nov</v>
      </c>
      <c r="D287" t="s">
        <v>717</v>
      </c>
      <c r="E287" t="s">
        <v>40</v>
      </c>
      <c r="F287" t="s">
        <v>472</v>
      </c>
      <c r="G287">
        <v>5</v>
      </c>
      <c r="H287" s="7">
        <v>121.08</v>
      </c>
      <c r="I287" t="s">
        <v>21</v>
      </c>
      <c r="J287" t="s">
        <v>22</v>
      </c>
      <c r="K287">
        <v>0</v>
      </c>
      <c r="L287" s="7">
        <f t="shared" si="13"/>
        <v>605.4</v>
      </c>
      <c r="M287" s="7"/>
      <c r="O287">
        <f t="shared" si="14"/>
        <v>2</v>
      </c>
      <c r="Q287" t="s">
        <v>23</v>
      </c>
    </row>
    <row r="288" spans="1:17" x14ac:dyDescent="0.3">
      <c r="A288" t="s">
        <v>718</v>
      </c>
      <c r="B288" s="6">
        <v>44938</v>
      </c>
      <c r="C288" s="6" t="str">
        <f t="shared" si="12"/>
        <v>Jan</v>
      </c>
      <c r="D288" t="s">
        <v>338</v>
      </c>
      <c r="E288" t="s">
        <v>40</v>
      </c>
      <c r="F288" t="s">
        <v>719</v>
      </c>
      <c r="G288">
        <v>7</v>
      </c>
      <c r="H288" s="7">
        <v>375.94</v>
      </c>
      <c r="I288" t="s">
        <v>32</v>
      </c>
      <c r="J288" t="s">
        <v>87</v>
      </c>
      <c r="K288">
        <v>5</v>
      </c>
      <c r="L288" s="7">
        <f t="shared" si="13"/>
        <v>2631.58</v>
      </c>
      <c r="M288" s="7"/>
      <c r="O288">
        <f t="shared" si="14"/>
        <v>3</v>
      </c>
      <c r="Q288" t="s">
        <v>33</v>
      </c>
    </row>
    <row r="289" spans="1:17" x14ac:dyDescent="0.3">
      <c r="A289" t="s">
        <v>720</v>
      </c>
      <c r="B289" s="6">
        <v>44952</v>
      </c>
      <c r="C289" s="6" t="str">
        <f t="shared" si="12"/>
        <v>Jan</v>
      </c>
      <c r="D289" t="s">
        <v>721</v>
      </c>
      <c r="E289" t="s">
        <v>19</v>
      </c>
      <c r="F289" t="s">
        <v>722</v>
      </c>
      <c r="G289">
        <v>1</v>
      </c>
      <c r="H289" s="7">
        <v>459.33</v>
      </c>
      <c r="I289" t="s">
        <v>32</v>
      </c>
      <c r="J289" t="s">
        <v>87</v>
      </c>
      <c r="K289">
        <v>5</v>
      </c>
      <c r="L289" s="7">
        <f t="shared" si="13"/>
        <v>459.33</v>
      </c>
      <c r="M289" s="7"/>
      <c r="O289">
        <f t="shared" si="14"/>
        <v>2</v>
      </c>
      <c r="Q289" t="s">
        <v>33</v>
      </c>
    </row>
    <row r="290" spans="1:17" x14ac:dyDescent="0.3">
      <c r="A290" t="s">
        <v>723</v>
      </c>
      <c r="B290" s="6">
        <v>45158</v>
      </c>
      <c r="C290" s="6" t="str">
        <f t="shared" si="12"/>
        <v>Aug</v>
      </c>
      <c r="D290" t="s">
        <v>106</v>
      </c>
      <c r="E290" t="s">
        <v>31</v>
      </c>
      <c r="F290" t="s">
        <v>242</v>
      </c>
      <c r="G290">
        <v>3</v>
      </c>
      <c r="H290" s="7">
        <v>58.47</v>
      </c>
      <c r="I290" t="s">
        <v>103</v>
      </c>
      <c r="J290" t="s">
        <v>19</v>
      </c>
      <c r="K290">
        <v>15</v>
      </c>
      <c r="L290" s="7">
        <f t="shared" si="13"/>
        <v>175.41</v>
      </c>
      <c r="M290" s="7"/>
      <c r="O290">
        <f t="shared" si="14"/>
        <v>2</v>
      </c>
      <c r="Q290" t="s">
        <v>104</v>
      </c>
    </row>
    <row r="291" spans="1:17" x14ac:dyDescent="0.3">
      <c r="A291" t="s">
        <v>724</v>
      </c>
      <c r="B291" s="6">
        <v>45151</v>
      </c>
      <c r="C291" s="6" t="str">
        <f t="shared" si="12"/>
        <v>Aug</v>
      </c>
      <c r="D291" t="s">
        <v>725</v>
      </c>
      <c r="E291" t="s">
        <v>40</v>
      </c>
      <c r="F291" t="s">
        <v>403</v>
      </c>
      <c r="G291">
        <v>2</v>
      </c>
      <c r="H291" s="7">
        <v>120.16</v>
      </c>
      <c r="I291" t="s">
        <v>64</v>
      </c>
      <c r="J291" t="s">
        <v>22</v>
      </c>
      <c r="K291">
        <v>10</v>
      </c>
      <c r="L291" s="7">
        <f t="shared" si="13"/>
        <v>240.32</v>
      </c>
      <c r="M291" s="7"/>
      <c r="O291">
        <f t="shared" si="14"/>
        <v>2</v>
      </c>
      <c r="Q291" t="s">
        <v>65</v>
      </c>
    </row>
    <row r="292" spans="1:17" x14ac:dyDescent="0.3">
      <c r="A292" t="s">
        <v>726</v>
      </c>
      <c r="B292" s="6">
        <v>45222</v>
      </c>
      <c r="C292" s="6" t="str">
        <f t="shared" si="12"/>
        <v>Oct</v>
      </c>
      <c r="D292" t="s">
        <v>727</v>
      </c>
      <c r="E292" t="s">
        <v>19</v>
      </c>
      <c r="F292" t="s">
        <v>520</v>
      </c>
      <c r="G292">
        <v>9</v>
      </c>
      <c r="H292" s="7">
        <v>376.38</v>
      </c>
      <c r="I292" t="s">
        <v>21</v>
      </c>
      <c r="J292" t="s">
        <v>87</v>
      </c>
      <c r="K292">
        <v>5</v>
      </c>
      <c r="L292" s="7">
        <f t="shared" si="13"/>
        <v>3387.42</v>
      </c>
      <c r="M292" s="7"/>
      <c r="O292">
        <f t="shared" si="14"/>
        <v>4</v>
      </c>
      <c r="Q292" t="s">
        <v>23</v>
      </c>
    </row>
    <row r="293" spans="1:17" x14ac:dyDescent="0.3">
      <c r="A293" t="s">
        <v>728</v>
      </c>
      <c r="B293" s="6">
        <v>45090</v>
      </c>
      <c r="C293" s="6" t="str">
        <f t="shared" si="12"/>
        <v>Jun</v>
      </c>
      <c r="D293" t="s">
        <v>729</v>
      </c>
      <c r="E293" t="s">
        <v>36</v>
      </c>
      <c r="F293" t="s">
        <v>730</v>
      </c>
      <c r="G293">
        <v>6</v>
      </c>
      <c r="H293" s="7">
        <v>140.88</v>
      </c>
      <c r="I293" t="s">
        <v>103</v>
      </c>
      <c r="J293" t="s">
        <v>22</v>
      </c>
      <c r="K293">
        <v>20</v>
      </c>
      <c r="L293" s="7">
        <f t="shared" si="13"/>
        <v>845.28</v>
      </c>
      <c r="M293" s="7"/>
      <c r="O293">
        <f t="shared" si="14"/>
        <v>2</v>
      </c>
      <c r="Q293" t="s">
        <v>104</v>
      </c>
    </row>
    <row r="294" spans="1:17" x14ac:dyDescent="0.3">
      <c r="A294" t="s">
        <v>731</v>
      </c>
      <c r="B294" s="6">
        <v>45116</v>
      </c>
      <c r="C294" s="6" t="str">
        <f t="shared" si="12"/>
        <v>Jul</v>
      </c>
      <c r="D294" t="s">
        <v>272</v>
      </c>
      <c r="E294" t="s">
        <v>31</v>
      </c>
      <c r="F294" t="s">
        <v>732</v>
      </c>
      <c r="G294">
        <v>3</v>
      </c>
      <c r="H294" s="7">
        <v>314.20999999999998</v>
      </c>
      <c r="I294" t="s">
        <v>103</v>
      </c>
      <c r="J294" t="s">
        <v>28</v>
      </c>
      <c r="K294">
        <v>10</v>
      </c>
      <c r="L294" s="7">
        <f t="shared" si="13"/>
        <v>942.62999999999988</v>
      </c>
      <c r="M294" s="7"/>
      <c r="O294">
        <f t="shared" si="14"/>
        <v>2</v>
      </c>
      <c r="Q294" t="s">
        <v>104</v>
      </c>
    </row>
    <row r="295" spans="1:17" x14ac:dyDescent="0.3">
      <c r="A295" t="s">
        <v>733</v>
      </c>
      <c r="B295" s="6">
        <v>45211</v>
      </c>
      <c r="C295" s="6" t="str">
        <f t="shared" si="12"/>
        <v>Oct</v>
      </c>
      <c r="D295" t="s">
        <v>203</v>
      </c>
      <c r="E295" t="s">
        <v>36</v>
      </c>
      <c r="F295" t="s">
        <v>450</v>
      </c>
      <c r="G295">
        <v>8</v>
      </c>
      <c r="H295" s="7">
        <v>45.18</v>
      </c>
      <c r="I295" t="s">
        <v>19</v>
      </c>
      <c r="J295" t="s">
        <v>19</v>
      </c>
      <c r="K295">
        <v>0</v>
      </c>
      <c r="L295" s="7">
        <f t="shared" si="13"/>
        <v>361.44</v>
      </c>
      <c r="M295" s="7"/>
      <c r="O295">
        <f t="shared" si="14"/>
        <v>2</v>
      </c>
      <c r="Q295" t="s">
        <v>19</v>
      </c>
    </row>
    <row r="296" spans="1:17" x14ac:dyDescent="0.3">
      <c r="A296" t="s">
        <v>734</v>
      </c>
      <c r="B296" s="6">
        <v>45223</v>
      </c>
      <c r="C296" s="6" t="str">
        <f t="shared" si="12"/>
        <v>Oct</v>
      </c>
      <c r="D296" t="s">
        <v>735</v>
      </c>
      <c r="E296" t="s">
        <v>40</v>
      </c>
      <c r="F296" t="s">
        <v>217</v>
      </c>
      <c r="G296">
        <v>8</v>
      </c>
      <c r="H296" s="7">
        <v>228.84</v>
      </c>
      <c r="I296" t="s">
        <v>64</v>
      </c>
      <c r="J296" t="s">
        <v>22</v>
      </c>
      <c r="K296">
        <v>20</v>
      </c>
      <c r="L296" s="7">
        <f t="shared" si="13"/>
        <v>1830.72</v>
      </c>
      <c r="M296" s="7"/>
      <c r="O296">
        <f t="shared" si="14"/>
        <v>2</v>
      </c>
      <c r="Q296" t="s">
        <v>65</v>
      </c>
    </row>
    <row r="297" spans="1:17" x14ac:dyDescent="0.3">
      <c r="A297" t="s">
        <v>736</v>
      </c>
      <c r="B297" s="6">
        <v>45020</v>
      </c>
      <c r="C297" s="6" t="str">
        <f t="shared" si="12"/>
        <v>Apr</v>
      </c>
      <c r="D297" t="s">
        <v>737</v>
      </c>
      <c r="E297" t="s">
        <v>19</v>
      </c>
      <c r="F297" t="s">
        <v>420</v>
      </c>
      <c r="G297">
        <v>2</v>
      </c>
      <c r="H297" s="7">
        <v>370.85</v>
      </c>
      <c r="I297" t="s">
        <v>19</v>
      </c>
      <c r="J297" t="s">
        <v>72</v>
      </c>
      <c r="K297">
        <v>20</v>
      </c>
      <c r="L297" s="7">
        <f t="shared" si="13"/>
        <v>741.7</v>
      </c>
      <c r="M297" s="7"/>
      <c r="O297">
        <f t="shared" si="14"/>
        <v>2</v>
      </c>
      <c r="Q297" t="s">
        <v>19</v>
      </c>
    </row>
    <row r="298" spans="1:17" x14ac:dyDescent="0.3">
      <c r="A298" t="s">
        <v>738</v>
      </c>
      <c r="B298" s="6">
        <v>45081</v>
      </c>
      <c r="C298" s="6" t="str">
        <f t="shared" si="12"/>
        <v>Jun</v>
      </c>
      <c r="D298" t="s">
        <v>548</v>
      </c>
      <c r="E298" t="s">
        <v>26</v>
      </c>
      <c r="F298" t="s">
        <v>499</v>
      </c>
      <c r="G298">
        <v>6</v>
      </c>
      <c r="H298" s="7">
        <v>344.82</v>
      </c>
      <c r="I298" t="s">
        <v>64</v>
      </c>
      <c r="J298" t="s">
        <v>42</v>
      </c>
      <c r="K298">
        <v>20</v>
      </c>
      <c r="L298" s="7">
        <f t="shared" si="13"/>
        <v>2068.92</v>
      </c>
      <c r="M298" s="7"/>
      <c r="O298">
        <f t="shared" si="14"/>
        <v>2</v>
      </c>
      <c r="Q298" t="s">
        <v>65</v>
      </c>
    </row>
    <row r="299" spans="1:17" x14ac:dyDescent="0.3">
      <c r="A299" t="s">
        <v>739</v>
      </c>
      <c r="B299" s="6">
        <v>45281</v>
      </c>
      <c r="C299" s="6" t="str">
        <f t="shared" si="12"/>
        <v>Dec</v>
      </c>
      <c r="D299" t="s">
        <v>740</v>
      </c>
      <c r="E299" t="s">
        <v>50</v>
      </c>
      <c r="F299" t="s">
        <v>472</v>
      </c>
      <c r="G299">
        <v>7</v>
      </c>
      <c r="H299" s="7">
        <v>408.46</v>
      </c>
      <c r="I299" t="s">
        <v>103</v>
      </c>
      <c r="J299" t="s">
        <v>28</v>
      </c>
      <c r="K299">
        <v>20</v>
      </c>
      <c r="L299" s="7">
        <f t="shared" si="13"/>
        <v>2859.22</v>
      </c>
      <c r="M299" s="7"/>
      <c r="O299">
        <f t="shared" si="14"/>
        <v>3</v>
      </c>
      <c r="Q299" t="s">
        <v>104</v>
      </c>
    </row>
    <row r="300" spans="1:17" x14ac:dyDescent="0.3">
      <c r="A300" t="s">
        <v>741</v>
      </c>
      <c r="B300" s="6">
        <v>44983</v>
      </c>
      <c r="C300" s="6" t="str">
        <f t="shared" si="12"/>
        <v>Feb</v>
      </c>
      <c r="D300" t="s">
        <v>742</v>
      </c>
      <c r="E300" t="s">
        <v>36</v>
      </c>
      <c r="F300" t="s">
        <v>154</v>
      </c>
      <c r="G300">
        <v>2</v>
      </c>
      <c r="H300" s="7">
        <v>439.34</v>
      </c>
      <c r="I300" t="s">
        <v>32</v>
      </c>
      <c r="J300" t="s">
        <v>19</v>
      </c>
      <c r="K300">
        <v>0</v>
      </c>
      <c r="L300" s="7">
        <f t="shared" si="13"/>
        <v>878.68</v>
      </c>
      <c r="M300" s="7"/>
      <c r="O300">
        <f t="shared" si="14"/>
        <v>2</v>
      </c>
      <c r="Q300" t="s">
        <v>33</v>
      </c>
    </row>
    <row r="301" spans="1:17" x14ac:dyDescent="0.3">
      <c r="A301" t="s">
        <v>743</v>
      </c>
      <c r="B301" s="6">
        <v>45054</v>
      </c>
      <c r="C301" s="6" t="str">
        <f t="shared" si="12"/>
        <v>May</v>
      </c>
      <c r="D301" t="s">
        <v>30</v>
      </c>
      <c r="E301" t="s">
        <v>31</v>
      </c>
      <c r="F301" t="s">
        <v>54</v>
      </c>
      <c r="G301">
        <v>2</v>
      </c>
      <c r="H301" s="7">
        <v>387.73</v>
      </c>
      <c r="I301" t="s">
        <v>46</v>
      </c>
      <c r="J301" t="s">
        <v>72</v>
      </c>
      <c r="K301">
        <v>15</v>
      </c>
      <c r="L301" s="7">
        <f t="shared" si="13"/>
        <v>775.46</v>
      </c>
      <c r="M301" s="7"/>
      <c r="O301">
        <f t="shared" si="14"/>
        <v>2</v>
      </c>
      <c r="Q301" t="s">
        <v>47</v>
      </c>
    </row>
    <row r="302" spans="1:17" x14ac:dyDescent="0.3">
      <c r="A302" t="s">
        <v>744</v>
      </c>
      <c r="B302" s="6">
        <v>44968</v>
      </c>
      <c r="C302" s="6" t="str">
        <f t="shared" si="12"/>
        <v>Feb</v>
      </c>
      <c r="D302" t="s">
        <v>677</v>
      </c>
      <c r="E302" t="s">
        <v>62</v>
      </c>
      <c r="F302" t="s">
        <v>254</v>
      </c>
      <c r="G302">
        <v>1</v>
      </c>
      <c r="H302" s="7">
        <v>337.44</v>
      </c>
      <c r="I302" t="s">
        <v>19</v>
      </c>
      <c r="J302" t="s">
        <v>72</v>
      </c>
      <c r="K302">
        <v>10</v>
      </c>
      <c r="L302" s="7">
        <f t="shared" si="13"/>
        <v>337.44</v>
      </c>
      <c r="M302" s="7"/>
      <c r="O302">
        <f t="shared" si="14"/>
        <v>2</v>
      </c>
      <c r="Q302" t="s">
        <v>19</v>
      </c>
    </row>
    <row r="303" spans="1:17" x14ac:dyDescent="0.3">
      <c r="A303" t="s">
        <v>745</v>
      </c>
      <c r="B303" s="6">
        <v>45056</v>
      </c>
      <c r="C303" s="6" t="str">
        <f t="shared" si="12"/>
        <v>May</v>
      </c>
      <c r="D303" t="s">
        <v>746</v>
      </c>
      <c r="E303" t="s">
        <v>62</v>
      </c>
      <c r="F303" t="s">
        <v>684</v>
      </c>
      <c r="G303">
        <v>8</v>
      </c>
      <c r="H303" s="7">
        <v>20.7</v>
      </c>
      <c r="I303" t="s">
        <v>19</v>
      </c>
      <c r="J303" t="s">
        <v>87</v>
      </c>
      <c r="K303">
        <v>5</v>
      </c>
      <c r="L303" s="7">
        <f t="shared" si="13"/>
        <v>165.6</v>
      </c>
      <c r="M303" s="7"/>
      <c r="O303">
        <f t="shared" si="14"/>
        <v>2</v>
      </c>
      <c r="Q303" t="s">
        <v>19</v>
      </c>
    </row>
    <row r="304" spans="1:17" x14ac:dyDescent="0.3">
      <c r="A304" t="s">
        <v>747</v>
      </c>
      <c r="B304" s="6">
        <v>45242</v>
      </c>
      <c r="C304" s="6" t="str">
        <f t="shared" si="12"/>
        <v>Nov</v>
      </c>
      <c r="D304" t="s">
        <v>635</v>
      </c>
      <c r="E304" t="s">
        <v>50</v>
      </c>
      <c r="F304" t="s">
        <v>134</v>
      </c>
      <c r="G304">
        <v>1</v>
      </c>
      <c r="H304" s="7">
        <v>269.81</v>
      </c>
      <c r="I304" t="s">
        <v>46</v>
      </c>
      <c r="J304" t="s">
        <v>28</v>
      </c>
      <c r="K304">
        <v>20</v>
      </c>
      <c r="L304" s="7">
        <f t="shared" si="13"/>
        <v>269.81</v>
      </c>
      <c r="M304" s="7"/>
      <c r="O304">
        <f t="shared" si="14"/>
        <v>2</v>
      </c>
      <c r="Q304" t="s">
        <v>47</v>
      </c>
    </row>
    <row r="305" spans="1:17" x14ac:dyDescent="0.3">
      <c r="A305" t="s">
        <v>748</v>
      </c>
      <c r="B305" s="6">
        <v>45003</v>
      </c>
      <c r="C305" s="6" t="str">
        <f t="shared" si="12"/>
        <v>Mar</v>
      </c>
      <c r="D305" t="s">
        <v>494</v>
      </c>
      <c r="E305" t="s">
        <v>50</v>
      </c>
      <c r="F305" t="s">
        <v>749</v>
      </c>
      <c r="G305">
        <v>9</v>
      </c>
      <c r="H305" s="7">
        <v>23.66</v>
      </c>
      <c r="I305" t="s">
        <v>64</v>
      </c>
      <c r="J305" t="s">
        <v>42</v>
      </c>
      <c r="K305">
        <v>5</v>
      </c>
      <c r="L305" s="7">
        <f t="shared" si="13"/>
        <v>212.94</v>
      </c>
      <c r="M305" s="7"/>
      <c r="O305">
        <f t="shared" si="14"/>
        <v>2</v>
      </c>
      <c r="Q305" t="s">
        <v>65</v>
      </c>
    </row>
    <row r="306" spans="1:17" x14ac:dyDescent="0.3">
      <c r="A306" t="s">
        <v>750</v>
      </c>
      <c r="B306" s="6">
        <v>44995</v>
      </c>
      <c r="C306" s="6" t="str">
        <f t="shared" si="12"/>
        <v>Mar</v>
      </c>
      <c r="D306" t="s">
        <v>751</v>
      </c>
      <c r="E306" t="s">
        <v>50</v>
      </c>
      <c r="F306" t="s">
        <v>84</v>
      </c>
      <c r="G306">
        <v>6</v>
      </c>
      <c r="H306" s="7">
        <v>404.99</v>
      </c>
      <c r="I306" t="s">
        <v>46</v>
      </c>
      <c r="J306" t="s">
        <v>28</v>
      </c>
      <c r="K306">
        <v>5</v>
      </c>
      <c r="L306" s="7">
        <f t="shared" si="13"/>
        <v>2429.94</v>
      </c>
      <c r="M306" s="7"/>
      <c r="O306">
        <f t="shared" si="14"/>
        <v>2</v>
      </c>
      <c r="Q306" t="s">
        <v>47</v>
      </c>
    </row>
    <row r="307" spans="1:17" x14ac:dyDescent="0.3">
      <c r="A307" t="s">
        <v>752</v>
      </c>
      <c r="B307" s="6">
        <v>45242</v>
      </c>
      <c r="C307" s="6" t="str">
        <f t="shared" si="12"/>
        <v>Nov</v>
      </c>
      <c r="D307" t="s">
        <v>753</v>
      </c>
      <c r="E307" t="s">
        <v>36</v>
      </c>
      <c r="F307" t="s">
        <v>730</v>
      </c>
      <c r="G307">
        <v>5</v>
      </c>
      <c r="H307" s="7">
        <v>163.76</v>
      </c>
      <c r="I307" t="s">
        <v>32</v>
      </c>
      <c r="J307" t="s">
        <v>22</v>
      </c>
      <c r="K307">
        <v>20</v>
      </c>
      <c r="L307" s="7">
        <f t="shared" si="13"/>
        <v>818.8</v>
      </c>
      <c r="M307" s="7"/>
      <c r="O307">
        <f t="shared" si="14"/>
        <v>2</v>
      </c>
      <c r="Q307" t="s">
        <v>33</v>
      </c>
    </row>
    <row r="308" spans="1:17" x14ac:dyDescent="0.3">
      <c r="A308" t="s">
        <v>754</v>
      </c>
      <c r="B308" s="6">
        <v>45037</v>
      </c>
      <c r="C308" s="6" t="str">
        <f t="shared" si="12"/>
        <v>Apr</v>
      </c>
      <c r="D308" t="s">
        <v>755</v>
      </c>
      <c r="E308" t="s">
        <v>36</v>
      </c>
      <c r="F308" t="s">
        <v>331</v>
      </c>
      <c r="G308">
        <v>7</v>
      </c>
      <c r="H308" s="7">
        <v>283.39999999999998</v>
      </c>
      <c r="I308" t="s">
        <v>46</v>
      </c>
      <c r="J308" t="s">
        <v>22</v>
      </c>
      <c r="K308">
        <v>15</v>
      </c>
      <c r="L308" s="7">
        <f t="shared" si="13"/>
        <v>1983.7999999999997</v>
      </c>
      <c r="M308" s="7"/>
      <c r="O308">
        <f t="shared" si="14"/>
        <v>2</v>
      </c>
      <c r="Q308" t="s">
        <v>47</v>
      </c>
    </row>
    <row r="309" spans="1:17" x14ac:dyDescent="0.3">
      <c r="A309" t="s">
        <v>756</v>
      </c>
      <c r="B309" s="6">
        <v>45039</v>
      </c>
      <c r="C309" s="6" t="str">
        <f t="shared" si="12"/>
        <v>Apr</v>
      </c>
      <c r="D309" t="s">
        <v>236</v>
      </c>
      <c r="E309" t="s">
        <v>40</v>
      </c>
      <c r="F309" t="s">
        <v>75</v>
      </c>
      <c r="G309">
        <v>3</v>
      </c>
      <c r="H309" s="7">
        <v>143.33000000000001</v>
      </c>
      <c r="I309" t="s">
        <v>46</v>
      </c>
      <c r="J309" t="s">
        <v>19</v>
      </c>
      <c r="K309">
        <v>5</v>
      </c>
      <c r="L309" s="7">
        <f t="shared" si="13"/>
        <v>429.99</v>
      </c>
      <c r="M309" s="7"/>
      <c r="O309">
        <f t="shared" si="14"/>
        <v>2</v>
      </c>
      <c r="Q309" t="s">
        <v>47</v>
      </c>
    </row>
    <row r="310" spans="1:17" x14ac:dyDescent="0.3">
      <c r="A310" t="s">
        <v>757</v>
      </c>
      <c r="B310" s="6">
        <v>45174</v>
      </c>
      <c r="C310" s="6" t="str">
        <f t="shared" si="12"/>
        <v>Sep</v>
      </c>
      <c r="D310" t="s">
        <v>758</v>
      </c>
      <c r="E310" t="s">
        <v>26</v>
      </c>
      <c r="F310" t="s">
        <v>353</v>
      </c>
      <c r="G310">
        <v>2</v>
      </c>
      <c r="H310" s="7">
        <v>392.34</v>
      </c>
      <c r="I310" t="s">
        <v>46</v>
      </c>
      <c r="J310" t="s">
        <v>28</v>
      </c>
      <c r="K310">
        <v>10</v>
      </c>
      <c r="L310" s="7">
        <f t="shared" si="13"/>
        <v>784.68</v>
      </c>
      <c r="M310" s="7"/>
      <c r="O310">
        <f t="shared" si="14"/>
        <v>2</v>
      </c>
      <c r="Q310" t="s">
        <v>47</v>
      </c>
    </row>
    <row r="311" spans="1:17" x14ac:dyDescent="0.3">
      <c r="A311" t="s">
        <v>759</v>
      </c>
      <c r="B311" s="6">
        <v>45150</v>
      </c>
      <c r="C311" s="6" t="str">
        <f t="shared" si="12"/>
        <v>Aug</v>
      </c>
      <c r="D311" t="s">
        <v>760</v>
      </c>
      <c r="E311" t="s">
        <v>62</v>
      </c>
      <c r="F311" t="s">
        <v>511</v>
      </c>
      <c r="G311">
        <v>9</v>
      </c>
      <c r="H311" s="7">
        <v>443.82</v>
      </c>
      <c r="I311" t="s">
        <v>103</v>
      </c>
      <c r="J311" t="s">
        <v>19</v>
      </c>
      <c r="K311">
        <v>5</v>
      </c>
      <c r="L311" s="7">
        <f t="shared" si="13"/>
        <v>3994.38</v>
      </c>
      <c r="M311" s="7"/>
      <c r="O311">
        <f t="shared" si="14"/>
        <v>5</v>
      </c>
      <c r="Q311" t="s">
        <v>104</v>
      </c>
    </row>
    <row r="312" spans="1:17" x14ac:dyDescent="0.3">
      <c r="A312" t="s">
        <v>761</v>
      </c>
      <c r="B312" s="6">
        <v>44951</v>
      </c>
      <c r="C312" s="6" t="str">
        <f t="shared" si="12"/>
        <v>Jan</v>
      </c>
      <c r="D312" t="s">
        <v>762</v>
      </c>
      <c r="E312" t="s">
        <v>31</v>
      </c>
      <c r="F312" t="s">
        <v>125</v>
      </c>
      <c r="G312">
        <v>8</v>
      </c>
      <c r="H312" s="7">
        <v>202.33</v>
      </c>
      <c r="I312" t="s">
        <v>46</v>
      </c>
      <c r="J312" t="s">
        <v>42</v>
      </c>
      <c r="K312">
        <v>10</v>
      </c>
      <c r="L312" s="7">
        <f t="shared" si="13"/>
        <v>1618.64</v>
      </c>
      <c r="M312" s="7"/>
      <c r="O312">
        <f t="shared" si="14"/>
        <v>2</v>
      </c>
      <c r="Q312" t="s">
        <v>47</v>
      </c>
    </row>
    <row r="313" spans="1:17" x14ac:dyDescent="0.3">
      <c r="A313" t="s">
        <v>763</v>
      </c>
      <c r="B313" s="6">
        <v>45033</v>
      </c>
      <c r="C313" s="6" t="str">
        <f t="shared" si="12"/>
        <v>Apr</v>
      </c>
      <c r="D313" t="s">
        <v>764</v>
      </c>
      <c r="E313" t="s">
        <v>50</v>
      </c>
      <c r="F313" t="s">
        <v>693</v>
      </c>
      <c r="G313">
        <v>7</v>
      </c>
      <c r="H313" s="7">
        <v>432.15</v>
      </c>
      <c r="I313" t="s">
        <v>46</v>
      </c>
      <c r="J313" t="s">
        <v>22</v>
      </c>
      <c r="K313">
        <v>20</v>
      </c>
      <c r="L313" s="7">
        <f t="shared" si="13"/>
        <v>3025.0499999999997</v>
      </c>
      <c r="M313" s="7"/>
      <c r="O313">
        <f t="shared" si="14"/>
        <v>4</v>
      </c>
      <c r="Q313" t="s">
        <v>47</v>
      </c>
    </row>
    <row r="314" spans="1:17" x14ac:dyDescent="0.3">
      <c r="A314" t="s">
        <v>765</v>
      </c>
      <c r="B314" s="6">
        <v>45285</v>
      </c>
      <c r="C314" s="6" t="str">
        <f t="shared" si="12"/>
        <v>Dec</v>
      </c>
      <c r="D314" t="s">
        <v>766</v>
      </c>
      <c r="E314" t="s">
        <v>40</v>
      </c>
      <c r="F314" t="s">
        <v>313</v>
      </c>
      <c r="G314">
        <v>9</v>
      </c>
      <c r="H314" s="7">
        <v>137.19999999999999</v>
      </c>
      <c r="I314" t="s">
        <v>21</v>
      </c>
      <c r="J314" t="s">
        <v>87</v>
      </c>
      <c r="K314">
        <v>0</v>
      </c>
      <c r="L314" s="7">
        <f t="shared" si="13"/>
        <v>1234.8</v>
      </c>
      <c r="M314" s="7"/>
      <c r="O314">
        <f t="shared" si="14"/>
        <v>2</v>
      </c>
      <c r="Q314" t="s">
        <v>23</v>
      </c>
    </row>
    <row r="315" spans="1:17" x14ac:dyDescent="0.3">
      <c r="A315" t="s">
        <v>767</v>
      </c>
      <c r="B315" s="6">
        <v>45196</v>
      </c>
      <c r="C315" s="6" t="str">
        <f t="shared" si="12"/>
        <v>Sep</v>
      </c>
      <c r="D315" t="s">
        <v>768</v>
      </c>
      <c r="E315" t="s">
        <v>62</v>
      </c>
      <c r="F315" t="s">
        <v>523</v>
      </c>
      <c r="G315">
        <v>4</v>
      </c>
      <c r="H315" s="7">
        <v>269.66000000000003</v>
      </c>
      <c r="I315" t="s">
        <v>64</v>
      </c>
      <c r="J315" t="s">
        <v>19</v>
      </c>
      <c r="K315">
        <v>5</v>
      </c>
      <c r="L315" s="7">
        <f t="shared" si="13"/>
        <v>1078.6400000000001</v>
      </c>
      <c r="M315" s="7"/>
      <c r="O315">
        <f t="shared" si="14"/>
        <v>2</v>
      </c>
      <c r="Q315" t="s">
        <v>65</v>
      </c>
    </row>
    <row r="316" spans="1:17" x14ac:dyDescent="0.3">
      <c r="A316" t="s">
        <v>769</v>
      </c>
      <c r="B316" s="6">
        <v>45121</v>
      </c>
      <c r="C316" s="6" t="str">
        <f t="shared" si="12"/>
        <v>Jul</v>
      </c>
      <c r="D316" t="s">
        <v>770</v>
      </c>
      <c r="E316" t="s">
        <v>26</v>
      </c>
      <c r="F316" t="s">
        <v>122</v>
      </c>
      <c r="G316">
        <v>4</v>
      </c>
      <c r="H316" s="7">
        <v>430.09</v>
      </c>
      <c r="I316" t="s">
        <v>21</v>
      </c>
      <c r="J316" t="s">
        <v>42</v>
      </c>
      <c r="K316">
        <v>15</v>
      </c>
      <c r="L316" s="7">
        <f t="shared" si="13"/>
        <v>1720.36</v>
      </c>
      <c r="M316" s="7"/>
      <c r="O316">
        <f t="shared" si="14"/>
        <v>2</v>
      </c>
      <c r="Q316" t="s">
        <v>23</v>
      </c>
    </row>
    <row r="317" spans="1:17" x14ac:dyDescent="0.3">
      <c r="A317" t="s">
        <v>771</v>
      </c>
      <c r="B317" s="6">
        <v>45182</v>
      </c>
      <c r="C317" s="6" t="str">
        <f t="shared" si="12"/>
        <v>Sep</v>
      </c>
      <c r="D317" t="s">
        <v>772</v>
      </c>
      <c r="E317" t="s">
        <v>50</v>
      </c>
      <c r="F317" t="s">
        <v>201</v>
      </c>
      <c r="G317">
        <v>1</v>
      </c>
      <c r="H317" s="7">
        <v>166.31</v>
      </c>
      <c r="I317" t="s">
        <v>32</v>
      </c>
      <c r="J317" t="s">
        <v>19</v>
      </c>
      <c r="K317">
        <v>10</v>
      </c>
      <c r="L317" s="7">
        <f t="shared" si="13"/>
        <v>166.31</v>
      </c>
      <c r="M317" s="7"/>
      <c r="O317">
        <f t="shared" si="14"/>
        <v>2</v>
      </c>
      <c r="Q317" t="s">
        <v>33</v>
      </c>
    </row>
    <row r="318" spans="1:17" x14ac:dyDescent="0.3">
      <c r="A318" t="s">
        <v>773</v>
      </c>
      <c r="B318" s="6">
        <v>45138</v>
      </c>
      <c r="C318" s="6" t="str">
        <f t="shared" si="12"/>
        <v>Jul</v>
      </c>
      <c r="D318" t="s">
        <v>774</v>
      </c>
      <c r="E318" t="s">
        <v>40</v>
      </c>
      <c r="F318" t="s">
        <v>619</v>
      </c>
      <c r="G318">
        <v>8</v>
      </c>
      <c r="H318" s="7">
        <v>477.25</v>
      </c>
      <c r="I318" t="s">
        <v>21</v>
      </c>
      <c r="J318" t="s">
        <v>19</v>
      </c>
      <c r="K318">
        <v>10</v>
      </c>
      <c r="L318" s="7">
        <f t="shared" si="13"/>
        <v>3818</v>
      </c>
      <c r="M318" s="7"/>
      <c r="O318">
        <f t="shared" si="14"/>
        <v>5</v>
      </c>
      <c r="Q318" t="s">
        <v>23</v>
      </c>
    </row>
    <row r="319" spans="1:17" x14ac:dyDescent="0.3">
      <c r="A319" t="s">
        <v>775</v>
      </c>
      <c r="B319" s="6">
        <v>45290</v>
      </c>
      <c r="C319" s="6" t="str">
        <f t="shared" si="12"/>
        <v>Dec</v>
      </c>
      <c r="D319" t="s">
        <v>294</v>
      </c>
      <c r="E319" t="s">
        <v>50</v>
      </c>
      <c r="F319" t="s">
        <v>514</v>
      </c>
      <c r="G319">
        <v>3</v>
      </c>
      <c r="H319" s="7">
        <v>65.33</v>
      </c>
      <c r="I319" t="s">
        <v>103</v>
      </c>
      <c r="J319" t="s">
        <v>87</v>
      </c>
      <c r="K319">
        <v>0</v>
      </c>
      <c r="L319" s="7">
        <f t="shared" si="13"/>
        <v>195.99</v>
      </c>
      <c r="M319" s="7"/>
      <c r="O319">
        <f t="shared" si="14"/>
        <v>2</v>
      </c>
      <c r="Q319" t="s">
        <v>104</v>
      </c>
    </row>
    <row r="320" spans="1:17" x14ac:dyDescent="0.3">
      <c r="A320" t="s">
        <v>776</v>
      </c>
      <c r="B320" s="6">
        <v>44960</v>
      </c>
      <c r="C320" s="6" t="str">
        <f t="shared" si="12"/>
        <v>Feb</v>
      </c>
      <c r="D320" t="s">
        <v>777</v>
      </c>
      <c r="E320" t="s">
        <v>36</v>
      </c>
      <c r="F320" t="s">
        <v>347</v>
      </c>
      <c r="G320">
        <v>7</v>
      </c>
      <c r="H320" s="7">
        <v>14.05</v>
      </c>
      <c r="I320" t="s">
        <v>64</v>
      </c>
      <c r="J320" t="s">
        <v>19</v>
      </c>
      <c r="K320">
        <v>10</v>
      </c>
      <c r="L320" s="7">
        <f t="shared" si="13"/>
        <v>98.350000000000009</v>
      </c>
      <c r="M320" s="7"/>
      <c r="O320">
        <f t="shared" si="14"/>
        <v>2</v>
      </c>
      <c r="Q320" t="s">
        <v>65</v>
      </c>
    </row>
    <row r="321" spans="1:17" x14ac:dyDescent="0.3">
      <c r="A321" t="s">
        <v>778</v>
      </c>
      <c r="B321" s="6">
        <v>45147</v>
      </c>
      <c r="C321" s="6" t="str">
        <f t="shared" si="12"/>
        <v>Aug</v>
      </c>
      <c r="D321" t="s">
        <v>779</v>
      </c>
      <c r="E321" t="s">
        <v>31</v>
      </c>
      <c r="F321" t="s">
        <v>693</v>
      </c>
      <c r="G321">
        <v>2</v>
      </c>
      <c r="H321" s="7">
        <v>452.55</v>
      </c>
      <c r="I321" t="s">
        <v>103</v>
      </c>
      <c r="J321" t="s">
        <v>19</v>
      </c>
      <c r="K321">
        <v>0</v>
      </c>
      <c r="L321" s="7">
        <f t="shared" si="13"/>
        <v>905.1</v>
      </c>
      <c r="M321" s="7"/>
      <c r="O321">
        <f t="shared" si="14"/>
        <v>2</v>
      </c>
      <c r="Q321" t="s">
        <v>104</v>
      </c>
    </row>
    <row r="322" spans="1:17" x14ac:dyDescent="0.3">
      <c r="A322" t="s">
        <v>780</v>
      </c>
      <c r="B322" s="6">
        <v>45218</v>
      </c>
      <c r="C322" s="6" t="str">
        <f t="shared" si="12"/>
        <v>Oct</v>
      </c>
      <c r="D322" t="s">
        <v>781</v>
      </c>
      <c r="E322" t="s">
        <v>19</v>
      </c>
      <c r="F322" t="s">
        <v>417</v>
      </c>
      <c r="G322">
        <v>2</v>
      </c>
      <c r="H322" s="7">
        <v>38.979999999999997</v>
      </c>
      <c r="I322" t="s">
        <v>64</v>
      </c>
      <c r="J322" t="s">
        <v>28</v>
      </c>
      <c r="K322">
        <v>10</v>
      </c>
      <c r="L322" s="7">
        <f t="shared" si="13"/>
        <v>77.959999999999994</v>
      </c>
      <c r="M322" s="7"/>
      <c r="O322">
        <f t="shared" si="14"/>
        <v>2</v>
      </c>
      <c r="Q322" t="s">
        <v>65</v>
      </c>
    </row>
    <row r="323" spans="1:17" x14ac:dyDescent="0.3">
      <c r="A323" t="s">
        <v>782</v>
      </c>
      <c r="B323" s="6">
        <v>45219</v>
      </c>
      <c r="C323" s="6" t="str">
        <f t="shared" ref="C323:C386" si="15">TEXT(B323,"MMM")</f>
        <v>Oct</v>
      </c>
      <c r="D323" t="s">
        <v>783</v>
      </c>
      <c r="E323" t="s">
        <v>26</v>
      </c>
      <c r="F323" t="s">
        <v>154</v>
      </c>
      <c r="G323">
        <v>7</v>
      </c>
      <c r="H323" s="7">
        <v>495.99</v>
      </c>
      <c r="I323" t="s">
        <v>21</v>
      </c>
      <c r="J323" t="s">
        <v>87</v>
      </c>
      <c r="K323">
        <v>5</v>
      </c>
      <c r="L323" s="7">
        <f t="shared" ref="L323:L386" si="16">G323*H323</f>
        <v>3471.9300000000003</v>
      </c>
      <c r="M323" s="7"/>
      <c r="O323">
        <f t="shared" si="14"/>
        <v>4</v>
      </c>
      <c r="Q323" t="s">
        <v>23</v>
      </c>
    </row>
    <row r="324" spans="1:17" x14ac:dyDescent="0.3">
      <c r="A324" t="s">
        <v>784</v>
      </c>
      <c r="B324" s="6">
        <v>45285</v>
      </c>
      <c r="C324" s="6" t="str">
        <f t="shared" si="15"/>
        <v>Dec</v>
      </c>
      <c r="D324" t="s">
        <v>785</v>
      </c>
      <c r="E324" t="s">
        <v>50</v>
      </c>
      <c r="F324" t="s">
        <v>713</v>
      </c>
      <c r="G324">
        <v>6</v>
      </c>
      <c r="H324" s="7">
        <v>475.94</v>
      </c>
      <c r="I324" t="s">
        <v>21</v>
      </c>
      <c r="J324" t="s">
        <v>28</v>
      </c>
      <c r="K324">
        <v>20</v>
      </c>
      <c r="L324" s="7">
        <f t="shared" si="16"/>
        <v>2855.64</v>
      </c>
      <c r="M324" s="7"/>
      <c r="O324">
        <f t="shared" ref="O324:O387" si="17">IF(L324&gt;3500,5,IF(L324&gt;3000,4,IF(L324&gt;2500,3,IF(L324&gt;2000,2,IF(L324&gt;1000,2,2)))))</f>
        <v>3</v>
      </c>
      <c r="Q324" t="s">
        <v>23</v>
      </c>
    </row>
    <row r="325" spans="1:17" x14ac:dyDescent="0.3">
      <c r="A325" t="s">
        <v>786</v>
      </c>
      <c r="B325" s="6">
        <v>44991</v>
      </c>
      <c r="C325" s="6" t="str">
        <f t="shared" si="15"/>
        <v>Mar</v>
      </c>
      <c r="D325" t="s">
        <v>614</v>
      </c>
      <c r="E325" t="s">
        <v>36</v>
      </c>
      <c r="F325" t="s">
        <v>708</v>
      </c>
      <c r="G325">
        <v>3</v>
      </c>
      <c r="H325" s="7">
        <v>72.83</v>
      </c>
      <c r="I325" t="s">
        <v>32</v>
      </c>
      <c r="J325" t="s">
        <v>87</v>
      </c>
      <c r="K325">
        <v>15</v>
      </c>
      <c r="L325" s="7">
        <f t="shared" si="16"/>
        <v>218.49</v>
      </c>
      <c r="M325" s="7"/>
      <c r="O325">
        <f t="shared" si="17"/>
        <v>2</v>
      </c>
      <c r="Q325" t="s">
        <v>33</v>
      </c>
    </row>
    <row r="326" spans="1:17" x14ac:dyDescent="0.3">
      <c r="A326" t="s">
        <v>787</v>
      </c>
      <c r="B326" s="6">
        <v>45048</v>
      </c>
      <c r="C326" s="6" t="str">
        <f t="shared" si="15"/>
        <v>May</v>
      </c>
      <c r="D326" t="s">
        <v>788</v>
      </c>
      <c r="E326" t="s">
        <v>19</v>
      </c>
      <c r="F326" t="s">
        <v>789</v>
      </c>
      <c r="G326">
        <v>9</v>
      </c>
      <c r="H326" s="7">
        <v>271.10000000000002</v>
      </c>
      <c r="I326" t="s">
        <v>19</v>
      </c>
      <c r="J326" t="s">
        <v>72</v>
      </c>
      <c r="K326">
        <v>10</v>
      </c>
      <c r="L326" s="7">
        <f t="shared" si="16"/>
        <v>2439.9</v>
      </c>
      <c r="M326" s="7"/>
      <c r="O326">
        <f t="shared" si="17"/>
        <v>2</v>
      </c>
      <c r="Q326" t="s">
        <v>19</v>
      </c>
    </row>
    <row r="327" spans="1:17" x14ac:dyDescent="0.3">
      <c r="A327" t="s">
        <v>790</v>
      </c>
      <c r="B327" s="6">
        <v>44987</v>
      </c>
      <c r="C327" s="6" t="str">
        <f t="shared" si="15"/>
        <v>Mar</v>
      </c>
      <c r="D327" t="s">
        <v>408</v>
      </c>
      <c r="E327" t="s">
        <v>26</v>
      </c>
      <c r="F327" t="s">
        <v>308</v>
      </c>
      <c r="G327">
        <v>6</v>
      </c>
      <c r="H327" s="7">
        <v>96.54</v>
      </c>
      <c r="I327" t="s">
        <v>21</v>
      </c>
      <c r="J327" t="s">
        <v>72</v>
      </c>
      <c r="K327">
        <v>0</v>
      </c>
      <c r="L327" s="7">
        <f t="shared" si="16"/>
        <v>579.24</v>
      </c>
      <c r="M327" s="7"/>
      <c r="O327">
        <f t="shared" si="17"/>
        <v>2</v>
      </c>
      <c r="Q327" t="s">
        <v>23</v>
      </c>
    </row>
    <row r="328" spans="1:17" x14ac:dyDescent="0.3">
      <c r="A328" t="s">
        <v>791</v>
      </c>
      <c r="B328" s="6">
        <v>45089</v>
      </c>
      <c r="C328" s="6" t="str">
        <f t="shared" si="15"/>
        <v>Jun</v>
      </c>
      <c r="D328" t="s">
        <v>476</v>
      </c>
      <c r="E328" t="s">
        <v>26</v>
      </c>
      <c r="F328" t="s">
        <v>107</v>
      </c>
      <c r="G328">
        <v>6</v>
      </c>
      <c r="H328" s="7">
        <v>216.94</v>
      </c>
      <c r="I328" t="s">
        <v>21</v>
      </c>
      <c r="J328" t="s">
        <v>28</v>
      </c>
      <c r="K328">
        <v>15</v>
      </c>
      <c r="L328" s="7">
        <f t="shared" si="16"/>
        <v>1301.6399999999999</v>
      </c>
      <c r="M328" s="7"/>
      <c r="O328">
        <f t="shared" si="17"/>
        <v>2</v>
      </c>
      <c r="Q328" t="s">
        <v>23</v>
      </c>
    </row>
    <row r="329" spans="1:17" x14ac:dyDescent="0.3">
      <c r="A329" t="s">
        <v>792</v>
      </c>
      <c r="B329" s="6">
        <v>45111</v>
      </c>
      <c r="C329" s="6" t="str">
        <f t="shared" si="15"/>
        <v>Jul</v>
      </c>
      <c r="D329" t="s">
        <v>793</v>
      </c>
      <c r="E329" t="s">
        <v>19</v>
      </c>
      <c r="F329" t="s">
        <v>193</v>
      </c>
      <c r="G329">
        <v>1</v>
      </c>
      <c r="H329" s="7">
        <v>35.409999999999997</v>
      </c>
      <c r="I329" t="s">
        <v>64</v>
      </c>
      <c r="J329" t="s">
        <v>42</v>
      </c>
      <c r="K329">
        <v>10</v>
      </c>
      <c r="L329" s="7">
        <f t="shared" si="16"/>
        <v>35.409999999999997</v>
      </c>
      <c r="M329" s="7"/>
      <c r="O329">
        <f t="shared" si="17"/>
        <v>2</v>
      </c>
      <c r="Q329" t="s">
        <v>65</v>
      </c>
    </row>
    <row r="330" spans="1:17" x14ac:dyDescent="0.3">
      <c r="A330" t="s">
        <v>794</v>
      </c>
      <c r="B330" s="6">
        <v>45060</v>
      </c>
      <c r="C330" s="6" t="str">
        <f t="shared" si="15"/>
        <v>May</v>
      </c>
      <c r="D330" t="s">
        <v>795</v>
      </c>
      <c r="E330" t="s">
        <v>31</v>
      </c>
      <c r="F330" t="s">
        <v>363</v>
      </c>
      <c r="G330">
        <v>4</v>
      </c>
      <c r="H330" s="7">
        <v>115.84</v>
      </c>
      <c r="I330" t="s">
        <v>64</v>
      </c>
      <c r="J330" t="s">
        <v>72</v>
      </c>
      <c r="K330">
        <v>20</v>
      </c>
      <c r="L330" s="7">
        <f t="shared" si="16"/>
        <v>463.36</v>
      </c>
      <c r="M330" s="7"/>
      <c r="O330">
        <f t="shared" si="17"/>
        <v>2</v>
      </c>
      <c r="Q330" t="s">
        <v>65</v>
      </c>
    </row>
    <row r="331" spans="1:17" x14ac:dyDescent="0.3">
      <c r="A331" t="s">
        <v>796</v>
      </c>
      <c r="B331" s="6">
        <v>44945</v>
      </c>
      <c r="C331" s="6" t="str">
        <f t="shared" si="15"/>
        <v>Jan</v>
      </c>
      <c r="D331" t="s">
        <v>797</v>
      </c>
      <c r="E331" t="s">
        <v>19</v>
      </c>
      <c r="F331" t="s">
        <v>369</v>
      </c>
      <c r="G331">
        <v>6</v>
      </c>
      <c r="H331" s="7">
        <v>184.82</v>
      </c>
      <c r="I331" t="s">
        <v>46</v>
      </c>
      <c r="J331" t="s">
        <v>72</v>
      </c>
      <c r="K331">
        <v>10</v>
      </c>
      <c r="L331" s="7">
        <f t="shared" si="16"/>
        <v>1108.92</v>
      </c>
      <c r="M331" s="7"/>
      <c r="O331">
        <f t="shared" si="17"/>
        <v>2</v>
      </c>
      <c r="Q331" t="s">
        <v>47</v>
      </c>
    </row>
    <row r="332" spans="1:17" x14ac:dyDescent="0.3">
      <c r="A332" t="s">
        <v>798</v>
      </c>
      <c r="B332" s="6">
        <v>45254</v>
      </c>
      <c r="C332" s="6" t="str">
        <f t="shared" si="15"/>
        <v>Nov</v>
      </c>
      <c r="D332" t="s">
        <v>799</v>
      </c>
      <c r="E332" t="s">
        <v>19</v>
      </c>
      <c r="F332" t="s">
        <v>800</v>
      </c>
      <c r="G332">
        <v>6</v>
      </c>
      <c r="H332" s="7">
        <v>222.13</v>
      </c>
      <c r="I332" t="s">
        <v>19</v>
      </c>
      <c r="J332" t="s">
        <v>19</v>
      </c>
      <c r="K332">
        <v>10</v>
      </c>
      <c r="L332" s="7">
        <f t="shared" si="16"/>
        <v>1332.78</v>
      </c>
      <c r="M332" s="7"/>
      <c r="O332">
        <f t="shared" si="17"/>
        <v>2</v>
      </c>
      <c r="Q332" t="s">
        <v>19</v>
      </c>
    </row>
    <row r="333" spans="1:17" x14ac:dyDescent="0.3">
      <c r="A333" t="s">
        <v>801</v>
      </c>
      <c r="B333" s="6">
        <v>44954</v>
      </c>
      <c r="C333" s="6" t="str">
        <f t="shared" si="15"/>
        <v>Jan</v>
      </c>
      <c r="D333" t="s">
        <v>802</v>
      </c>
      <c r="E333" t="s">
        <v>26</v>
      </c>
      <c r="F333" t="s">
        <v>749</v>
      </c>
      <c r="G333">
        <v>5</v>
      </c>
      <c r="H333" s="7">
        <v>488.86</v>
      </c>
      <c r="I333" t="s">
        <v>32</v>
      </c>
      <c r="J333" t="s">
        <v>72</v>
      </c>
      <c r="K333">
        <v>10</v>
      </c>
      <c r="L333" s="7">
        <f t="shared" si="16"/>
        <v>2444.3000000000002</v>
      </c>
      <c r="M333" s="7"/>
      <c r="O333">
        <f t="shared" si="17"/>
        <v>2</v>
      </c>
      <c r="Q333" t="s">
        <v>33</v>
      </c>
    </row>
    <row r="334" spans="1:17" x14ac:dyDescent="0.3">
      <c r="A334" t="s">
        <v>803</v>
      </c>
      <c r="B334" s="6">
        <v>45216</v>
      </c>
      <c r="C334" s="6" t="str">
        <f t="shared" si="15"/>
        <v>Oct</v>
      </c>
      <c r="D334" t="s">
        <v>804</v>
      </c>
      <c r="E334" t="s">
        <v>19</v>
      </c>
      <c r="F334" t="s">
        <v>160</v>
      </c>
      <c r="G334">
        <v>1</v>
      </c>
      <c r="H334" s="7">
        <v>404.89</v>
      </c>
      <c r="I334" t="s">
        <v>46</v>
      </c>
      <c r="J334" t="s">
        <v>28</v>
      </c>
      <c r="K334">
        <v>20</v>
      </c>
      <c r="L334" s="7">
        <f t="shared" si="16"/>
        <v>404.89</v>
      </c>
      <c r="M334" s="7"/>
      <c r="O334">
        <f t="shared" si="17"/>
        <v>2</v>
      </c>
      <c r="Q334" t="s">
        <v>47</v>
      </c>
    </row>
    <row r="335" spans="1:17" x14ac:dyDescent="0.3">
      <c r="A335" t="s">
        <v>805</v>
      </c>
      <c r="B335" s="6">
        <v>45120</v>
      </c>
      <c r="C335" s="6" t="str">
        <f t="shared" si="15"/>
        <v>Jul</v>
      </c>
      <c r="D335" t="s">
        <v>806</v>
      </c>
      <c r="E335" t="s">
        <v>40</v>
      </c>
      <c r="F335" t="s">
        <v>807</v>
      </c>
      <c r="G335">
        <v>8</v>
      </c>
      <c r="H335" s="7">
        <v>370.02</v>
      </c>
      <c r="I335" t="s">
        <v>64</v>
      </c>
      <c r="J335" t="s">
        <v>42</v>
      </c>
      <c r="K335">
        <v>10</v>
      </c>
      <c r="L335" s="7">
        <f t="shared" si="16"/>
        <v>2960.16</v>
      </c>
      <c r="M335" s="7"/>
      <c r="O335">
        <f t="shared" si="17"/>
        <v>3</v>
      </c>
      <c r="Q335" t="s">
        <v>65</v>
      </c>
    </row>
    <row r="336" spans="1:17" x14ac:dyDescent="0.3">
      <c r="A336" t="s">
        <v>808</v>
      </c>
      <c r="B336" s="6">
        <v>45278</v>
      </c>
      <c r="C336" s="6" t="str">
        <f t="shared" si="15"/>
        <v>Dec</v>
      </c>
      <c r="D336" t="s">
        <v>809</v>
      </c>
      <c r="E336" t="s">
        <v>36</v>
      </c>
      <c r="F336" t="s">
        <v>436</v>
      </c>
      <c r="G336">
        <v>5</v>
      </c>
      <c r="H336" s="7">
        <v>270.83999999999997</v>
      </c>
      <c r="I336" t="s">
        <v>19</v>
      </c>
      <c r="J336" t="s">
        <v>72</v>
      </c>
      <c r="K336">
        <v>20</v>
      </c>
      <c r="L336" s="7">
        <f t="shared" si="16"/>
        <v>1354.1999999999998</v>
      </c>
      <c r="M336" s="7"/>
      <c r="O336">
        <f t="shared" si="17"/>
        <v>2</v>
      </c>
      <c r="Q336" t="s">
        <v>19</v>
      </c>
    </row>
    <row r="337" spans="1:17" x14ac:dyDescent="0.3">
      <c r="A337" t="s">
        <v>810</v>
      </c>
      <c r="B337" s="6">
        <v>45195</v>
      </c>
      <c r="C337" s="6" t="str">
        <f t="shared" si="15"/>
        <v>Sep</v>
      </c>
      <c r="D337" t="s">
        <v>811</v>
      </c>
      <c r="E337" t="s">
        <v>26</v>
      </c>
      <c r="F337" t="s">
        <v>417</v>
      </c>
      <c r="G337">
        <v>5</v>
      </c>
      <c r="H337" s="7">
        <v>420.8</v>
      </c>
      <c r="I337" t="s">
        <v>103</v>
      </c>
      <c r="J337" t="s">
        <v>87</v>
      </c>
      <c r="K337">
        <v>10</v>
      </c>
      <c r="L337" s="7">
        <f t="shared" si="16"/>
        <v>2104</v>
      </c>
      <c r="M337" s="7"/>
      <c r="O337">
        <f t="shared" si="17"/>
        <v>2</v>
      </c>
      <c r="Q337" t="s">
        <v>104</v>
      </c>
    </row>
    <row r="338" spans="1:17" x14ac:dyDescent="0.3">
      <c r="A338" t="s">
        <v>812</v>
      </c>
      <c r="B338" s="6">
        <v>45023</v>
      </c>
      <c r="C338" s="6" t="str">
        <f t="shared" si="15"/>
        <v>Apr</v>
      </c>
      <c r="D338" t="s">
        <v>327</v>
      </c>
      <c r="E338" t="s">
        <v>19</v>
      </c>
      <c r="F338" t="s">
        <v>549</v>
      </c>
      <c r="G338">
        <v>7</v>
      </c>
      <c r="H338" s="7">
        <v>172.96</v>
      </c>
      <c r="I338" t="s">
        <v>32</v>
      </c>
      <c r="J338" t="s">
        <v>72</v>
      </c>
      <c r="K338">
        <v>5</v>
      </c>
      <c r="L338" s="7">
        <f t="shared" si="16"/>
        <v>1210.72</v>
      </c>
      <c r="M338" s="7"/>
      <c r="O338">
        <f t="shared" si="17"/>
        <v>2</v>
      </c>
      <c r="Q338" t="s">
        <v>33</v>
      </c>
    </row>
    <row r="339" spans="1:17" x14ac:dyDescent="0.3">
      <c r="A339" t="s">
        <v>813</v>
      </c>
      <c r="B339" s="6">
        <v>45056</v>
      </c>
      <c r="C339" s="6" t="str">
        <f t="shared" si="15"/>
        <v>May</v>
      </c>
      <c r="D339" t="s">
        <v>715</v>
      </c>
      <c r="E339" t="s">
        <v>31</v>
      </c>
      <c r="F339" t="s">
        <v>586</v>
      </c>
      <c r="G339">
        <v>4</v>
      </c>
      <c r="H339" s="7">
        <v>355.91</v>
      </c>
      <c r="I339" t="s">
        <v>19</v>
      </c>
      <c r="J339" t="s">
        <v>22</v>
      </c>
      <c r="K339">
        <v>10</v>
      </c>
      <c r="L339" s="7">
        <f t="shared" si="16"/>
        <v>1423.64</v>
      </c>
      <c r="M339" s="7"/>
      <c r="O339">
        <f t="shared" si="17"/>
        <v>2</v>
      </c>
      <c r="Q339" t="s">
        <v>19</v>
      </c>
    </row>
    <row r="340" spans="1:17" x14ac:dyDescent="0.3">
      <c r="A340" t="s">
        <v>814</v>
      </c>
      <c r="B340" s="6">
        <v>45144</v>
      </c>
      <c r="C340" s="6" t="str">
        <f t="shared" si="15"/>
        <v>Aug</v>
      </c>
      <c r="D340" t="s">
        <v>286</v>
      </c>
      <c r="E340" t="s">
        <v>26</v>
      </c>
      <c r="F340" t="s">
        <v>420</v>
      </c>
      <c r="G340">
        <v>6</v>
      </c>
      <c r="H340" s="7">
        <v>496.92</v>
      </c>
      <c r="I340" t="s">
        <v>103</v>
      </c>
      <c r="J340" t="s">
        <v>72</v>
      </c>
      <c r="K340">
        <v>20</v>
      </c>
      <c r="L340" s="7">
        <f t="shared" si="16"/>
        <v>2981.52</v>
      </c>
      <c r="M340" s="7"/>
      <c r="O340">
        <f t="shared" si="17"/>
        <v>3</v>
      </c>
      <c r="Q340" t="s">
        <v>104</v>
      </c>
    </row>
    <row r="341" spans="1:17" x14ac:dyDescent="0.3">
      <c r="A341" t="s">
        <v>815</v>
      </c>
      <c r="B341" s="6">
        <v>45231</v>
      </c>
      <c r="C341" s="6" t="str">
        <f t="shared" si="15"/>
        <v>Nov</v>
      </c>
      <c r="D341" t="s">
        <v>300</v>
      </c>
      <c r="E341" t="s">
        <v>36</v>
      </c>
      <c r="F341" t="s">
        <v>504</v>
      </c>
      <c r="G341">
        <v>4</v>
      </c>
      <c r="H341" s="7">
        <v>160.74</v>
      </c>
      <c r="I341" t="s">
        <v>19</v>
      </c>
      <c r="J341" t="s">
        <v>42</v>
      </c>
      <c r="K341">
        <v>15</v>
      </c>
      <c r="L341" s="7">
        <f t="shared" si="16"/>
        <v>642.96</v>
      </c>
      <c r="M341" s="7"/>
      <c r="O341">
        <f t="shared" si="17"/>
        <v>2</v>
      </c>
      <c r="Q341" t="s">
        <v>19</v>
      </c>
    </row>
    <row r="342" spans="1:17" x14ac:dyDescent="0.3">
      <c r="A342" t="s">
        <v>816</v>
      </c>
      <c r="B342" s="6">
        <v>45152</v>
      </c>
      <c r="C342" s="6" t="str">
        <f t="shared" si="15"/>
        <v>Aug</v>
      </c>
      <c r="D342" t="s">
        <v>817</v>
      </c>
      <c r="E342" t="s">
        <v>40</v>
      </c>
      <c r="F342" t="s">
        <v>619</v>
      </c>
      <c r="G342">
        <v>3</v>
      </c>
      <c r="H342" s="7">
        <v>338.64</v>
      </c>
      <c r="I342" t="s">
        <v>32</v>
      </c>
      <c r="J342" t="s">
        <v>28</v>
      </c>
      <c r="K342">
        <v>5</v>
      </c>
      <c r="L342" s="7">
        <f t="shared" si="16"/>
        <v>1015.92</v>
      </c>
      <c r="M342" s="7"/>
      <c r="O342">
        <f t="shared" si="17"/>
        <v>2</v>
      </c>
      <c r="Q342" t="s">
        <v>33</v>
      </c>
    </row>
    <row r="343" spans="1:17" x14ac:dyDescent="0.3">
      <c r="A343" t="s">
        <v>818</v>
      </c>
      <c r="B343" s="6">
        <v>45245</v>
      </c>
      <c r="C343" s="6" t="str">
        <f t="shared" si="15"/>
        <v>Nov</v>
      </c>
      <c r="D343" t="s">
        <v>819</v>
      </c>
      <c r="E343" t="s">
        <v>26</v>
      </c>
      <c r="F343" t="s">
        <v>706</v>
      </c>
      <c r="G343">
        <v>7</v>
      </c>
      <c r="H343" s="7">
        <v>422.94</v>
      </c>
      <c r="I343" t="s">
        <v>64</v>
      </c>
      <c r="J343" t="s">
        <v>22</v>
      </c>
      <c r="K343">
        <v>15</v>
      </c>
      <c r="L343" s="7">
        <f t="shared" si="16"/>
        <v>2960.58</v>
      </c>
      <c r="M343" s="7"/>
      <c r="O343">
        <f t="shared" si="17"/>
        <v>3</v>
      </c>
      <c r="Q343" t="s">
        <v>65</v>
      </c>
    </row>
    <row r="344" spans="1:17" x14ac:dyDescent="0.3">
      <c r="A344" t="s">
        <v>820</v>
      </c>
      <c r="B344" s="6">
        <v>45286</v>
      </c>
      <c r="C344" s="6" t="str">
        <f t="shared" si="15"/>
        <v>Dec</v>
      </c>
      <c r="D344" t="s">
        <v>821</v>
      </c>
      <c r="E344" t="s">
        <v>26</v>
      </c>
      <c r="F344" t="s">
        <v>822</v>
      </c>
      <c r="G344">
        <v>8</v>
      </c>
      <c r="H344" s="7">
        <v>458.32</v>
      </c>
      <c r="I344" t="s">
        <v>46</v>
      </c>
      <c r="J344" t="s">
        <v>42</v>
      </c>
      <c r="K344">
        <v>10</v>
      </c>
      <c r="L344" s="7">
        <f t="shared" si="16"/>
        <v>3666.56</v>
      </c>
      <c r="M344" s="7"/>
      <c r="O344">
        <f t="shared" si="17"/>
        <v>5</v>
      </c>
      <c r="Q344" t="s">
        <v>47</v>
      </c>
    </row>
    <row r="345" spans="1:17" x14ac:dyDescent="0.3">
      <c r="A345" t="s">
        <v>823</v>
      </c>
      <c r="B345" s="6">
        <v>44993</v>
      </c>
      <c r="C345" s="6" t="str">
        <f t="shared" si="15"/>
        <v>Mar</v>
      </c>
      <c r="D345" t="s">
        <v>824</v>
      </c>
      <c r="E345" t="s">
        <v>19</v>
      </c>
      <c r="F345" t="s">
        <v>217</v>
      </c>
      <c r="G345">
        <v>4</v>
      </c>
      <c r="H345" s="7">
        <v>360.38</v>
      </c>
      <c r="I345" t="s">
        <v>19</v>
      </c>
      <c r="J345" t="s">
        <v>28</v>
      </c>
      <c r="K345">
        <v>10</v>
      </c>
      <c r="L345" s="7">
        <f t="shared" si="16"/>
        <v>1441.52</v>
      </c>
      <c r="M345" s="7"/>
      <c r="O345">
        <f t="shared" si="17"/>
        <v>2</v>
      </c>
      <c r="Q345" t="s">
        <v>19</v>
      </c>
    </row>
    <row r="346" spans="1:17" x14ac:dyDescent="0.3">
      <c r="A346" t="s">
        <v>825</v>
      </c>
      <c r="B346" s="6">
        <v>44949</v>
      </c>
      <c r="C346" s="6" t="str">
        <f t="shared" si="15"/>
        <v>Jan</v>
      </c>
      <c r="D346" t="s">
        <v>826</v>
      </c>
      <c r="E346" t="s">
        <v>62</v>
      </c>
      <c r="F346" t="s">
        <v>665</v>
      </c>
      <c r="G346">
        <v>2</v>
      </c>
      <c r="H346" s="7">
        <v>145.38999999999999</v>
      </c>
      <c r="I346" t="s">
        <v>64</v>
      </c>
      <c r="J346" t="s">
        <v>28</v>
      </c>
      <c r="K346">
        <v>15</v>
      </c>
      <c r="L346" s="7">
        <f t="shared" si="16"/>
        <v>290.77999999999997</v>
      </c>
      <c r="M346" s="7"/>
      <c r="O346">
        <f t="shared" si="17"/>
        <v>2</v>
      </c>
      <c r="Q346" t="s">
        <v>65</v>
      </c>
    </row>
    <row r="347" spans="1:17" x14ac:dyDescent="0.3">
      <c r="A347" t="s">
        <v>827</v>
      </c>
      <c r="B347" s="6">
        <v>45159</v>
      </c>
      <c r="C347" s="6" t="str">
        <f t="shared" si="15"/>
        <v>Aug</v>
      </c>
      <c r="D347" t="s">
        <v>828</v>
      </c>
      <c r="E347" t="s">
        <v>40</v>
      </c>
      <c r="F347" t="s">
        <v>185</v>
      </c>
      <c r="G347">
        <v>3</v>
      </c>
      <c r="H347" s="7">
        <v>166.51</v>
      </c>
      <c r="I347" t="s">
        <v>19</v>
      </c>
      <c r="J347" t="s">
        <v>22</v>
      </c>
      <c r="K347">
        <v>5</v>
      </c>
      <c r="L347" s="7">
        <f t="shared" si="16"/>
        <v>499.53</v>
      </c>
      <c r="M347" s="7"/>
      <c r="O347">
        <f t="shared" si="17"/>
        <v>2</v>
      </c>
      <c r="Q347" t="s">
        <v>19</v>
      </c>
    </row>
    <row r="348" spans="1:17" x14ac:dyDescent="0.3">
      <c r="A348" t="s">
        <v>829</v>
      </c>
      <c r="B348" s="6">
        <v>44931</v>
      </c>
      <c r="C348" s="6" t="str">
        <f t="shared" si="15"/>
        <v>Jan</v>
      </c>
      <c r="D348" t="s">
        <v>830</v>
      </c>
      <c r="E348" t="s">
        <v>62</v>
      </c>
      <c r="F348" t="s">
        <v>211</v>
      </c>
      <c r="G348">
        <v>1</v>
      </c>
      <c r="H348" s="7">
        <v>15.28</v>
      </c>
      <c r="I348" t="s">
        <v>103</v>
      </c>
      <c r="J348" t="s">
        <v>28</v>
      </c>
      <c r="K348">
        <v>20</v>
      </c>
      <c r="L348" s="7">
        <f t="shared" si="16"/>
        <v>15.28</v>
      </c>
      <c r="M348" s="7"/>
      <c r="O348">
        <f t="shared" si="17"/>
        <v>2</v>
      </c>
      <c r="Q348" t="s">
        <v>104</v>
      </c>
    </row>
    <row r="349" spans="1:17" x14ac:dyDescent="0.3">
      <c r="A349" t="s">
        <v>831</v>
      </c>
      <c r="B349" s="6">
        <v>45242</v>
      </c>
      <c r="C349" s="6" t="str">
        <f t="shared" si="15"/>
        <v>Nov</v>
      </c>
      <c r="D349" t="s">
        <v>832</v>
      </c>
      <c r="E349" t="s">
        <v>50</v>
      </c>
      <c r="F349" t="s">
        <v>833</v>
      </c>
      <c r="G349">
        <v>8</v>
      </c>
      <c r="H349" s="7">
        <v>381.64</v>
      </c>
      <c r="I349" t="s">
        <v>103</v>
      </c>
      <c r="J349" t="s">
        <v>87</v>
      </c>
      <c r="K349">
        <v>0</v>
      </c>
      <c r="L349" s="7">
        <f t="shared" si="16"/>
        <v>3053.12</v>
      </c>
      <c r="M349" s="7"/>
      <c r="O349">
        <f t="shared" si="17"/>
        <v>4</v>
      </c>
      <c r="Q349" t="s">
        <v>104</v>
      </c>
    </row>
    <row r="350" spans="1:17" x14ac:dyDescent="0.3">
      <c r="A350" t="s">
        <v>834</v>
      </c>
      <c r="B350" s="6">
        <v>44964</v>
      </c>
      <c r="C350" s="6" t="str">
        <f t="shared" si="15"/>
        <v>Feb</v>
      </c>
      <c r="D350" t="s">
        <v>454</v>
      </c>
      <c r="E350" t="s">
        <v>36</v>
      </c>
      <c r="F350" t="s">
        <v>116</v>
      </c>
      <c r="G350">
        <v>3</v>
      </c>
      <c r="H350" s="7">
        <v>26.16</v>
      </c>
      <c r="I350" t="s">
        <v>103</v>
      </c>
      <c r="J350" t="s">
        <v>42</v>
      </c>
      <c r="K350">
        <v>15</v>
      </c>
      <c r="L350" s="7">
        <f t="shared" si="16"/>
        <v>78.48</v>
      </c>
      <c r="M350" s="7"/>
      <c r="O350">
        <f t="shared" si="17"/>
        <v>2</v>
      </c>
      <c r="Q350" t="s">
        <v>104</v>
      </c>
    </row>
    <row r="351" spans="1:17" x14ac:dyDescent="0.3">
      <c r="A351" t="s">
        <v>835</v>
      </c>
      <c r="B351" s="6">
        <v>45022</v>
      </c>
      <c r="C351" s="6" t="str">
        <f t="shared" si="15"/>
        <v>Apr</v>
      </c>
      <c r="D351" t="s">
        <v>679</v>
      </c>
      <c r="E351" t="s">
        <v>26</v>
      </c>
      <c r="F351" t="s">
        <v>298</v>
      </c>
      <c r="G351">
        <v>7</v>
      </c>
      <c r="H351" s="7">
        <v>433</v>
      </c>
      <c r="I351" t="s">
        <v>103</v>
      </c>
      <c r="J351" t="s">
        <v>42</v>
      </c>
      <c r="K351">
        <v>0</v>
      </c>
      <c r="L351" s="7">
        <f t="shared" si="16"/>
        <v>3031</v>
      </c>
      <c r="M351" s="7"/>
      <c r="O351">
        <f t="shared" si="17"/>
        <v>4</v>
      </c>
      <c r="Q351" t="s">
        <v>104</v>
      </c>
    </row>
    <row r="352" spans="1:17" x14ac:dyDescent="0.3">
      <c r="A352" t="s">
        <v>836</v>
      </c>
      <c r="B352" s="6">
        <v>45224</v>
      </c>
      <c r="C352" s="6" t="str">
        <f t="shared" si="15"/>
        <v>Oct</v>
      </c>
      <c r="D352" t="s">
        <v>837</v>
      </c>
      <c r="E352" t="s">
        <v>40</v>
      </c>
      <c r="F352" t="s">
        <v>445</v>
      </c>
      <c r="G352">
        <v>5</v>
      </c>
      <c r="H352" s="7">
        <v>63.74</v>
      </c>
      <c r="I352" t="s">
        <v>64</v>
      </c>
      <c r="J352" t="s">
        <v>22</v>
      </c>
      <c r="K352">
        <v>10</v>
      </c>
      <c r="L352" s="7">
        <f t="shared" si="16"/>
        <v>318.7</v>
      </c>
      <c r="M352" s="7"/>
      <c r="O352">
        <f t="shared" si="17"/>
        <v>2</v>
      </c>
      <c r="Q352" t="s">
        <v>65</v>
      </c>
    </row>
    <row r="353" spans="1:17" x14ac:dyDescent="0.3">
      <c r="A353" t="s">
        <v>838</v>
      </c>
      <c r="B353" s="6">
        <v>45101</v>
      </c>
      <c r="C353" s="6" t="str">
        <f t="shared" si="15"/>
        <v>Jun</v>
      </c>
      <c r="D353" t="s">
        <v>746</v>
      </c>
      <c r="E353" t="s">
        <v>62</v>
      </c>
      <c r="F353" t="s">
        <v>208</v>
      </c>
      <c r="G353">
        <v>5</v>
      </c>
      <c r="H353" s="7">
        <v>90.08</v>
      </c>
      <c r="I353" t="s">
        <v>21</v>
      </c>
      <c r="J353" t="s">
        <v>22</v>
      </c>
      <c r="K353">
        <v>15</v>
      </c>
      <c r="L353" s="7">
        <f t="shared" si="16"/>
        <v>450.4</v>
      </c>
      <c r="M353" s="7"/>
      <c r="O353">
        <f t="shared" si="17"/>
        <v>2</v>
      </c>
      <c r="Q353" t="s">
        <v>23</v>
      </c>
    </row>
    <row r="354" spans="1:17" x14ac:dyDescent="0.3">
      <c r="A354" t="s">
        <v>839</v>
      </c>
      <c r="B354" s="6">
        <v>45208</v>
      </c>
      <c r="C354" s="6" t="str">
        <f t="shared" si="15"/>
        <v>Oct</v>
      </c>
      <c r="D354" t="s">
        <v>603</v>
      </c>
      <c r="E354" t="s">
        <v>36</v>
      </c>
      <c r="F354" t="s">
        <v>511</v>
      </c>
      <c r="G354">
        <v>7</v>
      </c>
      <c r="H354" s="7">
        <v>240.88</v>
      </c>
      <c r="I354" t="s">
        <v>19</v>
      </c>
      <c r="J354" t="s">
        <v>22</v>
      </c>
      <c r="K354">
        <v>15</v>
      </c>
      <c r="L354" s="7">
        <f t="shared" si="16"/>
        <v>1686.1599999999999</v>
      </c>
      <c r="M354" s="7"/>
      <c r="O354">
        <f t="shared" si="17"/>
        <v>2</v>
      </c>
      <c r="Q354" t="s">
        <v>19</v>
      </c>
    </row>
    <row r="355" spans="1:17" x14ac:dyDescent="0.3">
      <c r="A355" t="s">
        <v>840</v>
      </c>
      <c r="B355" s="6">
        <v>45074</v>
      </c>
      <c r="C355" s="6" t="str">
        <f t="shared" si="15"/>
        <v>May</v>
      </c>
      <c r="D355" t="s">
        <v>841</v>
      </c>
      <c r="E355" t="s">
        <v>62</v>
      </c>
      <c r="F355" t="s">
        <v>347</v>
      </c>
      <c r="G355">
        <v>9</v>
      </c>
      <c r="H355" s="7">
        <v>370.25</v>
      </c>
      <c r="I355" t="s">
        <v>21</v>
      </c>
      <c r="J355" t="s">
        <v>19</v>
      </c>
      <c r="K355">
        <v>20</v>
      </c>
      <c r="L355" s="7">
        <f t="shared" si="16"/>
        <v>3332.25</v>
      </c>
      <c r="M355" s="7"/>
      <c r="O355">
        <f t="shared" si="17"/>
        <v>4</v>
      </c>
      <c r="Q355" t="s">
        <v>23</v>
      </c>
    </row>
    <row r="356" spans="1:17" x14ac:dyDescent="0.3">
      <c r="A356" t="s">
        <v>842</v>
      </c>
      <c r="B356" s="6">
        <v>45254</v>
      </c>
      <c r="C356" s="6" t="str">
        <f t="shared" si="15"/>
        <v>Nov</v>
      </c>
      <c r="D356" t="s">
        <v>843</v>
      </c>
      <c r="E356" t="s">
        <v>19</v>
      </c>
      <c r="F356" t="s">
        <v>54</v>
      </c>
      <c r="G356">
        <v>5</v>
      </c>
      <c r="H356" s="7">
        <v>73.81</v>
      </c>
      <c r="I356" t="s">
        <v>21</v>
      </c>
      <c r="J356" t="s">
        <v>19</v>
      </c>
      <c r="K356">
        <v>10</v>
      </c>
      <c r="L356" s="7">
        <f t="shared" si="16"/>
        <v>369.05</v>
      </c>
      <c r="M356" s="7"/>
      <c r="O356">
        <f t="shared" si="17"/>
        <v>2</v>
      </c>
      <c r="Q356" t="s">
        <v>23</v>
      </c>
    </row>
    <row r="357" spans="1:17" x14ac:dyDescent="0.3">
      <c r="A357" t="s">
        <v>844</v>
      </c>
      <c r="B357" s="6">
        <v>45051</v>
      </c>
      <c r="C357" s="6" t="str">
        <f t="shared" si="15"/>
        <v>May</v>
      </c>
      <c r="D357" t="s">
        <v>203</v>
      </c>
      <c r="E357" t="s">
        <v>19</v>
      </c>
      <c r="F357" t="s">
        <v>619</v>
      </c>
      <c r="G357">
        <v>1</v>
      </c>
      <c r="H357" s="7">
        <v>222.84</v>
      </c>
      <c r="I357" t="s">
        <v>103</v>
      </c>
      <c r="J357" t="s">
        <v>72</v>
      </c>
      <c r="K357">
        <v>5</v>
      </c>
      <c r="L357" s="7">
        <f t="shared" si="16"/>
        <v>222.84</v>
      </c>
      <c r="M357" s="7"/>
      <c r="O357">
        <f t="shared" si="17"/>
        <v>2</v>
      </c>
      <c r="Q357" t="s">
        <v>104</v>
      </c>
    </row>
    <row r="358" spans="1:17" x14ac:dyDescent="0.3">
      <c r="A358" t="s">
        <v>845</v>
      </c>
      <c r="B358" s="6">
        <v>45246</v>
      </c>
      <c r="C358" s="6" t="str">
        <f t="shared" si="15"/>
        <v>Nov</v>
      </c>
      <c r="D358" t="s">
        <v>846</v>
      </c>
      <c r="E358" t="s">
        <v>62</v>
      </c>
      <c r="F358" t="s">
        <v>119</v>
      </c>
      <c r="G358">
        <v>1</v>
      </c>
      <c r="H358" s="7">
        <v>244.01</v>
      </c>
      <c r="I358" t="s">
        <v>32</v>
      </c>
      <c r="J358" t="s">
        <v>19</v>
      </c>
      <c r="K358">
        <v>5</v>
      </c>
      <c r="L358" s="7">
        <f t="shared" si="16"/>
        <v>244.01</v>
      </c>
      <c r="M358" s="7"/>
      <c r="O358">
        <f t="shared" si="17"/>
        <v>2</v>
      </c>
      <c r="Q358" t="s">
        <v>33</v>
      </c>
    </row>
    <row r="359" spans="1:17" x14ac:dyDescent="0.3">
      <c r="A359" t="s">
        <v>847</v>
      </c>
      <c r="B359" s="6">
        <v>45260</v>
      </c>
      <c r="C359" s="6" t="str">
        <f t="shared" si="15"/>
        <v>Nov</v>
      </c>
      <c r="D359" t="s">
        <v>848</v>
      </c>
      <c r="E359" t="s">
        <v>19</v>
      </c>
      <c r="F359" t="s">
        <v>417</v>
      </c>
      <c r="G359">
        <v>2</v>
      </c>
      <c r="H359" s="7">
        <v>110.08</v>
      </c>
      <c r="I359" t="s">
        <v>32</v>
      </c>
      <c r="J359" t="s">
        <v>72</v>
      </c>
      <c r="K359">
        <v>5</v>
      </c>
      <c r="L359" s="7">
        <f t="shared" si="16"/>
        <v>220.16</v>
      </c>
      <c r="M359" s="7"/>
      <c r="O359">
        <f t="shared" si="17"/>
        <v>2</v>
      </c>
      <c r="Q359" t="s">
        <v>33</v>
      </c>
    </row>
    <row r="360" spans="1:17" x14ac:dyDescent="0.3">
      <c r="A360" t="s">
        <v>849</v>
      </c>
      <c r="B360" s="6">
        <v>45228</v>
      </c>
      <c r="C360" s="6" t="str">
        <f t="shared" si="15"/>
        <v>Oct</v>
      </c>
      <c r="D360" t="s">
        <v>850</v>
      </c>
      <c r="E360" t="s">
        <v>62</v>
      </c>
      <c r="F360" t="s">
        <v>504</v>
      </c>
      <c r="G360">
        <v>6</v>
      </c>
      <c r="H360" s="7">
        <v>252.16</v>
      </c>
      <c r="I360" t="s">
        <v>19</v>
      </c>
      <c r="J360" t="s">
        <v>72</v>
      </c>
      <c r="K360">
        <v>10</v>
      </c>
      <c r="L360" s="7">
        <f t="shared" si="16"/>
        <v>1512.96</v>
      </c>
      <c r="M360" s="7"/>
      <c r="O360">
        <f t="shared" si="17"/>
        <v>2</v>
      </c>
      <c r="Q360" t="s">
        <v>19</v>
      </c>
    </row>
    <row r="361" spans="1:17" x14ac:dyDescent="0.3">
      <c r="A361" t="s">
        <v>851</v>
      </c>
      <c r="B361" s="6">
        <v>45178</v>
      </c>
      <c r="C361" s="6" t="str">
        <f t="shared" si="15"/>
        <v>Sep</v>
      </c>
      <c r="D361" t="s">
        <v>852</v>
      </c>
      <c r="E361" t="s">
        <v>50</v>
      </c>
      <c r="F361" t="s">
        <v>322</v>
      </c>
      <c r="G361">
        <v>9</v>
      </c>
      <c r="H361" s="7">
        <v>419.03</v>
      </c>
      <c r="I361" t="s">
        <v>19</v>
      </c>
      <c r="J361" t="s">
        <v>87</v>
      </c>
      <c r="K361">
        <v>10</v>
      </c>
      <c r="L361" s="7">
        <f t="shared" si="16"/>
        <v>3771.2699999999995</v>
      </c>
      <c r="M361" s="7"/>
      <c r="O361">
        <f t="shared" si="17"/>
        <v>5</v>
      </c>
      <c r="Q361" t="s">
        <v>19</v>
      </c>
    </row>
    <row r="362" spans="1:17" x14ac:dyDescent="0.3">
      <c r="A362" t="s">
        <v>853</v>
      </c>
      <c r="B362" s="6">
        <v>45160</v>
      </c>
      <c r="C362" s="6" t="str">
        <f t="shared" si="15"/>
        <v>Aug</v>
      </c>
      <c r="D362" t="s">
        <v>127</v>
      </c>
      <c r="E362" t="s">
        <v>50</v>
      </c>
      <c r="F362" t="s">
        <v>160</v>
      </c>
      <c r="G362">
        <v>8</v>
      </c>
      <c r="H362" s="7">
        <v>253.72</v>
      </c>
      <c r="I362" t="s">
        <v>103</v>
      </c>
      <c r="J362" t="s">
        <v>42</v>
      </c>
      <c r="K362">
        <v>0</v>
      </c>
      <c r="L362" s="7">
        <f t="shared" si="16"/>
        <v>2029.76</v>
      </c>
      <c r="M362" s="7"/>
      <c r="O362">
        <f t="shared" si="17"/>
        <v>2</v>
      </c>
      <c r="Q362" t="s">
        <v>104</v>
      </c>
    </row>
    <row r="363" spans="1:17" x14ac:dyDescent="0.3">
      <c r="A363" t="s">
        <v>854</v>
      </c>
      <c r="B363" s="6">
        <v>44954</v>
      </c>
      <c r="C363" s="6" t="str">
        <f t="shared" si="15"/>
        <v>Jan</v>
      </c>
      <c r="D363" t="s">
        <v>855</v>
      </c>
      <c r="E363" t="s">
        <v>19</v>
      </c>
      <c r="F363" t="s">
        <v>856</v>
      </c>
      <c r="G363">
        <v>5</v>
      </c>
      <c r="H363" s="7">
        <v>252.16</v>
      </c>
      <c r="I363" t="s">
        <v>46</v>
      </c>
      <c r="J363" t="s">
        <v>42</v>
      </c>
      <c r="K363">
        <v>5</v>
      </c>
      <c r="L363" s="7">
        <f t="shared" si="16"/>
        <v>1260.8</v>
      </c>
      <c r="M363" s="7"/>
      <c r="O363">
        <f t="shared" si="17"/>
        <v>2</v>
      </c>
      <c r="Q363" t="s">
        <v>47</v>
      </c>
    </row>
    <row r="364" spans="1:17" x14ac:dyDescent="0.3">
      <c r="A364" t="s">
        <v>857</v>
      </c>
      <c r="B364" s="6">
        <v>45215</v>
      </c>
      <c r="C364" s="6" t="str">
        <f t="shared" si="15"/>
        <v>Oct</v>
      </c>
      <c r="D364" t="s">
        <v>858</v>
      </c>
      <c r="E364" t="s">
        <v>19</v>
      </c>
      <c r="F364" t="s">
        <v>334</v>
      </c>
      <c r="G364">
        <v>1</v>
      </c>
      <c r="H364" s="7">
        <v>402.48</v>
      </c>
      <c r="I364" t="s">
        <v>46</v>
      </c>
      <c r="J364" t="s">
        <v>87</v>
      </c>
      <c r="K364">
        <v>0</v>
      </c>
      <c r="L364" s="7">
        <f t="shared" si="16"/>
        <v>402.48</v>
      </c>
      <c r="M364" s="7"/>
      <c r="O364">
        <f t="shared" si="17"/>
        <v>2</v>
      </c>
      <c r="Q364" t="s">
        <v>47</v>
      </c>
    </row>
    <row r="365" spans="1:17" x14ac:dyDescent="0.3">
      <c r="A365" t="s">
        <v>859</v>
      </c>
      <c r="B365" s="6">
        <v>44954</v>
      </c>
      <c r="C365" s="6" t="str">
        <f t="shared" si="15"/>
        <v>Jan</v>
      </c>
      <c r="D365" t="s">
        <v>860</v>
      </c>
      <c r="E365" t="s">
        <v>26</v>
      </c>
      <c r="F365" t="s">
        <v>861</v>
      </c>
      <c r="G365">
        <v>7</v>
      </c>
      <c r="H365" s="7">
        <v>490.49</v>
      </c>
      <c r="I365" t="s">
        <v>32</v>
      </c>
      <c r="J365" t="s">
        <v>72</v>
      </c>
      <c r="K365">
        <v>10</v>
      </c>
      <c r="L365" s="7">
        <f t="shared" si="16"/>
        <v>3433.4300000000003</v>
      </c>
      <c r="M365" s="7"/>
      <c r="O365">
        <f t="shared" si="17"/>
        <v>4</v>
      </c>
      <c r="Q365" t="s">
        <v>33</v>
      </c>
    </row>
    <row r="366" spans="1:17" x14ac:dyDescent="0.3">
      <c r="A366" t="s">
        <v>862</v>
      </c>
      <c r="B366" s="6">
        <v>45181</v>
      </c>
      <c r="C366" s="6" t="str">
        <f t="shared" si="15"/>
        <v>Sep</v>
      </c>
      <c r="D366" t="s">
        <v>863</v>
      </c>
      <c r="E366" t="s">
        <v>50</v>
      </c>
      <c r="F366" t="s">
        <v>472</v>
      </c>
      <c r="G366">
        <v>5</v>
      </c>
      <c r="H366" s="7">
        <v>304.93</v>
      </c>
      <c r="I366" t="s">
        <v>64</v>
      </c>
      <c r="J366" t="s">
        <v>42</v>
      </c>
      <c r="K366">
        <v>10</v>
      </c>
      <c r="L366" s="7">
        <f t="shared" si="16"/>
        <v>1524.65</v>
      </c>
      <c r="M366" s="7"/>
      <c r="O366">
        <f t="shared" si="17"/>
        <v>2</v>
      </c>
      <c r="Q366" t="s">
        <v>65</v>
      </c>
    </row>
    <row r="367" spans="1:17" x14ac:dyDescent="0.3">
      <c r="A367" t="s">
        <v>864</v>
      </c>
      <c r="B367" s="6">
        <v>44944</v>
      </c>
      <c r="C367" s="6" t="str">
        <f t="shared" si="15"/>
        <v>Jan</v>
      </c>
      <c r="D367" t="s">
        <v>144</v>
      </c>
      <c r="E367" t="s">
        <v>50</v>
      </c>
      <c r="F367" t="s">
        <v>75</v>
      </c>
      <c r="G367">
        <v>6</v>
      </c>
      <c r="H367" s="7">
        <v>254.34</v>
      </c>
      <c r="I367" t="s">
        <v>32</v>
      </c>
      <c r="J367" t="s">
        <v>19</v>
      </c>
      <c r="K367">
        <v>10</v>
      </c>
      <c r="L367" s="7">
        <f t="shared" si="16"/>
        <v>1526.04</v>
      </c>
      <c r="M367" s="7"/>
      <c r="O367">
        <f t="shared" si="17"/>
        <v>2</v>
      </c>
      <c r="Q367" t="s">
        <v>33</v>
      </c>
    </row>
    <row r="368" spans="1:17" x14ac:dyDescent="0.3">
      <c r="A368" t="s">
        <v>865</v>
      </c>
      <c r="B368" s="6">
        <v>44963</v>
      </c>
      <c r="C368" s="6" t="str">
        <f t="shared" si="15"/>
        <v>Feb</v>
      </c>
      <c r="D368" t="s">
        <v>866</v>
      </c>
      <c r="E368" t="s">
        <v>62</v>
      </c>
      <c r="F368" t="s">
        <v>800</v>
      </c>
      <c r="G368">
        <v>7</v>
      </c>
      <c r="H368" s="7">
        <v>439.82</v>
      </c>
      <c r="I368" t="s">
        <v>19</v>
      </c>
      <c r="J368" t="s">
        <v>22</v>
      </c>
      <c r="K368">
        <v>20</v>
      </c>
      <c r="L368" s="7">
        <f t="shared" si="16"/>
        <v>3078.74</v>
      </c>
      <c r="M368" s="7"/>
      <c r="O368">
        <f t="shared" si="17"/>
        <v>4</v>
      </c>
      <c r="Q368" t="s">
        <v>19</v>
      </c>
    </row>
    <row r="369" spans="1:17" x14ac:dyDescent="0.3">
      <c r="A369" t="s">
        <v>867</v>
      </c>
      <c r="B369" s="6">
        <v>45108</v>
      </c>
      <c r="C369" s="6" t="str">
        <f t="shared" si="15"/>
        <v>Jul</v>
      </c>
      <c r="D369" t="s">
        <v>868</v>
      </c>
      <c r="E369" t="s">
        <v>36</v>
      </c>
      <c r="F369" t="s">
        <v>231</v>
      </c>
      <c r="G369">
        <v>3</v>
      </c>
      <c r="H369" s="7">
        <v>476.5</v>
      </c>
      <c r="I369" t="s">
        <v>21</v>
      </c>
      <c r="J369" t="s">
        <v>72</v>
      </c>
      <c r="K369">
        <v>5</v>
      </c>
      <c r="L369" s="7">
        <f t="shared" si="16"/>
        <v>1429.5</v>
      </c>
      <c r="M369" s="7"/>
      <c r="O369">
        <f t="shared" si="17"/>
        <v>2</v>
      </c>
      <c r="Q369" t="s">
        <v>23</v>
      </c>
    </row>
    <row r="370" spans="1:17" x14ac:dyDescent="0.3">
      <c r="A370" t="s">
        <v>869</v>
      </c>
      <c r="B370" s="6">
        <v>44964</v>
      </c>
      <c r="C370" s="6" t="str">
        <f t="shared" si="15"/>
        <v>Feb</v>
      </c>
      <c r="D370" t="s">
        <v>755</v>
      </c>
      <c r="E370" t="s">
        <v>26</v>
      </c>
      <c r="F370" t="s">
        <v>239</v>
      </c>
      <c r="G370">
        <v>3</v>
      </c>
      <c r="H370" s="7">
        <v>378.5</v>
      </c>
      <c r="I370" t="s">
        <v>21</v>
      </c>
      <c r="J370" t="s">
        <v>87</v>
      </c>
      <c r="K370">
        <v>10</v>
      </c>
      <c r="L370" s="7">
        <f t="shared" si="16"/>
        <v>1135.5</v>
      </c>
      <c r="M370" s="7"/>
      <c r="O370">
        <f t="shared" si="17"/>
        <v>2</v>
      </c>
      <c r="Q370" t="s">
        <v>23</v>
      </c>
    </row>
    <row r="371" spans="1:17" x14ac:dyDescent="0.3">
      <c r="A371" t="s">
        <v>870</v>
      </c>
      <c r="B371" s="6">
        <v>45113</v>
      </c>
      <c r="C371" s="6" t="str">
        <f t="shared" si="15"/>
        <v>Jul</v>
      </c>
      <c r="D371" t="s">
        <v>871</v>
      </c>
      <c r="E371" t="s">
        <v>62</v>
      </c>
      <c r="F371" t="s">
        <v>328</v>
      </c>
      <c r="G371">
        <v>5</v>
      </c>
      <c r="H371" s="7">
        <v>225.5</v>
      </c>
      <c r="I371" t="s">
        <v>19</v>
      </c>
      <c r="J371" t="s">
        <v>22</v>
      </c>
      <c r="K371">
        <v>20</v>
      </c>
      <c r="L371" s="7">
        <f t="shared" si="16"/>
        <v>1127.5</v>
      </c>
      <c r="M371" s="7"/>
      <c r="O371">
        <f t="shared" si="17"/>
        <v>2</v>
      </c>
      <c r="Q371" t="s">
        <v>19</v>
      </c>
    </row>
    <row r="372" spans="1:17" x14ac:dyDescent="0.3">
      <c r="A372" t="s">
        <v>872</v>
      </c>
      <c r="B372" s="6">
        <v>45089</v>
      </c>
      <c r="C372" s="6" t="str">
        <f t="shared" si="15"/>
        <v>Jun</v>
      </c>
      <c r="D372" t="s">
        <v>873</v>
      </c>
      <c r="E372" t="s">
        <v>19</v>
      </c>
      <c r="F372" t="s">
        <v>295</v>
      </c>
      <c r="G372">
        <v>6</v>
      </c>
      <c r="H372" s="7">
        <v>298.14999999999998</v>
      </c>
      <c r="I372" t="s">
        <v>32</v>
      </c>
      <c r="J372" t="s">
        <v>22</v>
      </c>
      <c r="K372">
        <v>5</v>
      </c>
      <c r="L372" s="7">
        <f t="shared" si="16"/>
        <v>1788.8999999999999</v>
      </c>
      <c r="M372" s="7"/>
      <c r="O372">
        <f t="shared" si="17"/>
        <v>2</v>
      </c>
      <c r="Q372" t="s">
        <v>33</v>
      </c>
    </row>
    <row r="373" spans="1:17" x14ac:dyDescent="0.3">
      <c r="A373" t="s">
        <v>874</v>
      </c>
      <c r="B373" s="6">
        <v>45203</v>
      </c>
      <c r="C373" s="6" t="str">
        <f t="shared" si="15"/>
        <v>Oct</v>
      </c>
      <c r="D373" t="s">
        <v>92</v>
      </c>
      <c r="E373" t="s">
        <v>40</v>
      </c>
      <c r="F373" t="s">
        <v>665</v>
      </c>
      <c r="G373">
        <v>9</v>
      </c>
      <c r="H373" s="7">
        <v>351.96</v>
      </c>
      <c r="I373" t="s">
        <v>32</v>
      </c>
      <c r="J373" t="s">
        <v>28</v>
      </c>
      <c r="K373">
        <v>10</v>
      </c>
      <c r="L373" s="7">
        <f t="shared" si="16"/>
        <v>3167.64</v>
      </c>
      <c r="M373" s="7"/>
      <c r="O373">
        <f t="shared" si="17"/>
        <v>4</v>
      </c>
      <c r="Q373" t="s">
        <v>33</v>
      </c>
    </row>
    <row r="374" spans="1:17" x14ac:dyDescent="0.3">
      <c r="A374" t="s">
        <v>875</v>
      </c>
      <c r="B374" s="6">
        <v>44960</v>
      </c>
      <c r="C374" s="6" t="str">
        <f t="shared" si="15"/>
        <v>Feb</v>
      </c>
      <c r="D374" t="s">
        <v>207</v>
      </c>
      <c r="E374" t="s">
        <v>40</v>
      </c>
      <c r="F374" t="s">
        <v>708</v>
      </c>
      <c r="G374">
        <v>5</v>
      </c>
      <c r="H374" s="7">
        <v>101.17</v>
      </c>
      <c r="I374" t="s">
        <v>32</v>
      </c>
      <c r="J374" t="s">
        <v>28</v>
      </c>
      <c r="K374">
        <v>10</v>
      </c>
      <c r="L374" s="7">
        <f t="shared" si="16"/>
        <v>505.85</v>
      </c>
      <c r="M374" s="7"/>
      <c r="O374">
        <f t="shared" si="17"/>
        <v>2</v>
      </c>
      <c r="Q374" t="s">
        <v>33</v>
      </c>
    </row>
    <row r="375" spans="1:17" x14ac:dyDescent="0.3">
      <c r="A375" t="s">
        <v>876</v>
      </c>
      <c r="B375" s="6">
        <v>44992</v>
      </c>
      <c r="C375" s="6" t="str">
        <f t="shared" si="15"/>
        <v>Mar</v>
      </c>
      <c r="D375" t="s">
        <v>877</v>
      </c>
      <c r="E375" t="s">
        <v>26</v>
      </c>
      <c r="F375" t="s">
        <v>325</v>
      </c>
      <c r="G375">
        <v>1</v>
      </c>
      <c r="H375" s="7">
        <v>226.36</v>
      </c>
      <c r="I375" t="s">
        <v>32</v>
      </c>
      <c r="J375" t="s">
        <v>87</v>
      </c>
      <c r="K375">
        <v>15</v>
      </c>
      <c r="L375" s="7">
        <f t="shared" si="16"/>
        <v>226.36</v>
      </c>
      <c r="M375" s="7"/>
      <c r="O375">
        <f t="shared" si="17"/>
        <v>2</v>
      </c>
      <c r="Q375" t="s">
        <v>33</v>
      </c>
    </row>
    <row r="376" spans="1:17" x14ac:dyDescent="0.3">
      <c r="A376" t="s">
        <v>878</v>
      </c>
      <c r="B376" s="6">
        <v>44988</v>
      </c>
      <c r="C376" s="6" t="str">
        <f t="shared" si="15"/>
        <v>Mar</v>
      </c>
      <c r="D376" t="s">
        <v>879</v>
      </c>
      <c r="E376" t="s">
        <v>36</v>
      </c>
      <c r="F376" t="s">
        <v>222</v>
      </c>
      <c r="G376">
        <v>4</v>
      </c>
      <c r="H376" s="7">
        <v>415.76</v>
      </c>
      <c r="I376" t="s">
        <v>46</v>
      </c>
      <c r="J376" t="s">
        <v>87</v>
      </c>
      <c r="K376">
        <v>15</v>
      </c>
      <c r="L376" s="7">
        <f t="shared" si="16"/>
        <v>1663.04</v>
      </c>
      <c r="M376" s="7"/>
      <c r="O376">
        <f t="shared" si="17"/>
        <v>2</v>
      </c>
      <c r="Q376" t="s">
        <v>47</v>
      </c>
    </row>
    <row r="377" spans="1:17" x14ac:dyDescent="0.3">
      <c r="A377" t="s">
        <v>880</v>
      </c>
      <c r="B377" s="6">
        <v>45230</v>
      </c>
      <c r="C377" s="6" t="str">
        <f t="shared" si="15"/>
        <v>Oct</v>
      </c>
      <c r="D377" t="s">
        <v>881</v>
      </c>
      <c r="E377" t="s">
        <v>31</v>
      </c>
      <c r="F377" t="s">
        <v>102</v>
      </c>
      <c r="G377">
        <v>5</v>
      </c>
      <c r="H377" s="7">
        <v>329.09</v>
      </c>
      <c r="I377" t="s">
        <v>21</v>
      </c>
      <c r="J377" t="s">
        <v>28</v>
      </c>
      <c r="K377">
        <v>10</v>
      </c>
      <c r="L377" s="7">
        <f t="shared" si="16"/>
        <v>1645.4499999999998</v>
      </c>
      <c r="M377" s="7"/>
      <c r="O377">
        <f t="shared" si="17"/>
        <v>2</v>
      </c>
      <c r="Q377" t="s">
        <v>23</v>
      </c>
    </row>
    <row r="378" spans="1:17" x14ac:dyDescent="0.3">
      <c r="A378" t="s">
        <v>882</v>
      </c>
      <c r="B378" s="6">
        <v>44947</v>
      </c>
      <c r="C378" s="6" t="str">
        <f t="shared" si="15"/>
        <v>Jan</v>
      </c>
      <c r="D378" t="s">
        <v>883</v>
      </c>
      <c r="E378" t="s">
        <v>62</v>
      </c>
      <c r="F378" t="s">
        <v>237</v>
      </c>
      <c r="G378">
        <v>5</v>
      </c>
      <c r="H378" s="7">
        <v>208.55</v>
      </c>
      <c r="I378" t="s">
        <v>19</v>
      </c>
      <c r="J378" t="s">
        <v>28</v>
      </c>
      <c r="K378">
        <v>10</v>
      </c>
      <c r="L378" s="7">
        <f t="shared" si="16"/>
        <v>1042.75</v>
      </c>
      <c r="M378" s="7"/>
      <c r="O378">
        <f t="shared" si="17"/>
        <v>2</v>
      </c>
      <c r="Q378" t="s">
        <v>19</v>
      </c>
    </row>
    <row r="379" spans="1:17" x14ac:dyDescent="0.3">
      <c r="A379" t="s">
        <v>884</v>
      </c>
      <c r="B379" s="6">
        <v>44933</v>
      </c>
      <c r="C379" s="6" t="str">
        <f t="shared" si="15"/>
        <v>Jan</v>
      </c>
      <c r="D379" t="s">
        <v>885</v>
      </c>
      <c r="E379" t="s">
        <v>62</v>
      </c>
      <c r="F379" t="s">
        <v>284</v>
      </c>
      <c r="G379">
        <v>7</v>
      </c>
      <c r="H379" s="7">
        <v>333.36</v>
      </c>
      <c r="I379" t="s">
        <v>19</v>
      </c>
      <c r="J379" t="s">
        <v>28</v>
      </c>
      <c r="K379">
        <v>0</v>
      </c>
      <c r="L379" s="7">
        <f t="shared" si="16"/>
        <v>2333.52</v>
      </c>
      <c r="M379" s="7"/>
      <c r="O379">
        <f t="shared" si="17"/>
        <v>2</v>
      </c>
      <c r="Q379" t="s">
        <v>19</v>
      </c>
    </row>
    <row r="380" spans="1:17" x14ac:dyDescent="0.3">
      <c r="A380" t="s">
        <v>886</v>
      </c>
      <c r="B380" s="6">
        <v>45146</v>
      </c>
      <c r="C380" s="6" t="str">
        <f t="shared" si="15"/>
        <v>Aug</v>
      </c>
      <c r="D380" t="s">
        <v>259</v>
      </c>
      <c r="E380" t="s">
        <v>62</v>
      </c>
      <c r="F380" t="s">
        <v>887</v>
      </c>
      <c r="G380">
        <v>5</v>
      </c>
      <c r="H380" s="7">
        <v>63.52</v>
      </c>
      <c r="I380" t="s">
        <v>32</v>
      </c>
      <c r="J380" t="s">
        <v>72</v>
      </c>
      <c r="K380">
        <v>0</v>
      </c>
      <c r="L380" s="7">
        <f t="shared" si="16"/>
        <v>317.60000000000002</v>
      </c>
      <c r="M380" s="7"/>
      <c r="O380">
        <f t="shared" si="17"/>
        <v>2</v>
      </c>
      <c r="Q380" t="s">
        <v>33</v>
      </c>
    </row>
    <row r="381" spans="1:17" x14ac:dyDescent="0.3">
      <c r="A381" t="s">
        <v>888</v>
      </c>
      <c r="B381" s="6">
        <v>45115</v>
      </c>
      <c r="C381" s="6" t="str">
        <f t="shared" si="15"/>
        <v>Jul</v>
      </c>
      <c r="D381" t="s">
        <v>889</v>
      </c>
      <c r="E381" t="s">
        <v>36</v>
      </c>
      <c r="F381" t="s">
        <v>254</v>
      </c>
      <c r="G381">
        <v>1</v>
      </c>
      <c r="H381" s="7">
        <v>203.74</v>
      </c>
      <c r="I381" t="s">
        <v>103</v>
      </c>
      <c r="J381" t="s">
        <v>72</v>
      </c>
      <c r="K381">
        <v>20</v>
      </c>
      <c r="L381" s="7">
        <f t="shared" si="16"/>
        <v>203.74</v>
      </c>
      <c r="M381" s="7"/>
      <c r="O381">
        <f t="shared" si="17"/>
        <v>2</v>
      </c>
      <c r="Q381" t="s">
        <v>104</v>
      </c>
    </row>
    <row r="382" spans="1:17" x14ac:dyDescent="0.3">
      <c r="A382" t="s">
        <v>890</v>
      </c>
      <c r="B382" s="6">
        <v>45283</v>
      </c>
      <c r="C382" s="6" t="str">
        <f t="shared" si="15"/>
        <v>Dec</v>
      </c>
      <c r="D382" t="s">
        <v>891</v>
      </c>
      <c r="E382" t="s">
        <v>19</v>
      </c>
      <c r="F382" t="s">
        <v>131</v>
      </c>
      <c r="G382">
        <v>5</v>
      </c>
      <c r="H382" s="7">
        <v>397.6</v>
      </c>
      <c r="I382" t="s">
        <v>21</v>
      </c>
      <c r="J382" t="s">
        <v>72</v>
      </c>
      <c r="K382">
        <v>15</v>
      </c>
      <c r="L382" s="7">
        <f t="shared" si="16"/>
        <v>1988</v>
      </c>
      <c r="M382" s="7"/>
      <c r="O382">
        <f t="shared" si="17"/>
        <v>2</v>
      </c>
      <c r="Q382" t="s">
        <v>23</v>
      </c>
    </row>
    <row r="383" spans="1:17" x14ac:dyDescent="0.3">
      <c r="A383" t="s">
        <v>892</v>
      </c>
      <c r="B383" s="6">
        <v>45171</v>
      </c>
      <c r="C383" s="6" t="str">
        <f t="shared" si="15"/>
        <v>Sep</v>
      </c>
      <c r="D383" t="s">
        <v>893</v>
      </c>
      <c r="E383" t="s">
        <v>40</v>
      </c>
      <c r="F383" t="s">
        <v>511</v>
      </c>
      <c r="G383">
        <v>7</v>
      </c>
      <c r="H383" s="7">
        <v>114.15</v>
      </c>
      <c r="I383" t="s">
        <v>64</v>
      </c>
      <c r="J383" t="s">
        <v>28</v>
      </c>
      <c r="K383">
        <v>15</v>
      </c>
      <c r="L383" s="7">
        <f t="shared" si="16"/>
        <v>799.05000000000007</v>
      </c>
      <c r="M383" s="7"/>
      <c r="O383">
        <f t="shared" si="17"/>
        <v>2</v>
      </c>
      <c r="Q383" t="s">
        <v>65</v>
      </c>
    </row>
    <row r="384" spans="1:17" x14ac:dyDescent="0.3">
      <c r="A384" t="s">
        <v>894</v>
      </c>
      <c r="B384" s="6">
        <v>45120</v>
      </c>
      <c r="C384" s="6" t="str">
        <f t="shared" si="15"/>
        <v>Jul</v>
      </c>
      <c r="D384" t="s">
        <v>895</v>
      </c>
      <c r="E384" t="s">
        <v>40</v>
      </c>
      <c r="F384" t="s">
        <v>157</v>
      </c>
      <c r="G384">
        <v>6</v>
      </c>
      <c r="H384" s="7">
        <v>97.05</v>
      </c>
      <c r="I384" t="s">
        <v>19</v>
      </c>
      <c r="J384" t="s">
        <v>28</v>
      </c>
      <c r="K384">
        <v>10</v>
      </c>
      <c r="L384" s="7">
        <f t="shared" si="16"/>
        <v>582.29999999999995</v>
      </c>
      <c r="M384" s="7"/>
      <c r="O384">
        <f t="shared" si="17"/>
        <v>2</v>
      </c>
      <c r="Q384" t="s">
        <v>19</v>
      </c>
    </row>
    <row r="385" spans="1:17" x14ac:dyDescent="0.3">
      <c r="A385" t="s">
        <v>896</v>
      </c>
      <c r="B385" s="6">
        <v>45229</v>
      </c>
      <c r="C385" s="6" t="str">
        <f t="shared" si="15"/>
        <v>Oct</v>
      </c>
      <c r="D385" t="s">
        <v>897</v>
      </c>
      <c r="E385" t="s">
        <v>36</v>
      </c>
      <c r="F385" t="s">
        <v>182</v>
      </c>
      <c r="G385">
        <v>5</v>
      </c>
      <c r="H385" s="7">
        <v>475.66</v>
      </c>
      <c r="I385" t="s">
        <v>19</v>
      </c>
      <c r="J385" t="s">
        <v>28</v>
      </c>
      <c r="K385">
        <v>10</v>
      </c>
      <c r="L385" s="7">
        <f t="shared" si="16"/>
        <v>2378.3000000000002</v>
      </c>
      <c r="M385" s="7"/>
      <c r="O385">
        <f t="shared" si="17"/>
        <v>2</v>
      </c>
      <c r="Q385" t="s">
        <v>19</v>
      </c>
    </row>
    <row r="386" spans="1:17" x14ac:dyDescent="0.3">
      <c r="A386" t="s">
        <v>898</v>
      </c>
      <c r="B386" s="6">
        <v>44981</v>
      </c>
      <c r="C386" s="6" t="str">
        <f t="shared" si="15"/>
        <v>Feb</v>
      </c>
      <c r="D386" t="s">
        <v>899</v>
      </c>
      <c r="E386" t="s">
        <v>19</v>
      </c>
      <c r="F386" t="s">
        <v>900</v>
      </c>
      <c r="G386">
        <v>4</v>
      </c>
      <c r="H386" s="7">
        <v>108.9</v>
      </c>
      <c r="I386" t="s">
        <v>19</v>
      </c>
      <c r="J386" t="s">
        <v>72</v>
      </c>
      <c r="K386">
        <v>20</v>
      </c>
      <c r="L386" s="7">
        <f t="shared" si="16"/>
        <v>435.6</v>
      </c>
      <c r="M386" s="7"/>
      <c r="O386">
        <f t="shared" si="17"/>
        <v>2</v>
      </c>
      <c r="Q386" t="s">
        <v>19</v>
      </c>
    </row>
    <row r="387" spans="1:17" x14ac:dyDescent="0.3">
      <c r="A387" t="s">
        <v>901</v>
      </c>
      <c r="B387" s="6">
        <v>45210</v>
      </c>
      <c r="C387" s="6" t="str">
        <f t="shared" ref="C387:C450" si="18">TEXT(B387,"MMM")</f>
        <v>Oct</v>
      </c>
      <c r="D387" t="s">
        <v>902</v>
      </c>
      <c r="E387" t="s">
        <v>50</v>
      </c>
      <c r="F387" t="s">
        <v>237</v>
      </c>
      <c r="G387">
        <v>2</v>
      </c>
      <c r="H387" s="7">
        <v>134.15</v>
      </c>
      <c r="I387" t="s">
        <v>19</v>
      </c>
      <c r="J387" t="s">
        <v>42</v>
      </c>
      <c r="K387">
        <v>10</v>
      </c>
      <c r="L387" s="7">
        <f t="shared" ref="L387:L450" si="19">G387*H387</f>
        <v>268.3</v>
      </c>
      <c r="M387" s="7"/>
      <c r="O387">
        <f t="shared" si="17"/>
        <v>2</v>
      </c>
      <c r="Q387" t="s">
        <v>19</v>
      </c>
    </row>
    <row r="388" spans="1:17" x14ac:dyDescent="0.3">
      <c r="A388" t="s">
        <v>903</v>
      </c>
      <c r="B388" s="6">
        <v>45242</v>
      </c>
      <c r="C388" s="6" t="str">
        <f t="shared" si="18"/>
        <v>Nov</v>
      </c>
      <c r="D388" t="s">
        <v>904</v>
      </c>
      <c r="E388" t="s">
        <v>36</v>
      </c>
      <c r="F388" t="s">
        <v>474</v>
      </c>
      <c r="G388">
        <v>4</v>
      </c>
      <c r="H388" s="7">
        <v>484.96</v>
      </c>
      <c r="I388" t="s">
        <v>19</v>
      </c>
      <c r="J388" t="s">
        <v>72</v>
      </c>
      <c r="K388">
        <v>10</v>
      </c>
      <c r="L388" s="7">
        <f t="shared" si="19"/>
        <v>1939.84</v>
      </c>
      <c r="M388" s="7"/>
      <c r="O388">
        <f t="shared" ref="O388:O451" si="20">IF(L388&gt;3500,5,IF(L388&gt;3000,4,IF(L388&gt;2500,3,IF(L388&gt;2000,2,IF(L388&gt;1000,2,2)))))</f>
        <v>2</v>
      </c>
      <c r="Q388" t="s">
        <v>19</v>
      </c>
    </row>
    <row r="389" spans="1:17" x14ac:dyDescent="0.3">
      <c r="A389" t="s">
        <v>905</v>
      </c>
      <c r="B389" s="6">
        <v>45197</v>
      </c>
      <c r="C389" s="6" t="str">
        <f t="shared" si="18"/>
        <v>Sep</v>
      </c>
      <c r="D389" t="s">
        <v>906</v>
      </c>
      <c r="E389" t="s">
        <v>50</v>
      </c>
      <c r="F389" t="s">
        <v>284</v>
      </c>
      <c r="G389">
        <v>3</v>
      </c>
      <c r="H389" s="7">
        <v>368.68</v>
      </c>
      <c r="I389" t="s">
        <v>32</v>
      </c>
      <c r="J389" t="s">
        <v>72</v>
      </c>
      <c r="K389">
        <v>10</v>
      </c>
      <c r="L389" s="7">
        <f t="shared" si="19"/>
        <v>1106.04</v>
      </c>
      <c r="M389" s="7"/>
      <c r="O389">
        <f t="shared" si="20"/>
        <v>2</v>
      </c>
      <c r="Q389" t="s">
        <v>33</v>
      </c>
    </row>
    <row r="390" spans="1:17" x14ac:dyDescent="0.3">
      <c r="A390" t="s">
        <v>907</v>
      </c>
      <c r="B390" s="6">
        <v>45044</v>
      </c>
      <c r="C390" s="6" t="str">
        <f t="shared" si="18"/>
        <v>Apr</v>
      </c>
      <c r="D390" t="s">
        <v>908</v>
      </c>
      <c r="E390" t="s">
        <v>19</v>
      </c>
      <c r="F390" t="s">
        <v>909</v>
      </c>
      <c r="G390">
        <v>1</v>
      </c>
      <c r="H390" s="7">
        <v>351.3</v>
      </c>
      <c r="I390" t="s">
        <v>19</v>
      </c>
      <c r="J390" t="s">
        <v>42</v>
      </c>
      <c r="K390">
        <v>15</v>
      </c>
      <c r="L390" s="7">
        <f t="shared" si="19"/>
        <v>351.3</v>
      </c>
      <c r="M390" s="7"/>
      <c r="O390">
        <f t="shared" si="20"/>
        <v>2</v>
      </c>
      <c r="Q390" t="s">
        <v>19</v>
      </c>
    </row>
    <row r="391" spans="1:17" x14ac:dyDescent="0.3">
      <c r="A391" t="s">
        <v>910</v>
      </c>
      <c r="B391" s="6">
        <v>45281</v>
      </c>
      <c r="C391" s="6" t="str">
        <f t="shared" si="18"/>
        <v>Dec</v>
      </c>
      <c r="D391" t="s">
        <v>772</v>
      </c>
      <c r="E391" t="s">
        <v>62</v>
      </c>
      <c r="F391" t="s">
        <v>684</v>
      </c>
      <c r="G391">
        <v>8</v>
      </c>
      <c r="H391" s="7">
        <v>427.2</v>
      </c>
      <c r="I391" t="s">
        <v>46</v>
      </c>
      <c r="J391" t="s">
        <v>22</v>
      </c>
      <c r="K391">
        <v>0</v>
      </c>
      <c r="L391" s="7">
        <f t="shared" si="19"/>
        <v>3417.6</v>
      </c>
      <c r="M391" s="7"/>
      <c r="O391">
        <f t="shared" si="20"/>
        <v>4</v>
      </c>
      <c r="Q391" t="s">
        <v>47</v>
      </c>
    </row>
    <row r="392" spans="1:17" x14ac:dyDescent="0.3">
      <c r="A392" t="s">
        <v>911</v>
      </c>
      <c r="B392" s="6">
        <v>44964</v>
      </c>
      <c r="C392" s="6" t="str">
        <f t="shared" si="18"/>
        <v>Feb</v>
      </c>
      <c r="D392" t="s">
        <v>912</v>
      </c>
      <c r="E392" t="s">
        <v>36</v>
      </c>
      <c r="F392" t="s">
        <v>913</v>
      </c>
      <c r="G392">
        <v>5</v>
      </c>
      <c r="H392" s="7">
        <v>62.33</v>
      </c>
      <c r="I392" t="s">
        <v>19</v>
      </c>
      <c r="J392" t="s">
        <v>22</v>
      </c>
      <c r="K392">
        <v>10</v>
      </c>
      <c r="L392" s="7">
        <f t="shared" si="19"/>
        <v>311.64999999999998</v>
      </c>
      <c r="M392" s="7"/>
      <c r="O392">
        <f t="shared" si="20"/>
        <v>2</v>
      </c>
      <c r="Q392" t="s">
        <v>19</v>
      </c>
    </row>
    <row r="393" spans="1:17" x14ac:dyDescent="0.3">
      <c r="A393" t="s">
        <v>914</v>
      </c>
      <c r="B393" s="6">
        <v>45128</v>
      </c>
      <c r="C393" s="6" t="str">
        <f t="shared" si="18"/>
        <v>Jul</v>
      </c>
      <c r="D393" t="s">
        <v>915</v>
      </c>
      <c r="E393" t="s">
        <v>40</v>
      </c>
      <c r="F393" t="s">
        <v>205</v>
      </c>
      <c r="G393">
        <v>4</v>
      </c>
      <c r="H393" s="7">
        <v>252.16</v>
      </c>
      <c r="I393" t="s">
        <v>19</v>
      </c>
      <c r="J393" t="s">
        <v>42</v>
      </c>
      <c r="K393">
        <v>5</v>
      </c>
      <c r="L393" s="7">
        <f t="shared" si="19"/>
        <v>1008.64</v>
      </c>
      <c r="M393" s="7"/>
      <c r="O393">
        <f t="shared" si="20"/>
        <v>2</v>
      </c>
      <c r="Q393" t="s">
        <v>19</v>
      </c>
    </row>
    <row r="394" spans="1:17" x14ac:dyDescent="0.3">
      <c r="A394" t="s">
        <v>916</v>
      </c>
      <c r="B394" s="6">
        <v>45026</v>
      </c>
      <c r="C394" s="6" t="str">
        <f t="shared" si="18"/>
        <v>Apr</v>
      </c>
      <c r="D394" t="s">
        <v>917</v>
      </c>
      <c r="E394" t="s">
        <v>40</v>
      </c>
      <c r="F394" t="s">
        <v>504</v>
      </c>
      <c r="G394">
        <v>8</v>
      </c>
      <c r="H394" s="7">
        <v>254.33</v>
      </c>
      <c r="I394" t="s">
        <v>103</v>
      </c>
      <c r="J394" t="s">
        <v>72</v>
      </c>
      <c r="K394">
        <v>20</v>
      </c>
      <c r="L394" s="7">
        <f t="shared" si="19"/>
        <v>2034.64</v>
      </c>
      <c r="M394" s="7"/>
      <c r="O394">
        <f t="shared" si="20"/>
        <v>2</v>
      </c>
      <c r="Q394" t="s">
        <v>104</v>
      </c>
    </row>
    <row r="395" spans="1:17" x14ac:dyDescent="0.3">
      <c r="A395" t="s">
        <v>918</v>
      </c>
      <c r="B395" s="6">
        <v>45161</v>
      </c>
      <c r="C395" s="6" t="str">
        <f t="shared" si="18"/>
        <v>Aug</v>
      </c>
      <c r="D395" t="s">
        <v>919</v>
      </c>
      <c r="E395" t="s">
        <v>26</v>
      </c>
      <c r="F395" t="s">
        <v>445</v>
      </c>
      <c r="G395">
        <v>7</v>
      </c>
      <c r="H395" s="7">
        <v>415.43</v>
      </c>
      <c r="I395" t="s">
        <v>19</v>
      </c>
      <c r="J395" t="s">
        <v>19</v>
      </c>
      <c r="K395">
        <v>10</v>
      </c>
      <c r="L395" s="7">
        <f t="shared" si="19"/>
        <v>2908.01</v>
      </c>
      <c r="M395" s="7"/>
      <c r="O395">
        <f t="shared" si="20"/>
        <v>3</v>
      </c>
      <c r="Q395" t="s">
        <v>19</v>
      </c>
    </row>
    <row r="396" spans="1:17" x14ac:dyDescent="0.3">
      <c r="A396" t="s">
        <v>920</v>
      </c>
      <c r="B396" s="6">
        <v>45216</v>
      </c>
      <c r="C396" s="6" t="str">
        <f t="shared" si="18"/>
        <v>Oct</v>
      </c>
      <c r="D396" t="s">
        <v>414</v>
      </c>
      <c r="E396" t="s">
        <v>50</v>
      </c>
      <c r="F396" t="s">
        <v>185</v>
      </c>
      <c r="G396">
        <v>2</v>
      </c>
      <c r="H396" s="7">
        <v>256.52999999999997</v>
      </c>
      <c r="I396" t="s">
        <v>19</v>
      </c>
      <c r="J396" t="s">
        <v>19</v>
      </c>
      <c r="K396">
        <v>5</v>
      </c>
      <c r="L396" s="7">
        <f t="shared" si="19"/>
        <v>513.05999999999995</v>
      </c>
      <c r="M396" s="7"/>
      <c r="O396">
        <f t="shared" si="20"/>
        <v>2</v>
      </c>
      <c r="Q396" t="s">
        <v>19</v>
      </c>
    </row>
    <row r="397" spans="1:17" x14ac:dyDescent="0.3">
      <c r="A397" t="s">
        <v>921</v>
      </c>
      <c r="B397" s="6">
        <v>44981</v>
      </c>
      <c r="C397" s="6" t="str">
        <f t="shared" si="18"/>
        <v>Feb</v>
      </c>
      <c r="D397" t="s">
        <v>92</v>
      </c>
      <c r="E397" t="s">
        <v>19</v>
      </c>
      <c r="F397" t="s">
        <v>110</v>
      </c>
      <c r="G397">
        <v>1</v>
      </c>
      <c r="H397" s="7">
        <v>312.02</v>
      </c>
      <c r="I397" t="s">
        <v>64</v>
      </c>
      <c r="J397" t="s">
        <v>72</v>
      </c>
      <c r="K397">
        <v>10</v>
      </c>
      <c r="L397" s="7">
        <f t="shared" si="19"/>
        <v>312.02</v>
      </c>
      <c r="M397" s="7"/>
      <c r="O397">
        <f t="shared" si="20"/>
        <v>2</v>
      </c>
      <c r="Q397" t="s">
        <v>65</v>
      </c>
    </row>
    <row r="398" spans="1:17" x14ac:dyDescent="0.3">
      <c r="A398" t="s">
        <v>922</v>
      </c>
      <c r="B398" s="6">
        <v>45090</v>
      </c>
      <c r="C398" s="6" t="str">
        <f t="shared" si="18"/>
        <v>Jun</v>
      </c>
      <c r="D398" t="s">
        <v>490</v>
      </c>
      <c r="E398" t="s">
        <v>31</v>
      </c>
      <c r="F398" t="s">
        <v>657</v>
      </c>
      <c r="G398">
        <v>4</v>
      </c>
      <c r="H398" s="7">
        <v>241.48</v>
      </c>
      <c r="I398" t="s">
        <v>46</v>
      </c>
      <c r="J398" t="s">
        <v>42</v>
      </c>
      <c r="K398">
        <v>0</v>
      </c>
      <c r="L398" s="7">
        <f t="shared" si="19"/>
        <v>965.92</v>
      </c>
      <c r="M398" s="7"/>
      <c r="O398">
        <f t="shared" si="20"/>
        <v>2</v>
      </c>
      <c r="Q398" t="s">
        <v>47</v>
      </c>
    </row>
    <row r="399" spans="1:17" x14ac:dyDescent="0.3">
      <c r="A399" t="s">
        <v>923</v>
      </c>
      <c r="B399" s="6">
        <v>45167</v>
      </c>
      <c r="C399" s="6" t="str">
        <f t="shared" si="18"/>
        <v>Aug</v>
      </c>
      <c r="D399" t="s">
        <v>924</v>
      </c>
      <c r="E399" t="s">
        <v>36</v>
      </c>
      <c r="F399" t="s">
        <v>122</v>
      </c>
      <c r="G399">
        <v>8</v>
      </c>
      <c r="H399" s="7">
        <v>241.69</v>
      </c>
      <c r="I399" t="s">
        <v>21</v>
      </c>
      <c r="J399" t="s">
        <v>42</v>
      </c>
      <c r="K399">
        <v>0</v>
      </c>
      <c r="L399" s="7">
        <f t="shared" si="19"/>
        <v>1933.52</v>
      </c>
      <c r="M399" s="7"/>
      <c r="O399">
        <f t="shared" si="20"/>
        <v>2</v>
      </c>
      <c r="Q399" t="s">
        <v>23</v>
      </c>
    </row>
    <row r="400" spans="1:17" x14ac:dyDescent="0.3">
      <c r="A400" t="s">
        <v>925</v>
      </c>
      <c r="B400" s="6">
        <v>45242</v>
      </c>
      <c r="C400" s="6" t="str">
        <f t="shared" si="18"/>
        <v>Nov</v>
      </c>
      <c r="D400" t="s">
        <v>926</v>
      </c>
      <c r="E400" t="s">
        <v>26</v>
      </c>
      <c r="F400" t="s">
        <v>499</v>
      </c>
      <c r="G400">
        <v>2</v>
      </c>
      <c r="H400" s="7">
        <v>252.16</v>
      </c>
      <c r="I400" t="s">
        <v>32</v>
      </c>
      <c r="J400" t="s">
        <v>42</v>
      </c>
      <c r="K400">
        <v>10</v>
      </c>
      <c r="L400" s="7">
        <f t="shared" si="19"/>
        <v>504.32</v>
      </c>
      <c r="M400" s="7"/>
      <c r="O400">
        <f t="shared" si="20"/>
        <v>2</v>
      </c>
      <c r="Q400" t="s">
        <v>33</v>
      </c>
    </row>
    <row r="401" spans="1:17" x14ac:dyDescent="0.3">
      <c r="A401" t="s">
        <v>927</v>
      </c>
      <c r="B401" s="6">
        <v>44960</v>
      </c>
      <c r="C401" s="6" t="str">
        <f t="shared" si="18"/>
        <v>Feb</v>
      </c>
      <c r="D401" t="s">
        <v>272</v>
      </c>
      <c r="E401" t="s">
        <v>31</v>
      </c>
      <c r="F401" t="s">
        <v>436</v>
      </c>
      <c r="G401">
        <v>3</v>
      </c>
      <c r="H401" s="7">
        <v>316.14</v>
      </c>
      <c r="I401" t="s">
        <v>64</v>
      </c>
      <c r="J401" t="s">
        <v>28</v>
      </c>
      <c r="K401">
        <v>5</v>
      </c>
      <c r="L401" s="7">
        <f t="shared" si="19"/>
        <v>948.42</v>
      </c>
      <c r="M401" s="7"/>
      <c r="O401">
        <f t="shared" si="20"/>
        <v>2</v>
      </c>
      <c r="Q401" t="s">
        <v>65</v>
      </c>
    </row>
    <row r="402" spans="1:17" x14ac:dyDescent="0.3">
      <c r="A402" t="s">
        <v>928</v>
      </c>
      <c r="B402" s="6">
        <v>44984</v>
      </c>
      <c r="C402" s="6" t="str">
        <f t="shared" si="18"/>
        <v>Feb</v>
      </c>
      <c r="D402" t="s">
        <v>700</v>
      </c>
      <c r="E402" t="s">
        <v>36</v>
      </c>
      <c r="F402" t="s">
        <v>412</v>
      </c>
      <c r="G402">
        <v>1</v>
      </c>
      <c r="H402" s="7">
        <v>318.47000000000003</v>
      </c>
      <c r="I402" t="s">
        <v>46</v>
      </c>
      <c r="J402" t="s">
        <v>42</v>
      </c>
      <c r="K402">
        <v>20</v>
      </c>
      <c r="L402" s="7">
        <f t="shared" si="19"/>
        <v>318.47000000000003</v>
      </c>
      <c r="M402" s="7"/>
      <c r="O402">
        <f t="shared" si="20"/>
        <v>2</v>
      </c>
      <c r="Q402" t="s">
        <v>47</v>
      </c>
    </row>
    <row r="403" spans="1:17" x14ac:dyDescent="0.3">
      <c r="A403" t="s">
        <v>929</v>
      </c>
      <c r="B403" s="6">
        <v>45071</v>
      </c>
      <c r="C403" s="6" t="str">
        <f t="shared" si="18"/>
        <v>May</v>
      </c>
      <c r="D403" t="s">
        <v>930</v>
      </c>
      <c r="E403" t="s">
        <v>31</v>
      </c>
      <c r="F403" t="s">
        <v>208</v>
      </c>
      <c r="G403">
        <v>1</v>
      </c>
      <c r="H403" s="7">
        <v>227.89</v>
      </c>
      <c r="I403" t="s">
        <v>103</v>
      </c>
      <c r="J403" t="s">
        <v>28</v>
      </c>
      <c r="K403">
        <v>5</v>
      </c>
      <c r="L403" s="7">
        <f t="shared" si="19"/>
        <v>227.89</v>
      </c>
      <c r="M403" s="7"/>
      <c r="O403">
        <f t="shared" si="20"/>
        <v>2</v>
      </c>
      <c r="Q403" t="s">
        <v>104</v>
      </c>
    </row>
    <row r="404" spans="1:17" x14ac:dyDescent="0.3">
      <c r="A404" t="s">
        <v>931</v>
      </c>
      <c r="B404" s="6">
        <v>45207</v>
      </c>
      <c r="C404" s="6" t="str">
        <f t="shared" si="18"/>
        <v>Oct</v>
      </c>
      <c r="D404" t="s">
        <v>494</v>
      </c>
      <c r="E404" t="s">
        <v>19</v>
      </c>
      <c r="F404" t="s">
        <v>932</v>
      </c>
      <c r="G404">
        <v>3</v>
      </c>
      <c r="H404" s="7">
        <v>267.89999999999998</v>
      </c>
      <c r="I404" t="s">
        <v>103</v>
      </c>
      <c r="J404" t="s">
        <v>72</v>
      </c>
      <c r="K404">
        <v>20</v>
      </c>
      <c r="L404" s="7">
        <f t="shared" si="19"/>
        <v>803.69999999999993</v>
      </c>
      <c r="M404" s="7"/>
      <c r="O404">
        <f t="shared" si="20"/>
        <v>2</v>
      </c>
      <c r="Q404" t="s">
        <v>104</v>
      </c>
    </row>
    <row r="405" spans="1:17" x14ac:dyDescent="0.3">
      <c r="A405" t="s">
        <v>933</v>
      </c>
      <c r="B405" s="6">
        <v>45157</v>
      </c>
      <c r="C405" s="6" t="str">
        <f t="shared" si="18"/>
        <v>Aug</v>
      </c>
      <c r="D405" t="s">
        <v>169</v>
      </c>
      <c r="E405" t="s">
        <v>19</v>
      </c>
      <c r="F405" t="s">
        <v>417</v>
      </c>
      <c r="G405">
        <v>5</v>
      </c>
      <c r="H405" s="7">
        <v>374.13</v>
      </c>
      <c r="I405" t="s">
        <v>19</v>
      </c>
      <c r="J405" t="s">
        <v>19</v>
      </c>
      <c r="K405">
        <v>10</v>
      </c>
      <c r="L405" s="7">
        <f t="shared" si="19"/>
        <v>1870.65</v>
      </c>
      <c r="M405" s="7"/>
      <c r="O405">
        <f t="shared" si="20"/>
        <v>2</v>
      </c>
      <c r="Q405" t="s">
        <v>19</v>
      </c>
    </row>
    <row r="406" spans="1:17" x14ac:dyDescent="0.3">
      <c r="A406" t="s">
        <v>934</v>
      </c>
      <c r="B406" s="6">
        <v>45171</v>
      </c>
      <c r="C406" s="6" t="str">
        <f t="shared" si="18"/>
        <v>Sep</v>
      </c>
      <c r="D406" t="s">
        <v>935</v>
      </c>
      <c r="E406" t="s">
        <v>62</v>
      </c>
      <c r="F406" t="s">
        <v>224</v>
      </c>
      <c r="G406">
        <v>3</v>
      </c>
      <c r="H406" s="7">
        <v>413.84</v>
      </c>
      <c r="I406" t="s">
        <v>46</v>
      </c>
      <c r="J406" t="s">
        <v>19</v>
      </c>
      <c r="K406">
        <v>20</v>
      </c>
      <c r="L406" s="7">
        <f t="shared" si="19"/>
        <v>1241.52</v>
      </c>
      <c r="M406" s="7"/>
      <c r="O406">
        <f t="shared" si="20"/>
        <v>2</v>
      </c>
      <c r="Q406" t="s">
        <v>47</v>
      </c>
    </row>
    <row r="407" spans="1:17" x14ac:dyDescent="0.3">
      <c r="A407" t="s">
        <v>936</v>
      </c>
      <c r="B407" s="6">
        <v>44984</v>
      </c>
      <c r="C407" s="6" t="str">
        <f t="shared" si="18"/>
        <v>Feb</v>
      </c>
      <c r="D407" t="s">
        <v>106</v>
      </c>
      <c r="E407" t="s">
        <v>19</v>
      </c>
      <c r="F407" t="s">
        <v>575</v>
      </c>
      <c r="G407">
        <v>1</v>
      </c>
      <c r="H407" s="7">
        <v>349.8</v>
      </c>
      <c r="I407" t="s">
        <v>46</v>
      </c>
      <c r="J407" t="s">
        <v>22</v>
      </c>
      <c r="K407">
        <v>10</v>
      </c>
      <c r="L407" s="7">
        <f t="shared" si="19"/>
        <v>349.8</v>
      </c>
      <c r="M407" s="7"/>
      <c r="O407">
        <f t="shared" si="20"/>
        <v>2</v>
      </c>
      <c r="Q407" t="s">
        <v>47</v>
      </c>
    </row>
    <row r="408" spans="1:17" x14ac:dyDescent="0.3">
      <c r="A408" t="s">
        <v>937</v>
      </c>
      <c r="B408" s="6">
        <v>45163</v>
      </c>
      <c r="C408" s="6" t="str">
        <f t="shared" si="18"/>
        <v>Aug</v>
      </c>
      <c r="D408" t="s">
        <v>938</v>
      </c>
      <c r="E408" t="s">
        <v>19</v>
      </c>
      <c r="F408" t="s">
        <v>939</v>
      </c>
      <c r="G408">
        <v>5</v>
      </c>
      <c r="H408" s="7">
        <v>462.42</v>
      </c>
      <c r="I408" t="s">
        <v>64</v>
      </c>
      <c r="J408" t="s">
        <v>87</v>
      </c>
      <c r="K408">
        <v>15</v>
      </c>
      <c r="L408" s="7">
        <f t="shared" si="19"/>
        <v>2312.1</v>
      </c>
      <c r="M408" s="7"/>
      <c r="O408">
        <f t="shared" si="20"/>
        <v>2</v>
      </c>
      <c r="Q408" t="s">
        <v>65</v>
      </c>
    </row>
    <row r="409" spans="1:17" x14ac:dyDescent="0.3">
      <c r="A409" t="s">
        <v>940</v>
      </c>
      <c r="B409" s="6">
        <v>45016</v>
      </c>
      <c r="C409" s="6" t="str">
        <f t="shared" si="18"/>
        <v>Mar</v>
      </c>
      <c r="D409" t="s">
        <v>605</v>
      </c>
      <c r="E409" t="s">
        <v>19</v>
      </c>
      <c r="F409" t="s">
        <v>251</v>
      </c>
      <c r="G409">
        <v>8</v>
      </c>
      <c r="H409" s="7">
        <v>411.06</v>
      </c>
      <c r="I409" t="s">
        <v>32</v>
      </c>
      <c r="J409" t="s">
        <v>22</v>
      </c>
      <c r="K409">
        <v>15</v>
      </c>
      <c r="L409" s="7">
        <f t="shared" si="19"/>
        <v>3288.48</v>
      </c>
      <c r="M409" s="7"/>
      <c r="O409">
        <f t="shared" si="20"/>
        <v>4</v>
      </c>
      <c r="Q409" t="s">
        <v>33</v>
      </c>
    </row>
    <row r="410" spans="1:17" x14ac:dyDescent="0.3">
      <c r="A410" t="s">
        <v>941</v>
      </c>
      <c r="B410" s="6">
        <v>45003</v>
      </c>
      <c r="C410" s="6" t="str">
        <f t="shared" si="18"/>
        <v>Mar</v>
      </c>
      <c r="D410" t="s">
        <v>533</v>
      </c>
      <c r="E410" t="s">
        <v>36</v>
      </c>
      <c r="F410" t="s">
        <v>480</v>
      </c>
      <c r="G410">
        <v>2</v>
      </c>
      <c r="H410" s="7">
        <v>283.12</v>
      </c>
      <c r="I410" t="s">
        <v>46</v>
      </c>
      <c r="J410" t="s">
        <v>19</v>
      </c>
      <c r="K410">
        <v>0</v>
      </c>
      <c r="L410" s="7">
        <f t="shared" si="19"/>
        <v>566.24</v>
      </c>
      <c r="M410" s="7"/>
      <c r="O410">
        <f t="shared" si="20"/>
        <v>2</v>
      </c>
      <c r="Q410" t="s">
        <v>47</v>
      </c>
    </row>
    <row r="411" spans="1:17" x14ac:dyDescent="0.3">
      <c r="A411" t="s">
        <v>942</v>
      </c>
      <c r="B411" s="6">
        <v>44956</v>
      </c>
      <c r="C411" s="6" t="str">
        <f t="shared" si="18"/>
        <v>Jan</v>
      </c>
      <c r="D411" t="s">
        <v>943</v>
      </c>
      <c r="E411" t="s">
        <v>40</v>
      </c>
      <c r="F411" t="s">
        <v>944</v>
      </c>
      <c r="G411">
        <v>3</v>
      </c>
      <c r="H411" s="7">
        <v>337.35</v>
      </c>
      <c r="I411" t="s">
        <v>21</v>
      </c>
      <c r="J411" t="s">
        <v>19</v>
      </c>
      <c r="K411">
        <v>10</v>
      </c>
      <c r="L411" s="7">
        <f t="shared" si="19"/>
        <v>1012.0500000000001</v>
      </c>
      <c r="M411" s="7"/>
      <c r="O411">
        <f t="shared" si="20"/>
        <v>2</v>
      </c>
      <c r="Q411" t="s">
        <v>23</v>
      </c>
    </row>
    <row r="412" spans="1:17" x14ac:dyDescent="0.3">
      <c r="A412" t="s">
        <v>945</v>
      </c>
      <c r="B412" s="6">
        <v>45233</v>
      </c>
      <c r="C412" s="6" t="str">
        <f t="shared" si="18"/>
        <v>Nov</v>
      </c>
      <c r="D412" t="s">
        <v>230</v>
      </c>
      <c r="E412" t="s">
        <v>50</v>
      </c>
      <c r="F412" t="s">
        <v>68</v>
      </c>
      <c r="G412">
        <v>2</v>
      </c>
      <c r="H412" s="7">
        <v>463.52</v>
      </c>
      <c r="I412" t="s">
        <v>19</v>
      </c>
      <c r="J412" t="s">
        <v>87</v>
      </c>
      <c r="K412">
        <v>15</v>
      </c>
      <c r="L412" s="7">
        <f t="shared" si="19"/>
        <v>927.04</v>
      </c>
      <c r="M412" s="7"/>
      <c r="O412">
        <f t="shared" si="20"/>
        <v>2</v>
      </c>
      <c r="Q412" t="s">
        <v>19</v>
      </c>
    </row>
    <row r="413" spans="1:17" x14ac:dyDescent="0.3">
      <c r="A413" t="s">
        <v>946</v>
      </c>
      <c r="B413" s="6">
        <v>45073</v>
      </c>
      <c r="C413" s="6" t="str">
        <f t="shared" si="18"/>
        <v>May</v>
      </c>
      <c r="D413" t="s">
        <v>947</v>
      </c>
      <c r="E413" t="s">
        <v>36</v>
      </c>
      <c r="F413" t="s">
        <v>662</v>
      </c>
      <c r="G413">
        <v>5</v>
      </c>
      <c r="H413" s="7">
        <v>311.49</v>
      </c>
      <c r="I413" t="s">
        <v>46</v>
      </c>
      <c r="J413" t="s">
        <v>19</v>
      </c>
      <c r="K413">
        <v>10</v>
      </c>
      <c r="L413" s="7">
        <f t="shared" si="19"/>
        <v>1557.45</v>
      </c>
      <c r="M413" s="7"/>
      <c r="O413">
        <f t="shared" si="20"/>
        <v>2</v>
      </c>
      <c r="Q413" t="s">
        <v>47</v>
      </c>
    </row>
    <row r="414" spans="1:17" x14ac:dyDescent="0.3">
      <c r="A414" t="s">
        <v>948</v>
      </c>
      <c r="B414" s="6">
        <v>45092</v>
      </c>
      <c r="C414" s="6" t="str">
        <f t="shared" si="18"/>
        <v>Jun</v>
      </c>
      <c r="D414" t="s">
        <v>949</v>
      </c>
      <c r="E414" t="s">
        <v>50</v>
      </c>
      <c r="F414" t="s">
        <v>182</v>
      </c>
      <c r="G414">
        <v>7</v>
      </c>
      <c r="H414" s="7">
        <v>413.28</v>
      </c>
      <c r="I414" t="s">
        <v>64</v>
      </c>
      <c r="J414" t="s">
        <v>42</v>
      </c>
      <c r="K414">
        <v>20</v>
      </c>
      <c r="L414" s="7">
        <f t="shared" si="19"/>
        <v>2892.96</v>
      </c>
      <c r="M414" s="7"/>
      <c r="O414">
        <f t="shared" si="20"/>
        <v>3</v>
      </c>
      <c r="Q414" t="s">
        <v>65</v>
      </c>
    </row>
    <row r="415" spans="1:17" x14ac:dyDescent="0.3">
      <c r="A415" t="s">
        <v>950</v>
      </c>
      <c r="B415" s="6">
        <v>45256</v>
      </c>
      <c r="C415" s="6" t="str">
        <f t="shared" si="18"/>
        <v>Nov</v>
      </c>
      <c r="D415" t="s">
        <v>951</v>
      </c>
      <c r="E415" t="s">
        <v>26</v>
      </c>
      <c r="F415" t="s">
        <v>887</v>
      </c>
      <c r="G415">
        <v>1</v>
      </c>
      <c r="H415" s="7">
        <v>345.96</v>
      </c>
      <c r="I415" t="s">
        <v>103</v>
      </c>
      <c r="J415" t="s">
        <v>19</v>
      </c>
      <c r="K415">
        <v>20</v>
      </c>
      <c r="L415" s="7">
        <f t="shared" si="19"/>
        <v>345.96</v>
      </c>
      <c r="M415" s="7"/>
      <c r="O415">
        <f t="shared" si="20"/>
        <v>2</v>
      </c>
      <c r="Q415" t="s">
        <v>104</v>
      </c>
    </row>
    <row r="416" spans="1:17" x14ac:dyDescent="0.3">
      <c r="A416" t="s">
        <v>952</v>
      </c>
      <c r="B416" s="6">
        <v>44986</v>
      </c>
      <c r="C416" s="6" t="str">
        <f t="shared" si="18"/>
        <v>Mar</v>
      </c>
      <c r="D416" t="s">
        <v>226</v>
      </c>
      <c r="E416" t="s">
        <v>50</v>
      </c>
      <c r="F416" t="s">
        <v>251</v>
      </c>
      <c r="G416">
        <v>8</v>
      </c>
      <c r="H416" s="7">
        <v>278.20999999999998</v>
      </c>
      <c r="I416" t="s">
        <v>32</v>
      </c>
      <c r="J416" t="s">
        <v>28</v>
      </c>
      <c r="K416">
        <v>5</v>
      </c>
      <c r="L416" s="7">
        <f t="shared" si="19"/>
        <v>2225.6799999999998</v>
      </c>
      <c r="M416" s="7"/>
      <c r="O416">
        <f t="shared" si="20"/>
        <v>2</v>
      </c>
      <c r="Q416" t="s">
        <v>33</v>
      </c>
    </row>
    <row r="417" spans="1:17" x14ac:dyDescent="0.3">
      <c r="A417" t="s">
        <v>953</v>
      </c>
      <c r="B417" s="6">
        <v>45175</v>
      </c>
      <c r="C417" s="6" t="str">
        <f t="shared" si="18"/>
        <v>Sep</v>
      </c>
      <c r="D417" t="s">
        <v>954</v>
      </c>
      <c r="E417" t="s">
        <v>36</v>
      </c>
      <c r="F417" t="s">
        <v>128</v>
      </c>
      <c r="G417">
        <v>2</v>
      </c>
      <c r="H417" s="7">
        <v>124.71</v>
      </c>
      <c r="I417" t="s">
        <v>19</v>
      </c>
      <c r="J417" t="s">
        <v>19</v>
      </c>
      <c r="K417">
        <v>5</v>
      </c>
      <c r="L417" s="7">
        <f t="shared" si="19"/>
        <v>249.42</v>
      </c>
      <c r="M417" s="7"/>
      <c r="O417">
        <f t="shared" si="20"/>
        <v>2</v>
      </c>
      <c r="Q417" t="s">
        <v>19</v>
      </c>
    </row>
    <row r="418" spans="1:17" x14ac:dyDescent="0.3">
      <c r="A418" t="s">
        <v>955</v>
      </c>
      <c r="B418" s="6">
        <v>45181</v>
      </c>
      <c r="C418" s="6" t="str">
        <f t="shared" si="18"/>
        <v>Sep</v>
      </c>
      <c r="D418" t="s">
        <v>956</v>
      </c>
      <c r="E418" t="s">
        <v>19</v>
      </c>
      <c r="F418" t="s">
        <v>469</v>
      </c>
      <c r="G418">
        <v>3</v>
      </c>
      <c r="H418" s="7">
        <v>215.87</v>
      </c>
      <c r="I418" t="s">
        <v>21</v>
      </c>
      <c r="J418" t="s">
        <v>28</v>
      </c>
      <c r="K418">
        <v>20</v>
      </c>
      <c r="L418" s="7">
        <f t="shared" si="19"/>
        <v>647.61</v>
      </c>
      <c r="M418" s="7"/>
      <c r="O418">
        <f t="shared" si="20"/>
        <v>2</v>
      </c>
      <c r="Q418" t="s">
        <v>23</v>
      </c>
    </row>
    <row r="419" spans="1:17" x14ac:dyDescent="0.3">
      <c r="A419" t="s">
        <v>957</v>
      </c>
      <c r="B419" s="6">
        <v>44938</v>
      </c>
      <c r="C419" s="6" t="str">
        <f t="shared" si="18"/>
        <v>Jan</v>
      </c>
      <c r="D419" t="s">
        <v>958</v>
      </c>
      <c r="E419" t="s">
        <v>31</v>
      </c>
      <c r="F419" t="s">
        <v>347</v>
      </c>
      <c r="G419">
        <v>9</v>
      </c>
      <c r="H419" s="7">
        <v>484.03</v>
      </c>
      <c r="I419" t="s">
        <v>64</v>
      </c>
      <c r="J419" t="s">
        <v>42</v>
      </c>
      <c r="K419">
        <v>10</v>
      </c>
      <c r="L419" s="7">
        <f t="shared" si="19"/>
        <v>4356.2699999999995</v>
      </c>
      <c r="M419" s="7"/>
      <c r="O419">
        <f t="shared" si="20"/>
        <v>5</v>
      </c>
      <c r="Q419" t="s">
        <v>65</v>
      </c>
    </row>
    <row r="420" spans="1:17" x14ac:dyDescent="0.3">
      <c r="A420" t="s">
        <v>959</v>
      </c>
      <c r="B420" s="6">
        <v>45242</v>
      </c>
      <c r="C420" s="6" t="str">
        <f t="shared" si="18"/>
        <v>Nov</v>
      </c>
      <c r="D420" t="s">
        <v>960</v>
      </c>
      <c r="E420" t="s">
        <v>26</v>
      </c>
      <c r="F420" t="s">
        <v>20</v>
      </c>
      <c r="G420">
        <v>7</v>
      </c>
      <c r="H420" s="7">
        <v>330.59</v>
      </c>
      <c r="I420" t="s">
        <v>64</v>
      </c>
      <c r="J420" t="s">
        <v>87</v>
      </c>
      <c r="K420">
        <v>20</v>
      </c>
      <c r="L420" s="7">
        <f t="shared" si="19"/>
        <v>2314.1299999999997</v>
      </c>
      <c r="M420" s="7"/>
      <c r="O420">
        <f t="shared" si="20"/>
        <v>2</v>
      </c>
      <c r="Q420" t="s">
        <v>65</v>
      </c>
    </row>
    <row r="421" spans="1:17" x14ac:dyDescent="0.3">
      <c r="A421" t="s">
        <v>961</v>
      </c>
      <c r="B421" s="6">
        <v>45282</v>
      </c>
      <c r="C421" s="6" t="str">
        <f t="shared" si="18"/>
        <v>Dec</v>
      </c>
      <c r="D421" t="s">
        <v>210</v>
      </c>
      <c r="E421" t="s">
        <v>31</v>
      </c>
      <c r="F421" t="s">
        <v>586</v>
      </c>
      <c r="G421">
        <v>4</v>
      </c>
      <c r="H421" s="7">
        <v>284.38</v>
      </c>
      <c r="I421" t="s">
        <v>103</v>
      </c>
      <c r="J421" t="s">
        <v>19</v>
      </c>
      <c r="K421">
        <v>5</v>
      </c>
      <c r="L421" s="7">
        <f t="shared" si="19"/>
        <v>1137.52</v>
      </c>
      <c r="M421" s="7"/>
      <c r="O421">
        <f t="shared" si="20"/>
        <v>2</v>
      </c>
      <c r="Q421" t="s">
        <v>104</v>
      </c>
    </row>
    <row r="422" spans="1:17" x14ac:dyDescent="0.3">
      <c r="A422" t="s">
        <v>962</v>
      </c>
      <c r="B422" s="6">
        <v>44990</v>
      </c>
      <c r="C422" s="6" t="str">
        <f t="shared" si="18"/>
        <v>Mar</v>
      </c>
      <c r="D422" t="s">
        <v>200</v>
      </c>
      <c r="E422" t="s">
        <v>19</v>
      </c>
      <c r="F422" t="s">
        <v>730</v>
      </c>
      <c r="G422">
        <v>5</v>
      </c>
      <c r="H422" s="7">
        <v>466.81</v>
      </c>
      <c r="I422" t="s">
        <v>19</v>
      </c>
      <c r="J422" t="s">
        <v>72</v>
      </c>
      <c r="K422">
        <v>15</v>
      </c>
      <c r="L422" s="7">
        <f t="shared" si="19"/>
        <v>2334.0500000000002</v>
      </c>
      <c r="M422" s="7"/>
      <c r="O422">
        <f t="shared" si="20"/>
        <v>2</v>
      </c>
      <c r="Q422" t="s">
        <v>19</v>
      </c>
    </row>
    <row r="423" spans="1:17" x14ac:dyDescent="0.3">
      <c r="A423" t="s">
        <v>963</v>
      </c>
      <c r="B423" s="6">
        <v>45233</v>
      </c>
      <c r="C423" s="6" t="str">
        <f t="shared" si="18"/>
        <v>Nov</v>
      </c>
      <c r="D423" t="s">
        <v>501</v>
      </c>
      <c r="E423" t="s">
        <v>19</v>
      </c>
      <c r="F423" t="s">
        <v>708</v>
      </c>
      <c r="G423">
        <v>2</v>
      </c>
      <c r="H423" s="7">
        <v>295.32</v>
      </c>
      <c r="I423" t="s">
        <v>32</v>
      </c>
      <c r="J423" t="s">
        <v>22</v>
      </c>
      <c r="K423">
        <v>0</v>
      </c>
      <c r="L423" s="7">
        <f t="shared" si="19"/>
        <v>590.64</v>
      </c>
      <c r="M423" s="7"/>
      <c r="O423">
        <f t="shared" si="20"/>
        <v>2</v>
      </c>
      <c r="Q423" t="s">
        <v>33</v>
      </c>
    </row>
    <row r="424" spans="1:17" x14ac:dyDescent="0.3">
      <c r="A424" t="s">
        <v>964</v>
      </c>
      <c r="B424" s="6">
        <v>45277</v>
      </c>
      <c r="C424" s="6" t="str">
        <f t="shared" si="18"/>
        <v>Dec</v>
      </c>
      <c r="D424" t="s">
        <v>965</v>
      </c>
      <c r="E424" t="s">
        <v>50</v>
      </c>
      <c r="F424" t="s">
        <v>116</v>
      </c>
      <c r="G424">
        <v>8</v>
      </c>
      <c r="H424" s="7">
        <v>265.41000000000003</v>
      </c>
      <c r="I424" t="s">
        <v>64</v>
      </c>
      <c r="J424" t="s">
        <v>72</v>
      </c>
      <c r="K424">
        <v>5</v>
      </c>
      <c r="L424" s="7">
        <f t="shared" si="19"/>
        <v>2123.2800000000002</v>
      </c>
      <c r="M424" s="7"/>
      <c r="O424">
        <f t="shared" si="20"/>
        <v>2</v>
      </c>
      <c r="Q424" t="s">
        <v>65</v>
      </c>
    </row>
    <row r="425" spans="1:17" x14ac:dyDescent="0.3">
      <c r="A425" t="s">
        <v>966</v>
      </c>
      <c r="B425" s="6">
        <v>45105</v>
      </c>
      <c r="C425" s="6" t="str">
        <f t="shared" si="18"/>
        <v>Jun</v>
      </c>
      <c r="D425" t="s">
        <v>397</v>
      </c>
      <c r="E425" t="s">
        <v>40</v>
      </c>
      <c r="F425" t="s">
        <v>549</v>
      </c>
      <c r="G425">
        <v>4</v>
      </c>
      <c r="H425" s="7">
        <v>380.86</v>
      </c>
      <c r="I425" t="s">
        <v>32</v>
      </c>
      <c r="J425" t="s">
        <v>72</v>
      </c>
      <c r="K425">
        <v>10</v>
      </c>
      <c r="L425" s="7">
        <f t="shared" si="19"/>
        <v>1523.44</v>
      </c>
      <c r="M425" s="7"/>
      <c r="O425">
        <f t="shared" si="20"/>
        <v>2</v>
      </c>
      <c r="Q425" t="s">
        <v>33</v>
      </c>
    </row>
    <row r="426" spans="1:17" x14ac:dyDescent="0.3">
      <c r="A426" t="s">
        <v>967</v>
      </c>
      <c r="B426" s="6">
        <v>45083</v>
      </c>
      <c r="C426" s="6" t="str">
        <f t="shared" si="18"/>
        <v>Jun</v>
      </c>
      <c r="D426" t="s">
        <v>498</v>
      </c>
      <c r="E426" t="s">
        <v>19</v>
      </c>
      <c r="F426" t="s">
        <v>968</v>
      </c>
      <c r="G426">
        <v>9</v>
      </c>
      <c r="H426" s="7">
        <v>357.77</v>
      </c>
      <c r="I426" t="s">
        <v>21</v>
      </c>
      <c r="J426" t="s">
        <v>42</v>
      </c>
      <c r="K426">
        <v>15</v>
      </c>
      <c r="L426" s="7">
        <f t="shared" si="19"/>
        <v>3219.93</v>
      </c>
      <c r="M426" s="7"/>
      <c r="O426">
        <f t="shared" si="20"/>
        <v>4</v>
      </c>
      <c r="Q426" t="s">
        <v>23</v>
      </c>
    </row>
    <row r="427" spans="1:17" x14ac:dyDescent="0.3">
      <c r="A427" t="s">
        <v>969</v>
      </c>
      <c r="B427" s="6">
        <v>45120</v>
      </c>
      <c r="C427" s="6" t="str">
        <f t="shared" si="18"/>
        <v>Jul</v>
      </c>
      <c r="D427" t="s">
        <v>970</v>
      </c>
      <c r="E427" t="s">
        <v>36</v>
      </c>
      <c r="F427" t="s">
        <v>107</v>
      </c>
      <c r="G427">
        <v>5</v>
      </c>
      <c r="H427" s="7">
        <v>100.61</v>
      </c>
      <c r="I427" t="s">
        <v>64</v>
      </c>
      <c r="J427" t="s">
        <v>87</v>
      </c>
      <c r="K427">
        <v>15</v>
      </c>
      <c r="L427" s="7">
        <f t="shared" si="19"/>
        <v>503.05</v>
      </c>
      <c r="M427" s="7"/>
      <c r="O427">
        <f t="shared" si="20"/>
        <v>2</v>
      </c>
      <c r="Q427" t="s">
        <v>65</v>
      </c>
    </row>
    <row r="428" spans="1:17" x14ac:dyDescent="0.3">
      <c r="A428" t="s">
        <v>971</v>
      </c>
      <c r="B428" s="6">
        <v>44965</v>
      </c>
      <c r="C428" s="6" t="str">
        <f t="shared" si="18"/>
        <v>Feb</v>
      </c>
      <c r="D428" t="s">
        <v>972</v>
      </c>
      <c r="E428" t="s">
        <v>62</v>
      </c>
      <c r="F428" t="s">
        <v>646</v>
      </c>
      <c r="G428">
        <v>9</v>
      </c>
      <c r="H428" s="7">
        <v>238.3</v>
      </c>
      <c r="I428" t="s">
        <v>32</v>
      </c>
      <c r="J428" t="s">
        <v>22</v>
      </c>
      <c r="K428">
        <v>15</v>
      </c>
      <c r="L428" s="7">
        <f t="shared" si="19"/>
        <v>2144.7000000000003</v>
      </c>
      <c r="M428" s="7"/>
      <c r="O428">
        <f t="shared" si="20"/>
        <v>2</v>
      </c>
      <c r="Q428" t="s">
        <v>33</v>
      </c>
    </row>
    <row r="429" spans="1:17" x14ac:dyDescent="0.3">
      <c r="A429" t="s">
        <v>973</v>
      </c>
      <c r="B429" s="6">
        <v>45045</v>
      </c>
      <c r="C429" s="6" t="str">
        <f t="shared" si="18"/>
        <v>Apr</v>
      </c>
      <c r="D429" t="s">
        <v>762</v>
      </c>
      <c r="E429" t="s">
        <v>40</v>
      </c>
      <c r="F429" t="s">
        <v>273</v>
      </c>
      <c r="G429">
        <v>4</v>
      </c>
      <c r="H429" s="7">
        <v>238.9</v>
      </c>
      <c r="I429" t="s">
        <v>46</v>
      </c>
      <c r="J429" t="s">
        <v>22</v>
      </c>
      <c r="K429">
        <v>10</v>
      </c>
      <c r="L429" s="7">
        <f t="shared" si="19"/>
        <v>955.6</v>
      </c>
      <c r="M429" s="7"/>
      <c r="O429">
        <f t="shared" si="20"/>
        <v>2</v>
      </c>
      <c r="Q429" t="s">
        <v>47</v>
      </c>
    </row>
    <row r="430" spans="1:17" x14ac:dyDescent="0.3">
      <c r="A430" t="s">
        <v>974</v>
      </c>
      <c r="B430" s="6">
        <v>45044</v>
      </c>
      <c r="C430" s="6" t="str">
        <f t="shared" si="18"/>
        <v>Apr</v>
      </c>
      <c r="D430" t="s">
        <v>371</v>
      </c>
      <c r="E430" t="s">
        <v>36</v>
      </c>
      <c r="F430" t="s">
        <v>975</v>
      </c>
      <c r="G430">
        <v>5</v>
      </c>
      <c r="H430" s="7">
        <v>192.22</v>
      </c>
      <c r="I430" t="s">
        <v>21</v>
      </c>
      <c r="J430" t="s">
        <v>22</v>
      </c>
      <c r="K430">
        <v>10</v>
      </c>
      <c r="L430" s="7">
        <f t="shared" si="19"/>
        <v>961.1</v>
      </c>
      <c r="M430" s="7"/>
      <c r="O430">
        <f t="shared" si="20"/>
        <v>2</v>
      </c>
      <c r="Q430" t="s">
        <v>23</v>
      </c>
    </row>
    <row r="431" spans="1:17" x14ac:dyDescent="0.3">
      <c r="A431" t="s">
        <v>976</v>
      </c>
      <c r="B431" s="6">
        <v>45034</v>
      </c>
      <c r="C431" s="6" t="str">
        <f t="shared" si="18"/>
        <v>Apr</v>
      </c>
      <c r="D431" t="s">
        <v>977</v>
      </c>
      <c r="E431" t="s">
        <v>31</v>
      </c>
      <c r="F431" t="s">
        <v>472</v>
      </c>
      <c r="G431">
        <v>9</v>
      </c>
      <c r="H431" s="7">
        <v>261.06</v>
      </c>
      <c r="I431" t="s">
        <v>19</v>
      </c>
      <c r="J431" t="s">
        <v>72</v>
      </c>
      <c r="K431">
        <v>15</v>
      </c>
      <c r="L431" s="7">
        <f t="shared" si="19"/>
        <v>2349.54</v>
      </c>
      <c r="M431" s="7"/>
      <c r="O431">
        <f t="shared" si="20"/>
        <v>2</v>
      </c>
      <c r="Q431" t="s">
        <v>19</v>
      </c>
    </row>
    <row r="432" spans="1:17" x14ac:dyDescent="0.3">
      <c r="A432" t="s">
        <v>978</v>
      </c>
      <c r="B432" s="6">
        <v>45149</v>
      </c>
      <c r="C432" s="6" t="str">
        <f t="shared" si="18"/>
        <v>Aug</v>
      </c>
      <c r="D432" t="s">
        <v>175</v>
      </c>
      <c r="E432" t="s">
        <v>31</v>
      </c>
      <c r="F432" t="s">
        <v>278</v>
      </c>
      <c r="G432">
        <v>8</v>
      </c>
      <c r="H432" s="7">
        <v>209.49</v>
      </c>
      <c r="I432" t="s">
        <v>32</v>
      </c>
      <c r="J432" t="s">
        <v>72</v>
      </c>
      <c r="K432">
        <v>10</v>
      </c>
      <c r="L432" s="7">
        <f t="shared" si="19"/>
        <v>1675.92</v>
      </c>
      <c r="M432" s="7"/>
      <c r="O432">
        <f t="shared" si="20"/>
        <v>2</v>
      </c>
      <c r="Q432" t="s">
        <v>33</v>
      </c>
    </row>
    <row r="433" spans="1:17" x14ac:dyDescent="0.3">
      <c r="A433" t="s">
        <v>979</v>
      </c>
      <c r="B433" s="6">
        <v>45155</v>
      </c>
      <c r="C433" s="6" t="str">
        <f t="shared" si="18"/>
        <v>Aug</v>
      </c>
      <c r="D433" t="s">
        <v>980</v>
      </c>
      <c r="E433" t="s">
        <v>26</v>
      </c>
      <c r="F433" t="s">
        <v>833</v>
      </c>
      <c r="G433">
        <v>3</v>
      </c>
      <c r="H433" s="7">
        <v>103.68</v>
      </c>
      <c r="I433" t="s">
        <v>46</v>
      </c>
      <c r="J433" t="s">
        <v>42</v>
      </c>
      <c r="K433">
        <v>20</v>
      </c>
      <c r="L433" s="7">
        <f t="shared" si="19"/>
        <v>311.04000000000002</v>
      </c>
      <c r="M433" s="7"/>
      <c r="O433">
        <f t="shared" si="20"/>
        <v>2</v>
      </c>
      <c r="Q433" t="s">
        <v>47</v>
      </c>
    </row>
    <row r="434" spans="1:17" x14ac:dyDescent="0.3">
      <c r="A434" t="s">
        <v>981</v>
      </c>
      <c r="B434" s="6">
        <v>45188</v>
      </c>
      <c r="C434" s="6" t="str">
        <f t="shared" si="18"/>
        <v>Sep</v>
      </c>
      <c r="D434" t="s">
        <v>982</v>
      </c>
      <c r="E434" t="s">
        <v>36</v>
      </c>
      <c r="F434" t="s">
        <v>983</v>
      </c>
      <c r="G434">
        <v>1</v>
      </c>
      <c r="H434" s="7">
        <v>209.12</v>
      </c>
      <c r="I434" t="s">
        <v>19</v>
      </c>
      <c r="J434" t="s">
        <v>19</v>
      </c>
      <c r="K434">
        <v>10</v>
      </c>
      <c r="L434" s="7">
        <f t="shared" si="19"/>
        <v>209.12</v>
      </c>
      <c r="M434" s="7"/>
      <c r="O434">
        <f t="shared" si="20"/>
        <v>2</v>
      </c>
      <c r="Q434" t="s">
        <v>19</v>
      </c>
    </row>
    <row r="435" spans="1:17" x14ac:dyDescent="0.3">
      <c r="A435" t="s">
        <v>984</v>
      </c>
      <c r="B435" s="6">
        <v>45091</v>
      </c>
      <c r="C435" s="6" t="str">
        <f t="shared" si="18"/>
        <v>Jun</v>
      </c>
      <c r="D435" t="s">
        <v>985</v>
      </c>
      <c r="E435" t="s">
        <v>36</v>
      </c>
      <c r="F435" t="s">
        <v>134</v>
      </c>
      <c r="G435">
        <v>3</v>
      </c>
      <c r="H435" s="7">
        <v>40.78</v>
      </c>
      <c r="I435" t="s">
        <v>46</v>
      </c>
      <c r="J435" t="s">
        <v>72</v>
      </c>
      <c r="K435">
        <v>10</v>
      </c>
      <c r="L435" s="7">
        <f t="shared" si="19"/>
        <v>122.34</v>
      </c>
      <c r="M435" s="7"/>
      <c r="O435">
        <f t="shared" si="20"/>
        <v>2</v>
      </c>
      <c r="Q435" t="s">
        <v>47</v>
      </c>
    </row>
    <row r="436" spans="1:17" x14ac:dyDescent="0.3">
      <c r="A436" t="s">
        <v>986</v>
      </c>
      <c r="B436" s="6">
        <v>45249</v>
      </c>
      <c r="C436" s="6" t="str">
        <f t="shared" si="18"/>
        <v>Nov</v>
      </c>
      <c r="D436" t="s">
        <v>987</v>
      </c>
      <c r="E436" t="s">
        <v>36</v>
      </c>
      <c r="F436" t="s">
        <v>988</v>
      </c>
      <c r="G436">
        <v>4</v>
      </c>
      <c r="H436" s="7">
        <v>290.01</v>
      </c>
      <c r="I436" t="s">
        <v>64</v>
      </c>
      <c r="J436" t="s">
        <v>28</v>
      </c>
      <c r="K436">
        <v>5</v>
      </c>
      <c r="L436" s="7">
        <f t="shared" si="19"/>
        <v>1160.04</v>
      </c>
      <c r="M436" s="7"/>
      <c r="O436">
        <f t="shared" si="20"/>
        <v>2</v>
      </c>
      <c r="Q436" t="s">
        <v>65</v>
      </c>
    </row>
    <row r="437" spans="1:17" x14ac:dyDescent="0.3">
      <c r="A437" t="s">
        <v>989</v>
      </c>
      <c r="B437" s="6">
        <v>45234</v>
      </c>
      <c r="C437" s="6" t="str">
        <f t="shared" si="18"/>
        <v>Nov</v>
      </c>
      <c r="D437" t="s">
        <v>990</v>
      </c>
      <c r="E437" t="s">
        <v>26</v>
      </c>
      <c r="F437" t="s">
        <v>944</v>
      </c>
      <c r="G437">
        <v>2</v>
      </c>
      <c r="H437" s="7">
        <v>427.56</v>
      </c>
      <c r="I437" t="s">
        <v>64</v>
      </c>
      <c r="J437" t="s">
        <v>19</v>
      </c>
      <c r="K437">
        <v>10</v>
      </c>
      <c r="L437" s="7">
        <f t="shared" si="19"/>
        <v>855.12</v>
      </c>
      <c r="M437" s="7"/>
      <c r="O437">
        <f t="shared" si="20"/>
        <v>2</v>
      </c>
      <c r="Q437" t="s">
        <v>65</v>
      </c>
    </row>
    <row r="438" spans="1:17" x14ac:dyDescent="0.3">
      <c r="A438" t="s">
        <v>991</v>
      </c>
      <c r="B438" s="6">
        <v>45182</v>
      </c>
      <c r="C438" s="6" t="str">
        <f t="shared" si="18"/>
        <v>Sep</v>
      </c>
      <c r="D438" t="s">
        <v>614</v>
      </c>
      <c r="E438" t="s">
        <v>62</v>
      </c>
      <c r="F438" t="s">
        <v>598</v>
      </c>
      <c r="G438">
        <v>1</v>
      </c>
      <c r="H438" s="7">
        <v>364.02</v>
      </c>
      <c r="I438" t="s">
        <v>103</v>
      </c>
      <c r="J438" t="s">
        <v>28</v>
      </c>
      <c r="K438">
        <v>20</v>
      </c>
      <c r="L438" s="7">
        <f t="shared" si="19"/>
        <v>364.02</v>
      </c>
      <c r="M438" s="7"/>
      <c r="O438">
        <f t="shared" si="20"/>
        <v>2</v>
      </c>
      <c r="Q438" t="s">
        <v>104</v>
      </c>
    </row>
    <row r="439" spans="1:17" x14ac:dyDescent="0.3">
      <c r="A439" t="s">
        <v>992</v>
      </c>
      <c r="B439" s="6">
        <v>45165</v>
      </c>
      <c r="C439" s="6" t="str">
        <f t="shared" si="18"/>
        <v>Aug</v>
      </c>
      <c r="D439" t="s">
        <v>221</v>
      </c>
      <c r="E439" t="s">
        <v>19</v>
      </c>
      <c r="F439" t="s">
        <v>59</v>
      </c>
      <c r="G439">
        <v>7</v>
      </c>
      <c r="H439" s="7">
        <v>183.4</v>
      </c>
      <c r="I439" t="s">
        <v>21</v>
      </c>
      <c r="J439" t="s">
        <v>19</v>
      </c>
      <c r="K439">
        <v>0</v>
      </c>
      <c r="L439" s="7">
        <f t="shared" si="19"/>
        <v>1283.8</v>
      </c>
      <c r="M439" s="7"/>
      <c r="O439">
        <f t="shared" si="20"/>
        <v>2</v>
      </c>
      <c r="Q439" t="s">
        <v>23</v>
      </c>
    </row>
    <row r="440" spans="1:17" x14ac:dyDescent="0.3">
      <c r="A440" t="s">
        <v>993</v>
      </c>
      <c r="B440" s="6">
        <v>44962</v>
      </c>
      <c r="C440" s="6" t="str">
        <f t="shared" si="18"/>
        <v>Feb</v>
      </c>
      <c r="D440" t="s">
        <v>994</v>
      </c>
      <c r="E440" t="s">
        <v>26</v>
      </c>
      <c r="F440" t="s">
        <v>822</v>
      </c>
      <c r="G440">
        <v>8</v>
      </c>
      <c r="H440" s="7">
        <v>48.1</v>
      </c>
      <c r="I440" t="s">
        <v>21</v>
      </c>
      <c r="J440" t="s">
        <v>42</v>
      </c>
      <c r="K440">
        <v>10</v>
      </c>
      <c r="L440" s="7">
        <f t="shared" si="19"/>
        <v>384.8</v>
      </c>
      <c r="M440" s="7"/>
      <c r="O440">
        <f t="shared" si="20"/>
        <v>2</v>
      </c>
      <c r="Q440" t="s">
        <v>23</v>
      </c>
    </row>
    <row r="441" spans="1:17" x14ac:dyDescent="0.3">
      <c r="A441" t="s">
        <v>995</v>
      </c>
      <c r="B441" s="6">
        <v>45291</v>
      </c>
      <c r="C441" s="6" t="str">
        <f t="shared" si="18"/>
        <v>Dec</v>
      </c>
      <c r="D441" t="s">
        <v>302</v>
      </c>
      <c r="E441" t="s">
        <v>26</v>
      </c>
      <c r="F441" t="s">
        <v>706</v>
      </c>
      <c r="G441">
        <v>7</v>
      </c>
      <c r="H441" s="7">
        <v>105.06</v>
      </c>
      <c r="I441" t="s">
        <v>46</v>
      </c>
      <c r="J441" t="s">
        <v>87</v>
      </c>
      <c r="K441">
        <v>10</v>
      </c>
      <c r="L441" s="7">
        <f t="shared" si="19"/>
        <v>735.42000000000007</v>
      </c>
      <c r="M441" s="7"/>
      <c r="O441">
        <f t="shared" si="20"/>
        <v>2</v>
      </c>
      <c r="Q441" t="s">
        <v>47</v>
      </c>
    </row>
    <row r="442" spans="1:17" x14ac:dyDescent="0.3">
      <c r="A442" t="s">
        <v>996</v>
      </c>
      <c r="B442" s="6">
        <v>44964</v>
      </c>
      <c r="C442" s="6" t="str">
        <f t="shared" si="18"/>
        <v>Feb</v>
      </c>
      <c r="D442" t="s">
        <v>997</v>
      </c>
      <c r="E442" t="s">
        <v>40</v>
      </c>
      <c r="F442" t="s">
        <v>71</v>
      </c>
      <c r="G442">
        <v>5</v>
      </c>
      <c r="H442" s="7">
        <v>275.02</v>
      </c>
      <c r="I442" t="s">
        <v>21</v>
      </c>
      <c r="J442" t="s">
        <v>28</v>
      </c>
      <c r="K442">
        <v>10</v>
      </c>
      <c r="L442" s="7">
        <f t="shared" si="19"/>
        <v>1375.1</v>
      </c>
      <c r="M442" s="7"/>
      <c r="O442">
        <f t="shared" si="20"/>
        <v>2</v>
      </c>
      <c r="Q442" t="s">
        <v>23</v>
      </c>
    </row>
    <row r="443" spans="1:17" x14ac:dyDescent="0.3">
      <c r="A443" t="s">
        <v>998</v>
      </c>
      <c r="B443" s="6">
        <v>45248</v>
      </c>
      <c r="C443" s="6" t="str">
        <f t="shared" si="18"/>
        <v>Nov</v>
      </c>
      <c r="D443" t="s">
        <v>999</v>
      </c>
      <c r="E443" t="s">
        <v>36</v>
      </c>
      <c r="F443" t="s">
        <v>154</v>
      </c>
      <c r="G443">
        <v>1</v>
      </c>
      <c r="H443" s="7">
        <v>107.49</v>
      </c>
      <c r="I443" t="s">
        <v>21</v>
      </c>
      <c r="J443" t="s">
        <v>87</v>
      </c>
      <c r="K443">
        <v>15</v>
      </c>
      <c r="L443" s="7">
        <f t="shared" si="19"/>
        <v>107.49</v>
      </c>
      <c r="M443" s="7"/>
      <c r="O443">
        <f t="shared" si="20"/>
        <v>2</v>
      </c>
      <c r="Q443" t="s">
        <v>23</v>
      </c>
    </row>
    <row r="444" spans="1:17" x14ac:dyDescent="0.3">
      <c r="A444" t="s">
        <v>1000</v>
      </c>
      <c r="B444" s="6">
        <v>45265</v>
      </c>
      <c r="C444" s="6" t="str">
        <f t="shared" si="18"/>
        <v>Dec</v>
      </c>
      <c r="D444" t="s">
        <v>305</v>
      </c>
      <c r="E444" t="s">
        <v>62</v>
      </c>
      <c r="F444" t="s">
        <v>665</v>
      </c>
      <c r="G444">
        <v>7</v>
      </c>
      <c r="H444" s="7">
        <v>274.27</v>
      </c>
      <c r="I444" t="s">
        <v>19</v>
      </c>
      <c r="J444" t="s">
        <v>87</v>
      </c>
      <c r="K444">
        <v>15</v>
      </c>
      <c r="L444" s="7">
        <f t="shared" si="19"/>
        <v>1919.8899999999999</v>
      </c>
      <c r="M444" s="7"/>
      <c r="O444">
        <f t="shared" si="20"/>
        <v>2</v>
      </c>
      <c r="Q444" t="s">
        <v>19</v>
      </c>
    </row>
    <row r="445" spans="1:17" x14ac:dyDescent="0.3">
      <c r="A445" t="s">
        <v>1001</v>
      </c>
      <c r="B445" s="6">
        <v>45027</v>
      </c>
      <c r="C445" s="6" t="str">
        <f t="shared" si="18"/>
        <v>Apr</v>
      </c>
      <c r="D445" t="s">
        <v>543</v>
      </c>
      <c r="E445" t="s">
        <v>26</v>
      </c>
      <c r="F445" t="s">
        <v>308</v>
      </c>
      <c r="G445">
        <v>7</v>
      </c>
      <c r="H445" s="7">
        <v>119.64</v>
      </c>
      <c r="I445" t="s">
        <v>103</v>
      </c>
      <c r="J445" t="s">
        <v>19</v>
      </c>
      <c r="K445">
        <v>15</v>
      </c>
      <c r="L445" s="7">
        <f t="shared" si="19"/>
        <v>837.48</v>
      </c>
      <c r="M445" s="7"/>
      <c r="O445">
        <f t="shared" si="20"/>
        <v>2</v>
      </c>
      <c r="Q445" t="s">
        <v>104</v>
      </c>
    </row>
    <row r="446" spans="1:17" x14ac:dyDescent="0.3">
      <c r="A446" t="s">
        <v>1002</v>
      </c>
      <c r="B446" s="6">
        <v>45216</v>
      </c>
      <c r="C446" s="6" t="str">
        <f t="shared" si="18"/>
        <v>Oct</v>
      </c>
      <c r="D446" t="s">
        <v>1003</v>
      </c>
      <c r="E446" t="s">
        <v>36</v>
      </c>
      <c r="F446" t="s">
        <v>139</v>
      </c>
      <c r="G446">
        <v>9</v>
      </c>
      <c r="H446" s="7">
        <v>425.22</v>
      </c>
      <c r="I446" t="s">
        <v>103</v>
      </c>
      <c r="J446" t="s">
        <v>19</v>
      </c>
      <c r="K446">
        <v>0</v>
      </c>
      <c r="L446" s="7">
        <f t="shared" si="19"/>
        <v>3826.9800000000005</v>
      </c>
      <c r="M446" s="7"/>
      <c r="O446">
        <f t="shared" si="20"/>
        <v>5</v>
      </c>
      <c r="Q446" t="s">
        <v>104</v>
      </c>
    </row>
    <row r="447" spans="1:17" x14ac:dyDescent="0.3">
      <c r="A447" t="s">
        <v>1004</v>
      </c>
      <c r="B447" s="6">
        <v>45020</v>
      </c>
      <c r="C447" s="6" t="str">
        <f t="shared" si="18"/>
        <v>Apr</v>
      </c>
      <c r="D447" t="s">
        <v>751</v>
      </c>
      <c r="E447" t="s">
        <v>19</v>
      </c>
      <c r="F447" t="s">
        <v>71</v>
      </c>
      <c r="G447">
        <v>3</v>
      </c>
      <c r="H447" s="7">
        <v>201.65</v>
      </c>
      <c r="I447" t="s">
        <v>32</v>
      </c>
      <c r="J447" t="s">
        <v>72</v>
      </c>
      <c r="K447">
        <v>20</v>
      </c>
      <c r="L447" s="7">
        <f t="shared" si="19"/>
        <v>604.95000000000005</v>
      </c>
      <c r="M447" s="7"/>
      <c r="O447">
        <f t="shared" si="20"/>
        <v>2</v>
      </c>
      <c r="Q447" t="s">
        <v>33</v>
      </c>
    </row>
    <row r="448" spans="1:17" x14ac:dyDescent="0.3">
      <c r="A448" t="s">
        <v>1005</v>
      </c>
      <c r="B448" s="6">
        <v>45173</v>
      </c>
      <c r="C448" s="6" t="str">
        <f t="shared" si="18"/>
        <v>Sep</v>
      </c>
      <c r="D448" t="s">
        <v>1006</v>
      </c>
      <c r="E448" t="s">
        <v>62</v>
      </c>
      <c r="F448" t="s">
        <v>99</v>
      </c>
      <c r="G448">
        <v>9</v>
      </c>
      <c r="H448" s="7">
        <v>126.55</v>
      </c>
      <c r="I448" t="s">
        <v>19</v>
      </c>
      <c r="J448" t="s">
        <v>22</v>
      </c>
      <c r="K448">
        <v>5</v>
      </c>
      <c r="L448" s="7">
        <f t="shared" si="19"/>
        <v>1138.95</v>
      </c>
      <c r="M448" s="7"/>
      <c r="O448">
        <f t="shared" si="20"/>
        <v>2</v>
      </c>
      <c r="Q448" t="s">
        <v>19</v>
      </c>
    </row>
    <row r="449" spans="1:17" x14ac:dyDescent="0.3">
      <c r="A449" t="s">
        <v>1007</v>
      </c>
      <c r="B449" s="6">
        <v>45248</v>
      </c>
      <c r="C449" s="6" t="str">
        <f t="shared" si="18"/>
        <v>Nov</v>
      </c>
      <c r="D449" t="s">
        <v>1008</v>
      </c>
      <c r="E449" t="s">
        <v>50</v>
      </c>
      <c r="F449" t="s">
        <v>968</v>
      </c>
      <c r="G449">
        <v>1</v>
      </c>
      <c r="H449" s="7">
        <v>407.1</v>
      </c>
      <c r="I449" t="s">
        <v>19</v>
      </c>
      <c r="J449" t="s">
        <v>28</v>
      </c>
      <c r="K449">
        <v>10</v>
      </c>
      <c r="L449" s="7">
        <f t="shared" si="19"/>
        <v>407.1</v>
      </c>
      <c r="M449" s="7"/>
      <c r="O449">
        <f t="shared" si="20"/>
        <v>2</v>
      </c>
      <c r="Q449" t="s">
        <v>19</v>
      </c>
    </row>
    <row r="450" spans="1:17" x14ac:dyDescent="0.3">
      <c r="A450" t="s">
        <v>1009</v>
      </c>
      <c r="B450" s="6">
        <v>45052</v>
      </c>
      <c r="C450" s="6" t="str">
        <f t="shared" si="18"/>
        <v>May</v>
      </c>
      <c r="D450" t="s">
        <v>70</v>
      </c>
      <c r="E450" t="s">
        <v>19</v>
      </c>
      <c r="F450" t="s">
        <v>549</v>
      </c>
      <c r="G450">
        <v>1</v>
      </c>
      <c r="H450" s="7">
        <v>174.71</v>
      </c>
      <c r="I450" t="s">
        <v>32</v>
      </c>
      <c r="J450" t="s">
        <v>87</v>
      </c>
      <c r="K450">
        <v>10</v>
      </c>
      <c r="L450" s="7">
        <f t="shared" si="19"/>
        <v>174.71</v>
      </c>
      <c r="M450" s="7"/>
      <c r="O450">
        <f t="shared" si="20"/>
        <v>2</v>
      </c>
      <c r="Q450" t="s">
        <v>33</v>
      </c>
    </row>
    <row r="451" spans="1:17" x14ac:dyDescent="0.3">
      <c r="A451" t="s">
        <v>1010</v>
      </c>
      <c r="B451" s="6">
        <v>44946</v>
      </c>
      <c r="C451" s="6" t="str">
        <f t="shared" ref="C451:C514" si="21">TEXT(B451,"MMM")</f>
        <v>Jan</v>
      </c>
      <c r="D451" t="s">
        <v>1011</v>
      </c>
      <c r="E451" t="s">
        <v>26</v>
      </c>
      <c r="F451" t="s">
        <v>37</v>
      </c>
      <c r="G451">
        <v>4</v>
      </c>
      <c r="H451" s="7">
        <v>60.19</v>
      </c>
      <c r="I451" t="s">
        <v>103</v>
      </c>
      <c r="J451" t="s">
        <v>19</v>
      </c>
      <c r="K451">
        <v>20</v>
      </c>
      <c r="L451" s="7">
        <f t="shared" ref="L451:L514" si="22">G451*H451</f>
        <v>240.76</v>
      </c>
      <c r="M451" s="7"/>
      <c r="O451">
        <f t="shared" si="20"/>
        <v>2</v>
      </c>
      <c r="Q451" t="s">
        <v>104</v>
      </c>
    </row>
    <row r="452" spans="1:17" x14ac:dyDescent="0.3">
      <c r="A452" t="s">
        <v>1012</v>
      </c>
      <c r="B452" s="6">
        <v>45237</v>
      </c>
      <c r="C452" s="6" t="str">
        <f t="shared" si="21"/>
        <v>Nov</v>
      </c>
      <c r="D452" t="s">
        <v>427</v>
      </c>
      <c r="E452" t="s">
        <v>62</v>
      </c>
      <c r="F452" t="s">
        <v>99</v>
      </c>
      <c r="G452">
        <v>9</v>
      </c>
      <c r="H452" s="7">
        <v>287.35000000000002</v>
      </c>
      <c r="I452" t="s">
        <v>32</v>
      </c>
      <c r="J452" t="s">
        <v>19</v>
      </c>
      <c r="K452">
        <v>0</v>
      </c>
      <c r="L452" s="7">
        <f t="shared" si="22"/>
        <v>2586.15</v>
      </c>
      <c r="M452" s="7"/>
      <c r="O452">
        <f t="shared" ref="O452:O515" si="23">IF(L452&gt;3500,5,IF(L452&gt;3000,4,IF(L452&gt;2500,3,IF(L452&gt;2000,2,IF(L452&gt;1000,2,2)))))</f>
        <v>3</v>
      </c>
      <c r="Q452" t="s">
        <v>33</v>
      </c>
    </row>
    <row r="453" spans="1:17" x14ac:dyDescent="0.3">
      <c r="A453" t="s">
        <v>1013</v>
      </c>
      <c r="B453" s="6">
        <v>45023</v>
      </c>
      <c r="C453" s="6" t="str">
        <f t="shared" si="21"/>
        <v>Apr</v>
      </c>
      <c r="D453" t="s">
        <v>621</v>
      </c>
      <c r="E453" t="s">
        <v>31</v>
      </c>
      <c r="F453" t="s">
        <v>316</v>
      </c>
      <c r="G453">
        <v>6</v>
      </c>
      <c r="H453" s="7">
        <v>292.87</v>
      </c>
      <c r="I453" t="s">
        <v>19</v>
      </c>
      <c r="J453" t="s">
        <v>42</v>
      </c>
      <c r="K453">
        <v>15</v>
      </c>
      <c r="L453" s="7">
        <f t="shared" si="22"/>
        <v>1757.22</v>
      </c>
      <c r="M453" s="7"/>
      <c r="O453">
        <f t="shared" si="23"/>
        <v>2</v>
      </c>
      <c r="Q453" t="s">
        <v>19</v>
      </c>
    </row>
    <row r="454" spans="1:17" x14ac:dyDescent="0.3">
      <c r="A454" t="s">
        <v>1014</v>
      </c>
      <c r="B454" s="6">
        <v>45195</v>
      </c>
      <c r="C454" s="6" t="str">
        <f t="shared" si="21"/>
        <v>Sep</v>
      </c>
      <c r="D454" t="s">
        <v>1015</v>
      </c>
      <c r="E454" t="s">
        <v>62</v>
      </c>
      <c r="F454" t="s">
        <v>303</v>
      </c>
      <c r="G454">
        <v>3</v>
      </c>
      <c r="H454" s="7">
        <v>358.77</v>
      </c>
      <c r="I454" t="s">
        <v>21</v>
      </c>
      <c r="J454" t="s">
        <v>87</v>
      </c>
      <c r="K454">
        <v>20</v>
      </c>
      <c r="L454" s="7">
        <f t="shared" si="22"/>
        <v>1076.31</v>
      </c>
      <c r="M454" s="7"/>
      <c r="O454">
        <f t="shared" si="23"/>
        <v>2</v>
      </c>
      <c r="Q454" t="s">
        <v>23</v>
      </c>
    </row>
    <row r="455" spans="1:17" x14ac:dyDescent="0.3">
      <c r="A455" t="s">
        <v>1016</v>
      </c>
      <c r="B455" s="6">
        <v>45086</v>
      </c>
      <c r="C455" s="6" t="str">
        <f t="shared" si="21"/>
        <v>Jun</v>
      </c>
      <c r="D455" t="s">
        <v>1017</v>
      </c>
      <c r="E455" t="s">
        <v>40</v>
      </c>
      <c r="F455" t="s">
        <v>308</v>
      </c>
      <c r="G455">
        <v>1</v>
      </c>
      <c r="H455" s="7">
        <v>123.91</v>
      </c>
      <c r="I455" t="s">
        <v>103</v>
      </c>
      <c r="J455" t="s">
        <v>87</v>
      </c>
      <c r="K455">
        <v>5</v>
      </c>
      <c r="L455" s="7">
        <f t="shared" si="22"/>
        <v>123.91</v>
      </c>
      <c r="M455" s="7"/>
      <c r="O455">
        <f t="shared" si="23"/>
        <v>2</v>
      </c>
      <c r="Q455" t="s">
        <v>104</v>
      </c>
    </row>
    <row r="456" spans="1:17" x14ac:dyDescent="0.3">
      <c r="A456" t="s">
        <v>1018</v>
      </c>
      <c r="B456" s="6">
        <v>45278</v>
      </c>
      <c r="C456" s="6" t="str">
        <f t="shared" si="21"/>
        <v>Dec</v>
      </c>
      <c r="D456" t="s">
        <v>380</v>
      </c>
      <c r="E456" t="s">
        <v>40</v>
      </c>
      <c r="F456" t="s">
        <v>474</v>
      </c>
      <c r="G456">
        <v>4</v>
      </c>
      <c r="H456" s="7">
        <v>224.67</v>
      </c>
      <c r="I456" t="s">
        <v>46</v>
      </c>
      <c r="J456" t="s">
        <v>19</v>
      </c>
      <c r="K456">
        <v>15</v>
      </c>
      <c r="L456" s="7">
        <f t="shared" si="22"/>
        <v>898.68</v>
      </c>
      <c r="M456" s="7"/>
      <c r="O456">
        <f t="shared" si="23"/>
        <v>2</v>
      </c>
      <c r="Q456" t="s">
        <v>47</v>
      </c>
    </row>
    <row r="457" spans="1:17" x14ac:dyDescent="0.3">
      <c r="A457" t="s">
        <v>1019</v>
      </c>
      <c r="B457" s="6">
        <v>45228</v>
      </c>
      <c r="C457" s="6" t="str">
        <f t="shared" si="21"/>
        <v>Oct</v>
      </c>
      <c r="D457" t="s">
        <v>1020</v>
      </c>
      <c r="E457" t="s">
        <v>31</v>
      </c>
      <c r="F457" t="s">
        <v>267</v>
      </c>
      <c r="G457">
        <v>9</v>
      </c>
      <c r="H457" s="7">
        <v>144.77000000000001</v>
      </c>
      <c r="I457" t="s">
        <v>46</v>
      </c>
      <c r="J457" t="s">
        <v>19</v>
      </c>
      <c r="K457">
        <v>5</v>
      </c>
      <c r="L457" s="7">
        <f t="shared" si="22"/>
        <v>1302.93</v>
      </c>
      <c r="M457" s="7"/>
      <c r="O457">
        <f t="shared" si="23"/>
        <v>2</v>
      </c>
      <c r="Q457" t="s">
        <v>47</v>
      </c>
    </row>
    <row r="458" spans="1:17" x14ac:dyDescent="0.3">
      <c r="A458" t="s">
        <v>1021</v>
      </c>
      <c r="B458" s="6">
        <v>44969</v>
      </c>
      <c r="C458" s="6" t="str">
        <f t="shared" si="21"/>
        <v>Feb</v>
      </c>
      <c r="D458" t="s">
        <v>1022</v>
      </c>
      <c r="E458" t="s">
        <v>19</v>
      </c>
      <c r="F458" t="s">
        <v>1023</v>
      </c>
      <c r="G458">
        <v>3</v>
      </c>
      <c r="H458" s="7">
        <v>45.07</v>
      </c>
      <c r="I458" t="s">
        <v>64</v>
      </c>
      <c r="J458" t="s">
        <v>72</v>
      </c>
      <c r="K458">
        <v>10</v>
      </c>
      <c r="L458" s="7">
        <f t="shared" si="22"/>
        <v>135.21</v>
      </c>
      <c r="M458" s="7"/>
      <c r="O458">
        <f t="shared" si="23"/>
        <v>2</v>
      </c>
      <c r="Q458" t="s">
        <v>65</v>
      </c>
    </row>
    <row r="459" spans="1:17" x14ac:dyDescent="0.3">
      <c r="A459" t="s">
        <v>1024</v>
      </c>
      <c r="B459" s="6">
        <v>44998</v>
      </c>
      <c r="C459" s="6" t="str">
        <f t="shared" si="21"/>
        <v>Mar</v>
      </c>
      <c r="D459" t="s">
        <v>397</v>
      </c>
      <c r="E459" t="s">
        <v>31</v>
      </c>
      <c r="F459" t="s">
        <v>160</v>
      </c>
      <c r="G459">
        <v>9</v>
      </c>
      <c r="H459" s="7">
        <v>438.92</v>
      </c>
      <c r="I459" t="s">
        <v>21</v>
      </c>
      <c r="J459" t="s">
        <v>19</v>
      </c>
      <c r="K459">
        <v>5</v>
      </c>
      <c r="L459" s="7">
        <f t="shared" si="22"/>
        <v>3950.28</v>
      </c>
      <c r="M459" s="7"/>
      <c r="O459">
        <f t="shared" si="23"/>
        <v>5</v>
      </c>
      <c r="Q459" t="s">
        <v>23</v>
      </c>
    </row>
    <row r="460" spans="1:17" x14ac:dyDescent="0.3">
      <c r="A460" t="s">
        <v>1025</v>
      </c>
      <c r="B460" s="6">
        <v>45252</v>
      </c>
      <c r="C460" s="6" t="str">
        <f t="shared" si="21"/>
        <v>Nov</v>
      </c>
      <c r="D460" t="s">
        <v>355</v>
      </c>
      <c r="E460" t="s">
        <v>62</v>
      </c>
      <c r="F460" t="s">
        <v>322</v>
      </c>
      <c r="G460">
        <v>7</v>
      </c>
      <c r="H460" s="7">
        <v>365.79</v>
      </c>
      <c r="I460" t="s">
        <v>19</v>
      </c>
      <c r="J460" t="s">
        <v>19</v>
      </c>
      <c r="K460">
        <v>15</v>
      </c>
      <c r="L460" s="7">
        <f t="shared" si="22"/>
        <v>2560.5300000000002</v>
      </c>
      <c r="M460" s="7"/>
      <c r="O460">
        <f t="shared" si="23"/>
        <v>3</v>
      </c>
      <c r="Q460" t="s">
        <v>19</v>
      </c>
    </row>
    <row r="461" spans="1:17" x14ac:dyDescent="0.3">
      <c r="A461" t="s">
        <v>1026</v>
      </c>
      <c r="B461" s="6">
        <v>45037</v>
      </c>
      <c r="C461" s="6" t="str">
        <f t="shared" si="21"/>
        <v>Apr</v>
      </c>
      <c r="D461" t="s">
        <v>522</v>
      </c>
      <c r="E461" t="s">
        <v>31</v>
      </c>
      <c r="F461" t="s">
        <v>222</v>
      </c>
      <c r="G461">
        <v>4</v>
      </c>
      <c r="H461" s="7">
        <v>154.22</v>
      </c>
      <c r="I461" t="s">
        <v>103</v>
      </c>
      <c r="J461" t="s">
        <v>72</v>
      </c>
      <c r="K461">
        <v>10</v>
      </c>
      <c r="L461" s="7">
        <f t="shared" si="22"/>
        <v>616.88</v>
      </c>
      <c r="M461" s="7"/>
      <c r="O461">
        <f t="shared" si="23"/>
        <v>2</v>
      </c>
      <c r="Q461" t="s">
        <v>104</v>
      </c>
    </row>
    <row r="462" spans="1:17" x14ac:dyDescent="0.3">
      <c r="A462" t="s">
        <v>1027</v>
      </c>
      <c r="B462" s="6">
        <v>44981</v>
      </c>
      <c r="C462" s="6" t="str">
        <f t="shared" si="21"/>
        <v>Feb</v>
      </c>
      <c r="D462" t="s">
        <v>1028</v>
      </c>
      <c r="E462" t="s">
        <v>50</v>
      </c>
      <c r="F462" t="s">
        <v>211</v>
      </c>
      <c r="G462">
        <v>3</v>
      </c>
      <c r="H462" s="7">
        <v>252.16</v>
      </c>
      <c r="I462" t="s">
        <v>32</v>
      </c>
      <c r="J462" t="s">
        <v>87</v>
      </c>
      <c r="K462">
        <v>15</v>
      </c>
      <c r="L462" s="7">
        <f t="shared" si="22"/>
        <v>756.48</v>
      </c>
      <c r="M462" s="7"/>
      <c r="O462">
        <f t="shared" si="23"/>
        <v>2</v>
      </c>
      <c r="Q462" t="s">
        <v>33</v>
      </c>
    </row>
    <row r="463" spans="1:17" x14ac:dyDescent="0.3">
      <c r="A463" t="s">
        <v>1029</v>
      </c>
      <c r="B463" s="6">
        <v>45283</v>
      </c>
      <c r="C463" s="6" t="str">
        <f t="shared" si="21"/>
        <v>Dec</v>
      </c>
      <c r="D463" t="s">
        <v>1030</v>
      </c>
      <c r="E463" t="s">
        <v>26</v>
      </c>
      <c r="F463" t="s">
        <v>173</v>
      </c>
      <c r="G463">
        <v>5</v>
      </c>
      <c r="H463" s="7">
        <v>104.63</v>
      </c>
      <c r="I463" t="s">
        <v>32</v>
      </c>
      <c r="J463" t="s">
        <v>42</v>
      </c>
      <c r="K463">
        <v>10</v>
      </c>
      <c r="L463" s="7">
        <f t="shared" si="22"/>
        <v>523.15</v>
      </c>
      <c r="M463" s="7"/>
      <c r="O463">
        <f t="shared" si="23"/>
        <v>2</v>
      </c>
      <c r="Q463" t="s">
        <v>33</v>
      </c>
    </row>
    <row r="464" spans="1:17" x14ac:dyDescent="0.3">
      <c r="A464" t="s">
        <v>1031</v>
      </c>
      <c r="B464" s="6">
        <v>45044</v>
      </c>
      <c r="C464" s="6" t="str">
        <f t="shared" si="21"/>
        <v>Apr</v>
      </c>
      <c r="D464" t="s">
        <v>1032</v>
      </c>
      <c r="E464" t="s">
        <v>36</v>
      </c>
      <c r="F464" t="s">
        <v>188</v>
      </c>
      <c r="G464">
        <v>5</v>
      </c>
      <c r="H464" s="7">
        <v>445.67</v>
      </c>
      <c r="I464" t="s">
        <v>64</v>
      </c>
      <c r="J464" t="s">
        <v>22</v>
      </c>
      <c r="K464">
        <v>15</v>
      </c>
      <c r="L464" s="7">
        <f t="shared" si="22"/>
        <v>2228.35</v>
      </c>
      <c r="M464" s="7"/>
      <c r="O464">
        <f t="shared" si="23"/>
        <v>2</v>
      </c>
      <c r="Q464" t="s">
        <v>65</v>
      </c>
    </row>
    <row r="465" spans="1:17" x14ac:dyDescent="0.3">
      <c r="A465" t="s">
        <v>1033</v>
      </c>
      <c r="B465" s="6">
        <v>45085</v>
      </c>
      <c r="C465" s="6" t="str">
        <f t="shared" si="21"/>
        <v>Jun</v>
      </c>
      <c r="D465" t="s">
        <v>1017</v>
      </c>
      <c r="E465" t="s">
        <v>36</v>
      </c>
      <c r="F465" t="s">
        <v>732</v>
      </c>
      <c r="G465">
        <v>3</v>
      </c>
      <c r="H465" s="7">
        <v>61.88</v>
      </c>
      <c r="I465" t="s">
        <v>19</v>
      </c>
      <c r="J465" t="s">
        <v>19</v>
      </c>
      <c r="K465">
        <v>10</v>
      </c>
      <c r="L465" s="7">
        <f t="shared" si="22"/>
        <v>185.64000000000001</v>
      </c>
      <c r="M465" s="7"/>
      <c r="O465">
        <f t="shared" si="23"/>
        <v>2</v>
      </c>
      <c r="Q465" t="s">
        <v>19</v>
      </c>
    </row>
    <row r="466" spans="1:17" x14ac:dyDescent="0.3">
      <c r="A466" t="s">
        <v>1034</v>
      </c>
      <c r="B466" s="6">
        <v>45264</v>
      </c>
      <c r="C466" s="6" t="str">
        <f t="shared" si="21"/>
        <v>Dec</v>
      </c>
      <c r="D466" t="s">
        <v>1035</v>
      </c>
      <c r="E466" t="s">
        <v>19</v>
      </c>
      <c r="F466" t="s">
        <v>295</v>
      </c>
      <c r="G466">
        <v>9</v>
      </c>
      <c r="H466" s="7">
        <v>6.9</v>
      </c>
      <c r="I466" t="s">
        <v>64</v>
      </c>
      <c r="J466" t="s">
        <v>87</v>
      </c>
      <c r="K466">
        <v>5</v>
      </c>
      <c r="L466" s="7">
        <f t="shared" si="22"/>
        <v>62.1</v>
      </c>
      <c r="M466" s="7"/>
      <c r="O466">
        <f t="shared" si="23"/>
        <v>2</v>
      </c>
      <c r="Q466" t="s">
        <v>65</v>
      </c>
    </row>
    <row r="467" spans="1:17" x14ac:dyDescent="0.3">
      <c r="A467" t="s">
        <v>1036</v>
      </c>
      <c r="B467" s="6">
        <v>45234</v>
      </c>
      <c r="C467" s="6" t="str">
        <f t="shared" si="21"/>
        <v>Nov</v>
      </c>
      <c r="D467" t="s">
        <v>1037</v>
      </c>
      <c r="E467" t="s">
        <v>36</v>
      </c>
      <c r="F467" t="s">
        <v>1038</v>
      </c>
      <c r="G467">
        <v>4</v>
      </c>
      <c r="H467" s="7">
        <v>252.16</v>
      </c>
      <c r="I467" t="s">
        <v>32</v>
      </c>
      <c r="J467" t="s">
        <v>28</v>
      </c>
      <c r="K467">
        <v>10</v>
      </c>
      <c r="L467" s="7">
        <f t="shared" si="22"/>
        <v>1008.64</v>
      </c>
      <c r="M467" s="7"/>
      <c r="O467">
        <f t="shared" si="23"/>
        <v>2</v>
      </c>
      <c r="Q467" t="s">
        <v>33</v>
      </c>
    </row>
    <row r="468" spans="1:17" x14ac:dyDescent="0.3">
      <c r="A468" t="s">
        <v>1039</v>
      </c>
      <c r="B468" s="6">
        <v>45038</v>
      </c>
      <c r="C468" s="6" t="str">
        <f t="shared" si="21"/>
        <v>Apr</v>
      </c>
      <c r="D468" t="s">
        <v>1040</v>
      </c>
      <c r="E468" t="s">
        <v>19</v>
      </c>
      <c r="F468" t="s">
        <v>900</v>
      </c>
      <c r="G468">
        <v>5</v>
      </c>
      <c r="H468" s="7">
        <v>293.64999999999998</v>
      </c>
      <c r="I468" t="s">
        <v>64</v>
      </c>
      <c r="J468" t="s">
        <v>19</v>
      </c>
      <c r="K468">
        <v>0</v>
      </c>
      <c r="L468" s="7">
        <f t="shared" si="22"/>
        <v>1468.25</v>
      </c>
      <c r="M468" s="7"/>
      <c r="O468">
        <f t="shared" si="23"/>
        <v>2</v>
      </c>
      <c r="Q468" t="s">
        <v>65</v>
      </c>
    </row>
    <row r="469" spans="1:17" x14ac:dyDescent="0.3">
      <c r="A469" t="s">
        <v>1041</v>
      </c>
      <c r="B469" s="6">
        <v>45276</v>
      </c>
      <c r="C469" s="6" t="str">
        <f t="shared" si="21"/>
        <v>Dec</v>
      </c>
      <c r="D469" t="s">
        <v>1042</v>
      </c>
      <c r="E469" t="s">
        <v>19</v>
      </c>
      <c r="F469" t="s">
        <v>148</v>
      </c>
      <c r="G469">
        <v>4</v>
      </c>
      <c r="H469" s="7">
        <v>291.58999999999997</v>
      </c>
      <c r="I469" t="s">
        <v>19</v>
      </c>
      <c r="J469" t="s">
        <v>42</v>
      </c>
      <c r="K469">
        <v>0</v>
      </c>
      <c r="L469" s="7">
        <f t="shared" si="22"/>
        <v>1166.3599999999999</v>
      </c>
      <c r="M469" s="7"/>
      <c r="O469">
        <f t="shared" si="23"/>
        <v>2</v>
      </c>
      <c r="Q469" t="s">
        <v>19</v>
      </c>
    </row>
    <row r="470" spans="1:17" x14ac:dyDescent="0.3">
      <c r="A470" t="s">
        <v>1043</v>
      </c>
      <c r="B470" s="6">
        <v>45010</v>
      </c>
      <c r="C470" s="6" t="str">
        <f t="shared" si="21"/>
        <v>Mar</v>
      </c>
      <c r="D470" t="s">
        <v>1044</v>
      </c>
      <c r="E470" t="s">
        <v>31</v>
      </c>
      <c r="F470" t="s">
        <v>116</v>
      </c>
      <c r="G470">
        <v>5</v>
      </c>
      <c r="H470" s="7">
        <v>31.98</v>
      </c>
      <c r="I470" t="s">
        <v>19</v>
      </c>
      <c r="J470" t="s">
        <v>28</v>
      </c>
      <c r="K470">
        <v>0</v>
      </c>
      <c r="L470" s="7">
        <f t="shared" si="22"/>
        <v>159.9</v>
      </c>
      <c r="M470" s="7"/>
      <c r="O470">
        <f t="shared" si="23"/>
        <v>2</v>
      </c>
      <c r="Q470" t="s">
        <v>19</v>
      </c>
    </row>
    <row r="471" spans="1:17" x14ac:dyDescent="0.3">
      <c r="A471" t="s">
        <v>1045</v>
      </c>
      <c r="B471" s="6">
        <v>44982</v>
      </c>
      <c r="C471" s="6" t="str">
        <f t="shared" si="21"/>
        <v>Feb</v>
      </c>
      <c r="D471" t="s">
        <v>673</v>
      </c>
      <c r="E471" t="s">
        <v>50</v>
      </c>
      <c r="F471" t="s">
        <v>179</v>
      </c>
      <c r="G471">
        <v>7</v>
      </c>
      <c r="H471" s="7">
        <v>160.44999999999999</v>
      </c>
      <c r="I471" t="s">
        <v>46</v>
      </c>
      <c r="J471" t="s">
        <v>42</v>
      </c>
      <c r="K471">
        <v>0</v>
      </c>
      <c r="L471" s="7">
        <f t="shared" si="22"/>
        <v>1123.1499999999999</v>
      </c>
      <c r="M471" s="7"/>
      <c r="O471">
        <f t="shared" si="23"/>
        <v>2</v>
      </c>
      <c r="Q471" t="s">
        <v>47</v>
      </c>
    </row>
    <row r="472" spans="1:17" x14ac:dyDescent="0.3">
      <c r="A472" t="s">
        <v>1046</v>
      </c>
      <c r="B472" s="6">
        <v>44944</v>
      </c>
      <c r="C472" s="6" t="str">
        <f t="shared" si="21"/>
        <v>Jan</v>
      </c>
      <c r="D472" t="s">
        <v>256</v>
      </c>
      <c r="E472" t="s">
        <v>36</v>
      </c>
      <c r="F472" t="s">
        <v>222</v>
      </c>
      <c r="G472">
        <v>9</v>
      </c>
      <c r="H472" s="7">
        <v>252.1</v>
      </c>
      <c r="I472" t="s">
        <v>32</v>
      </c>
      <c r="J472" t="s">
        <v>87</v>
      </c>
      <c r="K472">
        <v>20</v>
      </c>
      <c r="L472" s="7">
        <f t="shared" si="22"/>
        <v>2268.9</v>
      </c>
      <c r="M472" s="7"/>
      <c r="O472">
        <f t="shared" si="23"/>
        <v>2</v>
      </c>
      <c r="Q472" t="s">
        <v>33</v>
      </c>
    </row>
    <row r="473" spans="1:17" x14ac:dyDescent="0.3">
      <c r="A473" t="s">
        <v>1047</v>
      </c>
      <c r="B473" s="6">
        <v>45048</v>
      </c>
      <c r="C473" s="6" t="str">
        <f t="shared" si="21"/>
        <v>May</v>
      </c>
      <c r="D473" t="s">
        <v>1048</v>
      </c>
      <c r="E473" t="s">
        <v>50</v>
      </c>
      <c r="F473" t="s">
        <v>375</v>
      </c>
      <c r="G473">
        <v>7</v>
      </c>
      <c r="H473" s="7">
        <v>112.21</v>
      </c>
      <c r="I473" t="s">
        <v>21</v>
      </c>
      <c r="J473" t="s">
        <v>22</v>
      </c>
      <c r="K473">
        <v>0</v>
      </c>
      <c r="L473" s="7">
        <f t="shared" si="22"/>
        <v>785.46999999999991</v>
      </c>
      <c r="M473" s="7"/>
      <c r="O473">
        <f t="shared" si="23"/>
        <v>2</v>
      </c>
      <c r="Q473" t="s">
        <v>23</v>
      </c>
    </row>
    <row r="474" spans="1:17" x14ac:dyDescent="0.3">
      <c r="A474" t="s">
        <v>1049</v>
      </c>
      <c r="B474" s="6">
        <v>44997</v>
      </c>
      <c r="C474" s="6" t="str">
        <f t="shared" si="21"/>
        <v>Mar</v>
      </c>
      <c r="D474" t="s">
        <v>1050</v>
      </c>
      <c r="E474" t="s">
        <v>26</v>
      </c>
      <c r="F474" t="s">
        <v>480</v>
      </c>
      <c r="G474">
        <v>5</v>
      </c>
      <c r="H474" s="7">
        <v>436.95</v>
      </c>
      <c r="I474" t="s">
        <v>64</v>
      </c>
      <c r="J474" t="s">
        <v>42</v>
      </c>
      <c r="K474">
        <v>10</v>
      </c>
      <c r="L474" s="7">
        <f t="shared" si="22"/>
        <v>2184.75</v>
      </c>
      <c r="M474" s="7"/>
      <c r="O474">
        <f t="shared" si="23"/>
        <v>2</v>
      </c>
      <c r="Q474" t="s">
        <v>65</v>
      </c>
    </row>
    <row r="475" spans="1:17" x14ac:dyDescent="0.3">
      <c r="A475" t="s">
        <v>1051</v>
      </c>
      <c r="B475" s="6">
        <v>45211</v>
      </c>
      <c r="C475" s="6" t="str">
        <f t="shared" si="21"/>
        <v>Oct</v>
      </c>
      <c r="D475" t="s">
        <v>1052</v>
      </c>
      <c r="E475" t="s">
        <v>40</v>
      </c>
      <c r="F475" t="s">
        <v>488</v>
      </c>
      <c r="G475">
        <v>7</v>
      </c>
      <c r="H475" s="7">
        <v>48.12</v>
      </c>
      <c r="I475" t="s">
        <v>19</v>
      </c>
      <c r="J475" t="s">
        <v>19</v>
      </c>
      <c r="K475">
        <v>0</v>
      </c>
      <c r="L475" s="7">
        <f t="shared" si="22"/>
        <v>336.84</v>
      </c>
      <c r="M475" s="7"/>
      <c r="O475">
        <f t="shared" si="23"/>
        <v>2</v>
      </c>
      <c r="Q475" t="s">
        <v>19</v>
      </c>
    </row>
    <row r="476" spans="1:17" x14ac:dyDescent="0.3">
      <c r="A476" t="s">
        <v>1053</v>
      </c>
      <c r="B476" s="6">
        <v>44983</v>
      </c>
      <c r="C476" s="6" t="str">
        <f t="shared" si="21"/>
        <v>Feb</v>
      </c>
      <c r="D476" t="s">
        <v>1054</v>
      </c>
      <c r="E476" t="s">
        <v>62</v>
      </c>
      <c r="F476" t="s">
        <v>423</v>
      </c>
      <c r="G476">
        <v>5</v>
      </c>
      <c r="H476" s="7">
        <v>246.26</v>
      </c>
      <c r="I476" t="s">
        <v>64</v>
      </c>
      <c r="J476" t="s">
        <v>19</v>
      </c>
      <c r="K476">
        <v>15</v>
      </c>
      <c r="L476" s="7">
        <f t="shared" si="22"/>
        <v>1231.3</v>
      </c>
      <c r="M476" s="7"/>
      <c r="O476">
        <f t="shared" si="23"/>
        <v>2</v>
      </c>
      <c r="Q476" t="s">
        <v>65</v>
      </c>
    </row>
    <row r="477" spans="1:17" x14ac:dyDescent="0.3">
      <c r="A477" t="s">
        <v>1055</v>
      </c>
      <c r="B477" s="6">
        <v>45111</v>
      </c>
      <c r="C477" s="6" t="str">
        <f t="shared" si="21"/>
        <v>Jul</v>
      </c>
      <c r="D477" t="s">
        <v>1056</v>
      </c>
      <c r="E477" t="s">
        <v>19</v>
      </c>
      <c r="F477" t="s">
        <v>556</v>
      </c>
      <c r="G477">
        <v>3</v>
      </c>
      <c r="H477" s="7">
        <v>347.25</v>
      </c>
      <c r="I477" t="s">
        <v>21</v>
      </c>
      <c r="J477" t="s">
        <v>42</v>
      </c>
      <c r="K477">
        <v>0</v>
      </c>
      <c r="L477" s="7">
        <f t="shared" si="22"/>
        <v>1041.75</v>
      </c>
      <c r="M477" s="7"/>
      <c r="O477">
        <f t="shared" si="23"/>
        <v>2</v>
      </c>
      <c r="Q477" t="s">
        <v>23</v>
      </c>
    </row>
    <row r="478" spans="1:17" x14ac:dyDescent="0.3">
      <c r="A478" t="s">
        <v>1057</v>
      </c>
      <c r="B478" s="6">
        <v>45045</v>
      </c>
      <c r="C478" s="6" t="str">
        <f t="shared" si="21"/>
        <v>Apr</v>
      </c>
      <c r="D478" t="s">
        <v>609</v>
      </c>
      <c r="E478" t="s">
        <v>26</v>
      </c>
      <c r="F478" t="s">
        <v>646</v>
      </c>
      <c r="G478">
        <v>7</v>
      </c>
      <c r="H478" s="7">
        <v>134.57</v>
      </c>
      <c r="I478" t="s">
        <v>32</v>
      </c>
      <c r="J478" t="s">
        <v>19</v>
      </c>
      <c r="K478">
        <v>5</v>
      </c>
      <c r="L478" s="7">
        <f t="shared" si="22"/>
        <v>941.99</v>
      </c>
      <c r="M478" s="7"/>
      <c r="O478">
        <f t="shared" si="23"/>
        <v>2</v>
      </c>
      <c r="Q478" t="s">
        <v>33</v>
      </c>
    </row>
    <row r="479" spans="1:17" x14ac:dyDescent="0.3">
      <c r="A479" t="s">
        <v>1058</v>
      </c>
      <c r="B479" s="6">
        <v>44964</v>
      </c>
      <c r="C479" s="6" t="str">
        <f t="shared" si="21"/>
        <v>Feb</v>
      </c>
      <c r="D479" t="s">
        <v>530</v>
      </c>
      <c r="E479" t="s">
        <v>19</v>
      </c>
      <c r="F479" t="s">
        <v>328</v>
      </c>
      <c r="G479">
        <v>2</v>
      </c>
      <c r="H479" s="7">
        <v>314</v>
      </c>
      <c r="I479" t="s">
        <v>64</v>
      </c>
      <c r="J479" t="s">
        <v>72</v>
      </c>
      <c r="K479">
        <v>10</v>
      </c>
      <c r="L479" s="7">
        <f t="shared" si="22"/>
        <v>628</v>
      </c>
      <c r="M479" s="7"/>
      <c r="O479">
        <f t="shared" si="23"/>
        <v>2</v>
      </c>
      <c r="Q479" t="s">
        <v>65</v>
      </c>
    </row>
    <row r="480" spans="1:17" x14ac:dyDescent="0.3">
      <c r="A480" t="s">
        <v>1059</v>
      </c>
      <c r="B480" s="6">
        <v>45014</v>
      </c>
      <c r="C480" s="6" t="str">
        <f t="shared" si="21"/>
        <v>Mar</v>
      </c>
      <c r="D480" t="s">
        <v>1060</v>
      </c>
      <c r="E480" t="s">
        <v>19</v>
      </c>
      <c r="F480" t="s">
        <v>222</v>
      </c>
      <c r="G480">
        <v>9</v>
      </c>
      <c r="H480" s="7">
        <v>415.55</v>
      </c>
      <c r="I480" t="s">
        <v>64</v>
      </c>
      <c r="J480" t="s">
        <v>28</v>
      </c>
      <c r="K480">
        <v>10</v>
      </c>
      <c r="L480" s="7">
        <f t="shared" si="22"/>
        <v>3739.9500000000003</v>
      </c>
      <c r="M480" s="7"/>
      <c r="O480">
        <f t="shared" si="23"/>
        <v>5</v>
      </c>
      <c r="Q480" t="s">
        <v>65</v>
      </c>
    </row>
    <row r="481" spans="1:17" x14ac:dyDescent="0.3">
      <c r="A481" t="s">
        <v>1061</v>
      </c>
      <c r="B481" s="6">
        <v>45244</v>
      </c>
      <c r="C481" s="6" t="str">
        <f t="shared" si="21"/>
        <v>Nov</v>
      </c>
      <c r="D481" t="s">
        <v>1062</v>
      </c>
      <c r="E481" t="s">
        <v>50</v>
      </c>
      <c r="F481" t="s">
        <v>1063</v>
      </c>
      <c r="G481">
        <v>1</v>
      </c>
      <c r="H481" s="7">
        <v>99.22</v>
      </c>
      <c r="I481" t="s">
        <v>19</v>
      </c>
      <c r="J481" t="s">
        <v>28</v>
      </c>
      <c r="K481">
        <v>10</v>
      </c>
      <c r="L481" s="7">
        <f t="shared" si="22"/>
        <v>99.22</v>
      </c>
      <c r="M481" s="7"/>
      <c r="O481">
        <f t="shared" si="23"/>
        <v>2</v>
      </c>
      <c r="Q481" t="s">
        <v>19</v>
      </c>
    </row>
    <row r="482" spans="1:17" x14ac:dyDescent="0.3">
      <c r="A482" t="s">
        <v>1064</v>
      </c>
      <c r="B482" s="6">
        <v>44976</v>
      </c>
      <c r="C482" s="6" t="str">
        <f t="shared" si="21"/>
        <v>Feb</v>
      </c>
      <c r="D482" t="s">
        <v>1065</v>
      </c>
      <c r="E482" t="s">
        <v>40</v>
      </c>
      <c r="F482" t="s">
        <v>139</v>
      </c>
      <c r="G482">
        <v>6</v>
      </c>
      <c r="H482" s="7">
        <v>459.02</v>
      </c>
      <c r="I482" t="s">
        <v>32</v>
      </c>
      <c r="J482" t="s">
        <v>87</v>
      </c>
      <c r="K482">
        <v>20</v>
      </c>
      <c r="L482" s="7">
        <f t="shared" si="22"/>
        <v>2754.12</v>
      </c>
      <c r="M482" s="7"/>
      <c r="O482">
        <f t="shared" si="23"/>
        <v>3</v>
      </c>
      <c r="Q482" t="s">
        <v>33</v>
      </c>
    </row>
    <row r="483" spans="1:17" x14ac:dyDescent="0.3">
      <c r="A483" t="s">
        <v>1066</v>
      </c>
      <c r="B483" s="6">
        <v>45175</v>
      </c>
      <c r="C483" s="6" t="str">
        <f t="shared" si="21"/>
        <v>Sep</v>
      </c>
      <c r="D483" t="s">
        <v>1067</v>
      </c>
      <c r="E483" t="s">
        <v>40</v>
      </c>
      <c r="F483" t="s">
        <v>356</v>
      </c>
      <c r="G483">
        <v>7</v>
      </c>
      <c r="H483" s="7">
        <v>279.01</v>
      </c>
      <c r="I483" t="s">
        <v>64</v>
      </c>
      <c r="J483" t="s">
        <v>87</v>
      </c>
      <c r="K483">
        <v>15</v>
      </c>
      <c r="L483" s="7">
        <f t="shared" si="22"/>
        <v>1953.07</v>
      </c>
      <c r="M483" s="7"/>
      <c r="O483">
        <f t="shared" si="23"/>
        <v>2</v>
      </c>
      <c r="Q483" t="s">
        <v>65</v>
      </c>
    </row>
    <row r="484" spans="1:17" x14ac:dyDescent="0.3">
      <c r="A484" t="s">
        <v>1068</v>
      </c>
      <c r="B484" s="6">
        <v>45242</v>
      </c>
      <c r="C484" s="6" t="str">
        <f t="shared" si="21"/>
        <v>Nov</v>
      </c>
      <c r="D484" t="s">
        <v>1042</v>
      </c>
      <c r="E484" t="s">
        <v>36</v>
      </c>
      <c r="F484" t="s">
        <v>450</v>
      </c>
      <c r="G484">
        <v>8</v>
      </c>
      <c r="H484" s="7">
        <v>153.12</v>
      </c>
      <c r="I484" t="s">
        <v>21</v>
      </c>
      <c r="J484" t="s">
        <v>22</v>
      </c>
      <c r="K484">
        <v>10</v>
      </c>
      <c r="L484" s="7">
        <f t="shared" si="22"/>
        <v>1224.96</v>
      </c>
      <c r="M484" s="7"/>
      <c r="O484">
        <f t="shared" si="23"/>
        <v>2</v>
      </c>
      <c r="Q484" t="s">
        <v>23</v>
      </c>
    </row>
    <row r="485" spans="1:17" x14ac:dyDescent="0.3">
      <c r="A485" t="s">
        <v>1069</v>
      </c>
      <c r="B485" s="6">
        <v>45035</v>
      </c>
      <c r="C485" s="6" t="str">
        <f t="shared" si="21"/>
        <v>Apr</v>
      </c>
      <c r="D485" t="s">
        <v>1040</v>
      </c>
      <c r="E485" t="s">
        <v>19</v>
      </c>
      <c r="F485" t="s">
        <v>190</v>
      </c>
      <c r="G485">
        <v>9</v>
      </c>
      <c r="H485" s="7">
        <v>218.27</v>
      </c>
      <c r="I485" t="s">
        <v>64</v>
      </c>
      <c r="J485" t="s">
        <v>28</v>
      </c>
      <c r="K485">
        <v>5</v>
      </c>
      <c r="L485" s="7">
        <f t="shared" si="22"/>
        <v>1964.43</v>
      </c>
      <c r="M485" s="7"/>
      <c r="O485">
        <f t="shared" si="23"/>
        <v>2</v>
      </c>
      <c r="Q485" t="s">
        <v>65</v>
      </c>
    </row>
    <row r="486" spans="1:17" x14ac:dyDescent="0.3">
      <c r="A486" t="s">
        <v>1070</v>
      </c>
      <c r="B486" s="6">
        <v>45160</v>
      </c>
      <c r="C486" s="6" t="str">
        <f t="shared" si="21"/>
        <v>Aug</v>
      </c>
      <c r="D486" t="s">
        <v>1071</v>
      </c>
      <c r="E486" t="s">
        <v>40</v>
      </c>
      <c r="F486" t="s">
        <v>511</v>
      </c>
      <c r="G486">
        <v>2</v>
      </c>
      <c r="H486" s="7">
        <v>159.53</v>
      </c>
      <c r="I486" t="s">
        <v>19</v>
      </c>
      <c r="J486" t="s">
        <v>28</v>
      </c>
      <c r="K486">
        <v>0</v>
      </c>
      <c r="L486" s="7">
        <f t="shared" si="22"/>
        <v>319.06</v>
      </c>
      <c r="M486" s="7"/>
      <c r="O486">
        <f t="shared" si="23"/>
        <v>2</v>
      </c>
      <c r="Q486" t="s">
        <v>19</v>
      </c>
    </row>
    <row r="487" spans="1:17" x14ac:dyDescent="0.3">
      <c r="A487" t="s">
        <v>1072</v>
      </c>
      <c r="B487" s="6">
        <v>45206</v>
      </c>
      <c r="C487" s="6" t="str">
        <f t="shared" si="21"/>
        <v>Oct</v>
      </c>
      <c r="D487" t="s">
        <v>1073</v>
      </c>
      <c r="E487" t="s">
        <v>50</v>
      </c>
      <c r="F487" t="s">
        <v>353</v>
      </c>
      <c r="G487">
        <v>5</v>
      </c>
      <c r="H487" s="7">
        <v>363.93</v>
      </c>
      <c r="I487" t="s">
        <v>19</v>
      </c>
      <c r="J487" t="s">
        <v>87</v>
      </c>
      <c r="K487">
        <v>10</v>
      </c>
      <c r="L487" s="7">
        <f t="shared" si="22"/>
        <v>1819.65</v>
      </c>
      <c r="M487" s="7"/>
      <c r="O487">
        <f t="shared" si="23"/>
        <v>2</v>
      </c>
      <c r="Q487" t="s">
        <v>19</v>
      </c>
    </row>
    <row r="488" spans="1:17" x14ac:dyDescent="0.3">
      <c r="A488" t="s">
        <v>1074</v>
      </c>
      <c r="B488" s="6">
        <v>45046</v>
      </c>
      <c r="C488" s="6" t="str">
        <f t="shared" si="21"/>
        <v>Apr</v>
      </c>
      <c r="D488" t="s">
        <v>571</v>
      </c>
      <c r="E488" t="s">
        <v>40</v>
      </c>
      <c r="F488" t="s">
        <v>341</v>
      </c>
      <c r="G488">
        <v>5</v>
      </c>
      <c r="H488" s="7">
        <v>399.17</v>
      </c>
      <c r="I488" t="s">
        <v>19</v>
      </c>
      <c r="J488" t="s">
        <v>42</v>
      </c>
      <c r="K488">
        <v>5</v>
      </c>
      <c r="L488" s="7">
        <f t="shared" si="22"/>
        <v>1995.8500000000001</v>
      </c>
      <c r="M488" s="7"/>
      <c r="O488">
        <f t="shared" si="23"/>
        <v>2</v>
      </c>
      <c r="Q488" t="s">
        <v>19</v>
      </c>
    </row>
    <row r="489" spans="1:17" x14ac:dyDescent="0.3">
      <c r="A489" t="s">
        <v>1075</v>
      </c>
      <c r="B489" s="6">
        <v>45247</v>
      </c>
      <c r="C489" s="6" t="str">
        <f t="shared" si="21"/>
        <v>Nov</v>
      </c>
      <c r="D489" t="s">
        <v>855</v>
      </c>
      <c r="E489" t="s">
        <v>26</v>
      </c>
      <c r="F489" t="s">
        <v>224</v>
      </c>
      <c r="G489">
        <v>5</v>
      </c>
      <c r="H489" s="7">
        <v>252.16</v>
      </c>
      <c r="I489" t="s">
        <v>64</v>
      </c>
      <c r="J489" t="s">
        <v>72</v>
      </c>
      <c r="K489">
        <v>0</v>
      </c>
      <c r="L489" s="7">
        <f t="shared" si="22"/>
        <v>1260.8</v>
      </c>
      <c r="M489" s="7"/>
      <c r="O489">
        <f t="shared" si="23"/>
        <v>2</v>
      </c>
      <c r="Q489" t="s">
        <v>65</v>
      </c>
    </row>
    <row r="490" spans="1:17" x14ac:dyDescent="0.3">
      <c r="A490" t="s">
        <v>1076</v>
      </c>
      <c r="B490" s="6">
        <v>45250</v>
      </c>
      <c r="C490" s="6" t="str">
        <f t="shared" si="21"/>
        <v>Nov</v>
      </c>
      <c r="D490" t="s">
        <v>1077</v>
      </c>
      <c r="E490" t="s">
        <v>50</v>
      </c>
      <c r="F490" t="s">
        <v>27</v>
      </c>
      <c r="G490">
        <v>6</v>
      </c>
      <c r="H490" s="7">
        <v>492.96</v>
      </c>
      <c r="I490" t="s">
        <v>103</v>
      </c>
      <c r="J490" t="s">
        <v>72</v>
      </c>
      <c r="K490">
        <v>20</v>
      </c>
      <c r="L490" s="7">
        <f t="shared" si="22"/>
        <v>2957.7599999999998</v>
      </c>
      <c r="M490" s="7"/>
      <c r="O490">
        <f t="shared" si="23"/>
        <v>3</v>
      </c>
      <c r="Q490" t="s">
        <v>104</v>
      </c>
    </row>
    <row r="491" spans="1:17" x14ac:dyDescent="0.3">
      <c r="A491" t="s">
        <v>1078</v>
      </c>
      <c r="B491" s="6">
        <v>45195</v>
      </c>
      <c r="C491" s="6" t="str">
        <f t="shared" si="21"/>
        <v>Sep</v>
      </c>
      <c r="D491" t="s">
        <v>1079</v>
      </c>
      <c r="E491" t="s">
        <v>50</v>
      </c>
      <c r="F491" t="s">
        <v>165</v>
      </c>
      <c r="G491">
        <v>3</v>
      </c>
      <c r="H491" s="7">
        <v>396.69</v>
      </c>
      <c r="I491" t="s">
        <v>46</v>
      </c>
      <c r="J491" t="s">
        <v>19</v>
      </c>
      <c r="K491">
        <v>10</v>
      </c>
      <c r="L491" s="7">
        <f t="shared" si="22"/>
        <v>1190.07</v>
      </c>
      <c r="M491" s="7"/>
      <c r="O491">
        <f t="shared" si="23"/>
        <v>2</v>
      </c>
      <c r="Q491" t="s">
        <v>47</v>
      </c>
    </row>
    <row r="492" spans="1:17" x14ac:dyDescent="0.3">
      <c r="A492" t="s">
        <v>1080</v>
      </c>
      <c r="B492" s="6">
        <v>45152</v>
      </c>
      <c r="C492" s="6" t="str">
        <f t="shared" si="21"/>
        <v>Aug</v>
      </c>
      <c r="D492" t="s">
        <v>1081</v>
      </c>
      <c r="E492" t="s">
        <v>50</v>
      </c>
      <c r="F492" t="s">
        <v>201</v>
      </c>
      <c r="G492">
        <v>8</v>
      </c>
      <c r="H492" s="7">
        <v>302.69</v>
      </c>
      <c r="I492" t="s">
        <v>19</v>
      </c>
      <c r="J492" t="s">
        <v>22</v>
      </c>
      <c r="K492">
        <v>10</v>
      </c>
      <c r="L492" s="7">
        <f t="shared" si="22"/>
        <v>2421.52</v>
      </c>
      <c r="M492" s="7"/>
      <c r="O492">
        <f t="shared" si="23"/>
        <v>2</v>
      </c>
      <c r="Q492" t="s">
        <v>19</v>
      </c>
    </row>
    <row r="493" spans="1:17" x14ac:dyDescent="0.3">
      <c r="A493" t="s">
        <v>1082</v>
      </c>
      <c r="B493" s="6">
        <v>45290</v>
      </c>
      <c r="C493" s="6" t="str">
        <f t="shared" si="21"/>
        <v>Dec</v>
      </c>
      <c r="D493" t="s">
        <v>1083</v>
      </c>
      <c r="E493" t="s">
        <v>26</v>
      </c>
      <c r="F493" t="s">
        <v>99</v>
      </c>
      <c r="G493">
        <v>1</v>
      </c>
      <c r="H493" s="7">
        <v>172.91</v>
      </c>
      <c r="I493" t="s">
        <v>46</v>
      </c>
      <c r="J493" t="s">
        <v>28</v>
      </c>
      <c r="K493">
        <v>5</v>
      </c>
      <c r="L493" s="7">
        <f t="shared" si="22"/>
        <v>172.91</v>
      </c>
      <c r="M493" s="7"/>
      <c r="O493">
        <f t="shared" si="23"/>
        <v>2</v>
      </c>
      <c r="Q493" t="s">
        <v>47</v>
      </c>
    </row>
    <row r="494" spans="1:17" x14ac:dyDescent="0.3">
      <c r="A494" t="s">
        <v>1084</v>
      </c>
      <c r="B494" s="6">
        <v>44957</v>
      </c>
      <c r="C494" s="6" t="str">
        <f t="shared" si="21"/>
        <v>Jan</v>
      </c>
      <c r="D494" t="s">
        <v>476</v>
      </c>
      <c r="E494" t="s">
        <v>62</v>
      </c>
      <c r="F494" t="s">
        <v>1085</v>
      </c>
      <c r="G494">
        <v>6</v>
      </c>
      <c r="H494" s="7">
        <v>274.57</v>
      </c>
      <c r="I494" t="s">
        <v>21</v>
      </c>
      <c r="J494" t="s">
        <v>19</v>
      </c>
      <c r="K494">
        <v>10</v>
      </c>
      <c r="L494" s="7">
        <f t="shared" si="22"/>
        <v>1647.42</v>
      </c>
      <c r="M494" s="7"/>
      <c r="O494">
        <f t="shared" si="23"/>
        <v>2</v>
      </c>
      <c r="Q494" t="s">
        <v>23</v>
      </c>
    </row>
    <row r="495" spans="1:17" x14ac:dyDescent="0.3">
      <c r="A495" t="s">
        <v>1086</v>
      </c>
      <c r="B495" s="6">
        <v>44942</v>
      </c>
      <c r="C495" s="6" t="str">
        <f t="shared" si="21"/>
        <v>Jan</v>
      </c>
      <c r="D495" t="s">
        <v>1087</v>
      </c>
      <c r="E495" t="s">
        <v>31</v>
      </c>
      <c r="F495" t="s">
        <v>369</v>
      </c>
      <c r="G495">
        <v>4</v>
      </c>
      <c r="H495" s="7">
        <v>25.33</v>
      </c>
      <c r="I495" t="s">
        <v>19</v>
      </c>
      <c r="J495" t="s">
        <v>19</v>
      </c>
      <c r="K495">
        <v>15</v>
      </c>
      <c r="L495" s="7">
        <f t="shared" si="22"/>
        <v>101.32</v>
      </c>
      <c r="M495" s="7"/>
      <c r="O495">
        <f t="shared" si="23"/>
        <v>2</v>
      </c>
      <c r="Q495" t="s">
        <v>19</v>
      </c>
    </row>
    <row r="496" spans="1:17" x14ac:dyDescent="0.3">
      <c r="A496" t="s">
        <v>1088</v>
      </c>
      <c r="B496" s="6">
        <v>44993</v>
      </c>
      <c r="C496" s="6" t="str">
        <f t="shared" si="21"/>
        <v>Mar</v>
      </c>
      <c r="D496" t="s">
        <v>1089</v>
      </c>
      <c r="E496" t="s">
        <v>50</v>
      </c>
      <c r="F496" t="s">
        <v>968</v>
      </c>
      <c r="G496">
        <v>1</v>
      </c>
      <c r="H496" s="7">
        <v>373.69</v>
      </c>
      <c r="I496" t="s">
        <v>32</v>
      </c>
      <c r="J496" t="s">
        <v>87</v>
      </c>
      <c r="K496">
        <v>20</v>
      </c>
      <c r="L496" s="7">
        <f t="shared" si="22"/>
        <v>373.69</v>
      </c>
      <c r="M496" s="7"/>
      <c r="O496">
        <f t="shared" si="23"/>
        <v>2</v>
      </c>
      <c r="Q496" t="s">
        <v>33</v>
      </c>
    </row>
    <row r="497" spans="1:17" x14ac:dyDescent="0.3">
      <c r="A497" t="s">
        <v>1090</v>
      </c>
      <c r="B497" s="6">
        <v>45154</v>
      </c>
      <c r="C497" s="6" t="str">
        <f t="shared" si="21"/>
        <v>Aug</v>
      </c>
      <c r="D497" t="s">
        <v>1091</v>
      </c>
      <c r="E497" t="s">
        <v>50</v>
      </c>
      <c r="F497" t="s">
        <v>800</v>
      </c>
      <c r="G497">
        <v>7</v>
      </c>
      <c r="H497" s="7">
        <v>225.75</v>
      </c>
      <c r="I497" t="s">
        <v>19</v>
      </c>
      <c r="J497" t="s">
        <v>42</v>
      </c>
      <c r="K497">
        <v>15</v>
      </c>
      <c r="L497" s="7">
        <f t="shared" si="22"/>
        <v>1580.25</v>
      </c>
      <c r="M497" s="7"/>
      <c r="O497">
        <f t="shared" si="23"/>
        <v>2</v>
      </c>
      <c r="Q497" t="s">
        <v>19</v>
      </c>
    </row>
    <row r="498" spans="1:17" x14ac:dyDescent="0.3">
      <c r="A498" t="s">
        <v>1092</v>
      </c>
      <c r="B498" s="6">
        <v>45257</v>
      </c>
      <c r="C498" s="6" t="str">
        <f t="shared" si="21"/>
        <v>Nov</v>
      </c>
      <c r="D498" t="s">
        <v>1093</v>
      </c>
      <c r="E498" t="s">
        <v>62</v>
      </c>
      <c r="F498" t="s">
        <v>696</v>
      </c>
      <c r="G498">
        <v>9</v>
      </c>
      <c r="H498" s="7">
        <v>14.91</v>
      </c>
      <c r="I498" t="s">
        <v>103</v>
      </c>
      <c r="J498" t="s">
        <v>22</v>
      </c>
      <c r="K498">
        <v>10</v>
      </c>
      <c r="L498" s="7">
        <f t="shared" si="22"/>
        <v>134.19</v>
      </c>
      <c r="M498" s="7"/>
      <c r="O498">
        <f t="shared" si="23"/>
        <v>2</v>
      </c>
      <c r="Q498" t="s">
        <v>104</v>
      </c>
    </row>
    <row r="499" spans="1:17" x14ac:dyDescent="0.3">
      <c r="A499" t="s">
        <v>1094</v>
      </c>
      <c r="B499" s="6">
        <v>45071</v>
      </c>
      <c r="C499" s="6" t="str">
        <f t="shared" si="21"/>
        <v>May</v>
      </c>
      <c r="D499" t="s">
        <v>300</v>
      </c>
      <c r="E499" t="s">
        <v>50</v>
      </c>
      <c r="F499" t="s">
        <v>278</v>
      </c>
      <c r="G499">
        <v>5</v>
      </c>
      <c r="H499" s="7">
        <v>35.94</v>
      </c>
      <c r="I499" t="s">
        <v>21</v>
      </c>
      <c r="J499" t="s">
        <v>72</v>
      </c>
      <c r="K499">
        <v>15</v>
      </c>
      <c r="L499" s="7">
        <f t="shared" si="22"/>
        <v>179.7</v>
      </c>
      <c r="M499" s="7"/>
      <c r="O499">
        <f t="shared" si="23"/>
        <v>2</v>
      </c>
      <c r="Q499" t="s">
        <v>23</v>
      </c>
    </row>
    <row r="500" spans="1:17" x14ac:dyDescent="0.3">
      <c r="A500" t="s">
        <v>1095</v>
      </c>
      <c r="B500" s="6">
        <v>45222</v>
      </c>
      <c r="C500" s="6" t="str">
        <f t="shared" si="21"/>
        <v>Oct</v>
      </c>
      <c r="D500" t="s">
        <v>965</v>
      </c>
      <c r="E500" t="s">
        <v>62</v>
      </c>
      <c r="F500" t="s">
        <v>350</v>
      </c>
      <c r="G500">
        <v>4</v>
      </c>
      <c r="H500" s="7">
        <v>196.8</v>
      </c>
      <c r="I500" t="s">
        <v>19</v>
      </c>
      <c r="J500" t="s">
        <v>28</v>
      </c>
      <c r="K500">
        <v>0</v>
      </c>
      <c r="L500" s="7">
        <f t="shared" si="22"/>
        <v>787.2</v>
      </c>
      <c r="M500" s="7"/>
      <c r="O500">
        <f t="shared" si="23"/>
        <v>2</v>
      </c>
      <c r="Q500" t="s">
        <v>19</v>
      </c>
    </row>
    <row r="501" spans="1:17" x14ac:dyDescent="0.3">
      <c r="A501" t="s">
        <v>1096</v>
      </c>
      <c r="B501" s="6">
        <v>45203</v>
      </c>
      <c r="C501" s="6" t="str">
        <f t="shared" si="21"/>
        <v>Oct</v>
      </c>
      <c r="D501" t="s">
        <v>1097</v>
      </c>
      <c r="E501" t="s">
        <v>26</v>
      </c>
      <c r="F501" t="s">
        <v>488</v>
      </c>
      <c r="G501">
        <v>6</v>
      </c>
      <c r="H501" s="7">
        <v>293.79000000000002</v>
      </c>
      <c r="I501" t="s">
        <v>19</v>
      </c>
      <c r="J501" t="s">
        <v>22</v>
      </c>
      <c r="K501">
        <v>20</v>
      </c>
      <c r="L501" s="7">
        <f t="shared" si="22"/>
        <v>1762.7400000000002</v>
      </c>
      <c r="M501" s="7"/>
      <c r="O501">
        <f t="shared" si="23"/>
        <v>2</v>
      </c>
      <c r="Q501" t="s">
        <v>19</v>
      </c>
    </row>
    <row r="502" spans="1:17" x14ac:dyDescent="0.3">
      <c r="A502" t="s">
        <v>1098</v>
      </c>
      <c r="B502" s="6">
        <v>44982</v>
      </c>
      <c r="C502" s="6" t="str">
        <f t="shared" si="21"/>
        <v>Feb</v>
      </c>
      <c r="D502" t="s">
        <v>1099</v>
      </c>
      <c r="E502" t="s">
        <v>31</v>
      </c>
      <c r="F502" t="s">
        <v>403</v>
      </c>
      <c r="G502">
        <v>3</v>
      </c>
      <c r="H502" s="7">
        <v>234.78</v>
      </c>
      <c r="I502" t="s">
        <v>103</v>
      </c>
      <c r="J502" t="s">
        <v>28</v>
      </c>
      <c r="K502">
        <v>15</v>
      </c>
      <c r="L502" s="7">
        <f t="shared" si="22"/>
        <v>704.34</v>
      </c>
      <c r="M502" s="7"/>
      <c r="O502">
        <f t="shared" si="23"/>
        <v>2</v>
      </c>
      <c r="Q502" t="s">
        <v>104</v>
      </c>
    </row>
    <row r="503" spans="1:17" x14ac:dyDescent="0.3">
      <c r="A503" t="s">
        <v>1100</v>
      </c>
      <c r="B503" s="6">
        <v>45156</v>
      </c>
      <c r="C503" s="6" t="str">
        <f t="shared" si="21"/>
        <v>Aug</v>
      </c>
      <c r="D503" t="s">
        <v>1101</v>
      </c>
      <c r="E503" t="s">
        <v>19</v>
      </c>
      <c r="F503" t="s">
        <v>27</v>
      </c>
      <c r="G503">
        <v>6</v>
      </c>
      <c r="H503" s="7">
        <v>311.51</v>
      </c>
      <c r="I503" t="s">
        <v>19</v>
      </c>
      <c r="J503" t="s">
        <v>19</v>
      </c>
      <c r="K503">
        <v>0</v>
      </c>
      <c r="L503" s="7">
        <f t="shared" si="22"/>
        <v>1869.06</v>
      </c>
      <c r="M503" s="7"/>
      <c r="O503">
        <f t="shared" si="23"/>
        <v>2</v>
      </c>
      <c r="Q503" t="s">
        <v>19</v>
      </c>
    </row>
    <row r="504" spans="1:17" x14ac:dyDescent="0.3">
      <c r="A504" t="s">
        <v>1102</v>
      </c>
      <c r="B504" s="6">
        <v>44946</v>
      </c>
      <c r="C504" s="6" t="str">
        <f t="shared" si="21"/>
        <v>Jan</v>
      </c>
      <c r="D504" t="s">
        <v>395</v>
      </c>
      <c r="E504" t="s">
        <v>40</v>
      </c>
      <c r="F504" t="s">
        <v>54</v>
      </c>
      <c r="G504">
        <v>7</v>
      </c>
      <c r="H504" s="7">
        <v>242.75</v>
      </c>
      <c r="I504" t="s">
        <v>21</v>
      </c>
      <c r="J504" t="s">
        <v>87</v>
      </c>
      <c r="K504">
        <v>5</v>
      </c>
      <c r="L504" s="7">
        <f t="shared" si="22"/>
        <v>1699.25</v>
      </c>
      <c r="M504" s="7"/>
      <c r="O504">
        <f t="shared" si="23"/>
        <v>2</v>
      </c>
      <c r="Q504" t="s">
        <v>23</v>
      </c>
    </row>
    <row r="505" spans="1:17" x14ac:dyDescent="0.3">
      <c r="A505" t="s">
        <v>1103</v>
      </c>
      <c r="B505" s="6">
        <v>45157</v>
      </c>
      <c r="C505" s="6" t="str">
        <f t="shared" si="21"/>
        <v>Aug</v>
      </c>
      <c r="D505" t="s">
        <v>1104</v>
      </c>
      <c r="E505" t="s">
        <v>40</v>
      </c>
      <c r="F505" t="s">
        <v>122</v>
      </c>
      <c r="G505">
        <v>3</v>
      </c>
      <c r="H505" s="7">
        <v>332.54</v>
      </c>
      <c r="I505" t="s">
        <v>19</v>
      </c>
      <c r="J505" t="s">
        <v>22</v>
      </c>
      <c r="K505">
        <v>15</v>
      </c>
      <c r="L505" s="7">
        <f t="shared" si="22"/>
        <v>997.62000000000012</v>
      </c>
      <c r="M505" s="7"/>
      <c r="O505">
        <f t="shared" si="23"/>
        <v>2</v>
      </c>
      <c r="Q505" t="s">
        <v>19</v>
      </c>
    </row>
    <row r="506" spans="1:17" x14ac:dyDescent="0.3">
      <c r="A506" t="s">
        <v>1105</v>
      </c>
      <c r="B506" s="6">
        <v>45091</v>
      </c>
      <c r="C506" s="6" t="str">
        <f t="shared" si="21"/>
        <v>Jun</v>
      </c>
      <c r="D506" t="s">
        <v>452</v>
      </c>
      <c r="E506" t="s">
        <v>50</v>
      </c>
      <c r="F506" t="s">
        <v>254</v>
      </c>
      <c r="G506">
        <v>7</v>
      </c>
      <c r="H506" s="7">
        <v>113.47</v>
      </c>
      <c r="I506" t="s">
        <v>19</v>
      </c>
      <c r="J506" t="s">
        <v>22</v>
      </c>
      <c r="K506">
        <v>20</v>
      </c>
      <c r="L506" s="7">
        <f t="shared" si="22"/>
        <v>794.29</v>
      </c>
      <c r="M506" s="7"/>
      <c r="O506">
        <f t="shared" si="23"/>
        <v>2</v>
      </c>
      <c r="Q506" t="s">
        <v>19</v>
      </c>
    </row>
    <row r="507" spans="1:17" x14ac:dyDescent="0.3">
      <c r="A507" t="s">
        <v>1106</v>
      </c>
      <c r="B507" s="6">
        <v>45214</v>
      </c>
      <c r="C507" s="6" t="str">
        <f t="shared" si="21"/>
        <v>Oct</v>
      </c>
      <c r="D507" t="s">
        <v>1107</v>
      </c>
      <c r="E507" t="s">
        <v>19</v>
      </c>
      <c r="F507" t="s">
        <v>99</v>
      </c>
      <c r="G507">
        <v>3</v>
      </c>
      <c r="H507" s="7">
        <v>60.86</v>
      </c>
      <c r="I507" t="s">
        <v>19</v>
      </c>
      <c r="J507" t="s">
        <v>72</v>
      </c>
      <c r="K507">
        <v>0</v>
      </c>
      <c r="L507" s="7">
        <f t="shared" si="22"/>
        <v>182.57999999999998</v>
      </c>
      <c r="M507" s="7"/>
      <c r="O507">
        <f t="shared" si="23"/>
        <v>2</v>
      </c>
      <c r="Q507" t="s">
        <v>19</v>
      </c>
    </row>
    <row r="508" spans="1:17" x14ac:dyDescent="0.3">
      <c r="A508" t="s">
        <v>1108</v>
      </c>
      <c r="B508" s="6">
        <v>45010</v>
      </c>
      <c r="C508" s="6" t="str">
        <f t="shared" si="21"/>
        <v>Mar</v>
      </c>
      <c r="D508" t="s">
        <v>49</v>
      </c>
      <c r="E508" t="s">
        <v>19</v>
      </c>
      <c r="F508" t="s">
        <v>412</v>
      </c>
      <c r="G508">
        <v>2</v>
      </c>
      <c r="H508" s="7">
        <v>300.23</v>
      </c>
      <c r="I508" t="s">
        <v>32</v>
      </c>
      <c r="J508" t="s">
        <v>19</v>
      </c>
      <c r="K508">
        <v>15</v>
      </c>
      <c r="L508" s="7">
        <f t="shared" si="22"/>
        <v>600.46</v>
      </c>
      <c r="M508" s="7"/>
      <c r="O508">
        <f t="shared" si="23"/>
        <v>2</v>
      </c>
      <c r="Q508" t="s">
        <v>33</v>
      </c>
    </row>
    <row r="509" spans="1:17" x14ac:dyDescent="0.3">
      <c r="A509" t="s">
        <v>1109</v>
      </c>
      <c r="B509" s="6">
        <v>45193</v>
      </c>
      <c r="C509" s="6" t="str">
        <f t="shared" si="21"/>
        <v>Sep</v>
      </c>
      <c r="D509" t="s">
        <v>1110</v>
      </c>
      <c r="E509" t="s">
        <v>19</v>
      </c>
      <c r="F509" t="s">
        <v>469</v>
      </c>
      <c r="G509">
        <v>4</v>
      </c>
      <c r="H509" s="7">
        <v>244.92</v>
      </c>
      <c r="I509" t="s">
        <v>64</v>
      </c>
      <c r="J509" t="s">
        <v>19</v>
      </c>
      <c r="K509">
        <v>5</v>
      </c>
      <c r="L509" s="7">
        <f t="shared" si="22"/>
        <v>979.68</v>
      </c>
      <c r="M509" s="7"/>
      <c r="O509">
        <f t="shared" si="23"/>
        <v>2</v>
      </c>
      <c r="Q509" t="s">
        <v>65</v>
      </c>
    </row>
    <row r="510" spans="1:17" x14ac:dyDescent="0.3">
      <c r="A510" t="s">
        <v>1111</v>
      </c>
      <c r="B510" s="6">
        <v>44964</v>
      </c>
      <c r="C510" s="6" t="str">
        <f t="shared" si="21"/>
        <v>Feb</v>
      </c>
      <c r="D510" t="s">
        <v>1112</v>
      </c>
      <c r="E510" t="s">
        <v>36</v>
      </c>
      <c r="F510" t="s">
        <v>54</v>
      </c>
      <c r="G510">
        <v>8</v>
      </c>
      <c r="H510" s="7">
        <v>18.3</v>
      </c>
      <c r="I510" t="s">
        <v>103</v>
      </c>
      <c r="J510" t="s">
        <v>22</v>
      </c>
      <c r="K510">
        <v>15</v>
      </c>
      <c r="L510" s="7">
        <f t="shared" si="22"/>
        <v>146.4</v>
      </c>
      <c r="M510" s="7"/>
      <c r="O510">
        <f t="shared" si="23"/>
        <v>2</v>
      </c>
      <c r="Q510" t="s">
        <v>104</v>
      </c>
    </row>
    <row r="511" spans="1:17" x14ac:dyDescent="0.3">
      <c r="A511" t="s">
        <v>1113</v>
      </c>
      <c r="B511" s="6">
        <v>45176</v>
      </c>
      <c r="C511" s="6" t="str">
        <f t="shared" si="21"/>
        <v>Sep</v>
      </c>
      <c r="D511" t="s">
        <v>1114</v>
      </c>
      <c r="E511" t="s">
        <v>31</v>
      </c>
      <c r="F511" t="s">
        <v>450</v>
      </c>
      <c r="G511">
        <v>9</v>
      </c>
      <c r="H511" s="7">
        <v>193.34</v>
      </c>
      <c r="I511" t="s">
        <v>64</v>
      </c>
      <c r="J511" t="s">
        <v>28</v>
      </c>
      <c r="K511">
        <v>0</v>
      </c>
      <c r="L511" s="7">
        <f t="shared" si="22"/>
        <v>1740.06</v>
      </c>
      <c r="M511" s="7"/>
      <c r="O511">
        <f t="shared" si="23"/>
        <v>2</v>
      </c>
      <c r="Q511" t="s">
        <v>65</v>
      </c>
    </row>
    <row r="512" spans="1:17" x14ac:dyDescent="0.3">
      <c r="A512" t="s">
        <v>1115</v>
      </c>
      <c r="B512" s="6">
        <v>45236</v>
      </c>
      <c r="C512" s="6" t="str">
        <f t="shared" si="21"/>
        <v>Nov</v>
      </c>
      <c r="D512" t="s">
        <v>1116</v>
      </c>
      <c r="E512" t="s">
        <v>36</v>
      </c>
      <c r="F512" t="s">
        <v>1117</v>
      </c>
      <c r="G512">
        <v>7</v>
      </c>
      <c r="H512" s="7">
        <v>57.53</v>
      </c>
      <c r="I512" t="s">
        <v>19</v>
      </c>
      <c r="J512" t="s">
        <v>22</v>
      </c>
      <c r="K512">
        <v>15</v>
      </c>
      <c r="L512" s="7">
        <f t="shared" si="22"/>
        <v>402.71000000000004</v>
      </c>
      <c r="M512" s="7"/>
      <c r="O512">
        <f t="shared" si="23"/>
        <v>2</v>
      </c>
      <c r="Q512" t="s">
        <v>19</v>
      </c>
    </row>
    <row r="513" spans="1:17" x14ac:dyDescent="0.3">
      <c r="A513" t="s">
        <v>1118</v>
      </c>
      <c r="B513" s="6">
        <v>44964</v>
      </c>
      <c r="C513" s="6" t="str">
        <f t="shared" si="21"/>
        <v>Feb</v>
      </c>
      <c r="D513" t="s">
        <v>664</v>
      </c>
      <c r="E513" t="s">
        <v>19</v>
      </c>
      <c r="F513" t="s">
        <v>698</v>
      </c>
      <c r="G513">
        <v>1</v>
      </c>
      <c r="H513" s="7">
        <v>268.02</v>
      </c>
      <c r="I513" t="s">
        <v>103</v>
      </c>
      <c r="J513" t="s">
        <v>87</v>
      </c>
      <c r="K513">
        <v>20</v>
      </c>
      <c r="L513" s="7">
        <f t="shared" si="22"/>
        <v>268.02</v>
      </c>
      <c r="M513" s="7"/>
      <c r="O513">
        <f t="shared" si="23"/>
        <v>2</v>
      </c>
      <c r="Q513" t="s">
        <v>104</v>
      </c>
    </row>
    <row r="514" spans="1:17" x14ac:dyDescent="0.3">
      <c r="A514" t="s">
        <v>1119</v>
      </c>
      <c r="B514" s="6">
        <v>45098</v>
      </c>
      <c r="C514" s="6" t="str">
        <f t="shared" si="21"/>
        <v>Jun</v>
      </c>
      <c r="D514" t="s">
        <v>109</v>
      </c>
      <c r="E514" t="s">
        <v>40</v>
      </c>
      <c r="F514" t="s">
        <v>909</v>
      </c>
      <c r="G514">
        <v>3</v>
      </c>
      <c r="H514" s="7">
        <v>200.91</v>
      </c>
      <c r="I514" t="s">
        <v>19</v>
      </c>
      <c r="J514" t="s">
        <v>42</v>
      </c>
      <c r="K514">
        <v>10</v>
      </c>
      <c r="L514" s="7">
        <f t="shared" si="22"/>
        <v>602.73</v>
      </c>
      <c r="M514" s="7"/>
      <c r="O514">
        <f t="shared" si="23"/>
        <v>2</v>
      </c>
      <c r="Q514" t="s">
        <v>19</v>
      </c>
    </row>
    <row r="515" spans="1:17" x14ac:dyDescent="0.3">
      <c r="A515" t="s">
        <v>1120</v>
      </c>
      <c r="B515" s="6">
        <v>45259</v>
      </c>
      <c r="C515" s="6" t="str">
        <f t="shared" ref="C515:C578" si="24">TEXT(B515,"MMM")</f>
        <v>Nov</v>
      </c>
      <c r="D515" t="s">
        <v>652</v>
      </c>
      <c r="E515" t="s">
        <v>62</v>
      </c>
      <c r="F515" t="s">
        <v>504</v>
      </c>
      <c r="G515">
        <v>9</v>
      </c>
      <c r="H515" s="7">
        <v>308.51</v>
      </c>
      <c r="I515" t="s">
        <v>64</v>
      </c>
      <c r="J515" t="s">
        <v>72</v>
      </c>
      <c r="K515">
        <v>0</v>
      </c>
      <c r="L515" s="7">
        <f t="shared" ref="L515:L578" si="25">G515*H515</f>
        <v>2776.59</v>
      </c>
      <c r="M515" s="7"/>
      <c r="O515">
        <f t="shared" si="23"/>
        <v>3</v>
      </c>
      <c r="Q515" t="s">
        <v>65</v>
      </c>
    </row>
    <row r="516" spans="1:17" x14ac:dyDescent="0.3">
      <c r="A516" t="s">
        <v>1121</v>
      </c>
      <c r="B516" s="6">
        <v>45121</v>
      </c>
      <c r="C516" s="6" t="str">
        <f t="shared" si="24"/>
        <v>Jul</v>
      </c>
      <c r="D516" t="s">
        <v>1122</v>
      </c>
      <c r="E516" t="s">
        <v>26</v>
      </c>
      <c r="F516" t="s">
        <v>51</v>
      </c>
      <c r="G516">
        <v>5</v>
      </c>
      <c r="H516" s="7">
        <v>403.77</v>
      </c>
      <c r="I516" t="s">
        <v>46</v>
      </c>
      <c r="J516" t="s">
        <v>42</v>
      </c>
      <c r="K516">
        <v>0</v>
      </c>
      <c r="L516" s="7">
        <f t="shared" si="25"/>
        <v>2018.85</v>
      </c>
      <c r="M516" s="7"/>
      <c r="O516">
        <f t="shared" ref="O516:O579" si="26">IF(L516&gt;3500,5,IF(L516&gt;3000,4,IF(L516&gt;2500,3,IF(L516&gt;2000,2,IF(L516&gt;1000,2,2)))))</f>
        <v>2</v>
      </c>
      <c r="Q516" t="s">
        <v>47</v>
      </c>
    </row>
    <row r="517" spans="1:17" x14ac:dyDescent="0.3">
      <c r="A517" t="s">
        <v>1123</v>
      </c>
      <c r="B517" s="6">
        <v>45124</v>
      </c>
      <c r="C517" s="6" t="str">
        <f t="shared" si="24"/>
        <v>Jul</v>
      </c>
      <c r="D517" t="s">
        <v>1124</v>
      </c>
      <c r="E517" t="s">
        <v>36</v>
      </c>
      <c r="F517" t="s">
        <v>281</v>
      </c>
      <c r="G517">
        <v>9</v>
      </c>
      <c r="H517" s="7">
        <v>153.34</v>
      </c>
      <c r="I517" t="s">
        <v>103</v>
      </c>
      <c r="J517" t="s">
        <v>87</v>
      </c>
      <c r="K517">
        <v>0</v>
      </c>
      <c r="L517" s="7">
        <f t="shared" si="25"/>
        <v>1380.06</v>
      </c>
      <c r="M517" s="7"/>
      <c r="O517">
        <f t="shared" si="26"/>
        <v>2</v>
      </c>
      <c r="Q517" t="s">
        <v>104</v>
      </c>
    </row>
    <row r="518" spans="1:17" x14ac:dyDescent="0.3">
      <c r="A518" t="s">
        <v>1125</v>
      </c>
      <c r="B518" s="6">
        <v>44988</v>
      </c>
      <c r="C518" s="6" t="str">
        <f t="shared" si="24"/>
        <v>Mar</v>
      </c>
      <c r="D518" t="s">
        <v>468</v>
      </c>
      <c r="E518" t="s">
        <v>31</v>
      </c>
      <c r="F518" t="s">
        <v>375</v>
      </c>
      <c r="G518">
        <v>8</v>
      </c>
      <c r="H518" s="7">
        <v>481.24</v>
      </c>
      <c r="I518" t="s">
        <v>64</v>
      </c>
      <c r="J518" t="s">
        <v>87</v>
      </c>
      <c r="K518">
        <v>0</v>
      </c>
      <c r="L518" s="7">
        <f t="shared" si="25"/>
        <v>3849.92</v>
      </c>
      <c r="M518" s="7"/>
      <c r="O518">
        <f t="shared" si="26"/>
        <v>5</v>
      </c>
      <c r="Q518" t="s">
        <v>65</v>
      </c>
    </row>
    <row r="519" spans="1:17" x14ac:dyDescent="0.3">
      <c r="A519" t="s">
        <v>1126</v>
      </c>
      <c r="B519" s="6">
        <v>45099</v>
      </c>
      <c r="C519" s="6" t="str">
        <f t="shared" si="24"/>
        <v>Jun</v>
      </c>
      <c r="D519" t="s">
        <v>1127</v>
      </c>
      <c r="E519" t="s">
        <v>36</v>
      </c>
      <c r="F519" t="s">
        <v>398</v>
      </c>
      <c r="G519">
        <v>1</v>
      </c>
      <c r="H519" s="7">
        <v>270.14</v>
      </c>
      <c r="I519" t="s">
        <v>64</v>
      </c>
      <c r="J519" t="s">
        <v>28</v>
      </c>
      <c r="K519">
        <v>15</v>
      </c>
      <c r="L519" s="7">
        <f t="shared" si="25"/>
        <v>270.14</v>
      </c>
      <c r="M519" s="7"/>
      <c r="O519">
        <f t="shared" si="26"/>
        <v>2</v>
      </c>
      <c r="Q519" t="s">
        <v>65</v>
      </c>
    </row>
    <row r="520" spans="1:17" x14ac:dyDescent="0.3">
      <c r="A520" t="s">
        <v>1128</v>
      </c>
      <c r="B520" s="6">
        <v>44937</v>
      </c>
      <c r="C520" s="6" t="str">
        <f t="shared" si="24"/>
        <v>Jan</v>
      </c>
      <c r="D520" t="s">
        <v>1129</v>
      </c>
      <c r="E520" t="s">
        <v>26</v>
      </c>
      <c r="F520" t="s">
        <v>160</v>
      </c>
      <c r="G520">
        <v>6</v>
      </c>
      <c r="H520" s="7">
        <v>311.05</v>
      </c>
      <c r="I520" t="s">
        <v>46</v>
      </c>
      <c r="J520" t="s">
        <v>22</v>
      </c>
      <c r="K520">
        <v>20</v>
      </c>
      <c r="L520" s="7">
        <f t="shared" si="25"/>
        <v>1866.3000000000002</v>
      </c>
      <c r="M520" s="7"/>
      <c r="O520">
        <f t="shared" si="26"/>
        <v>2</v>
      </c>
      <c r="Q520" t="s">
        <v>47</v>
      </c>
    </row>
    <row r="521" spans="1:17" x14ac:dyDescent="0.3">
      <c r="A521" t="s">
        <v>1130</v>
      </c>
      <c r="B521" s="6">
        <v>45016</v>
      </c>
      <c r="C521" s="6" t="str">
        <f t="shared" si="24"/>
        <v>Mar</v>
      </c>
      <c r="D521" t="s">
        <v>1131</v>
      </c>
      <c r="E521" t="s">
        <v>19</v>
      </c>
      <c r="F521" t="s">
        <v>157</v>
      </c>
      <c r="G521">
        <v>5</v>
      </c>
      <c r="H521" s="7">
        <v>341.93</v>
      </c>
      <c r="I521" t="s">
        <v>46</v>
      </c>
      <c r="J521" t="s">
        <v>42</v>
      </c>
      <c r="K521">
        <v>5</v>
      </c>
      <c r="L521" s="7">
        <f t="shared" si="25"/>
        <v>1709.65</v>
      </c>
      <c r="M521" s="7"/>
      <c r="O521">
        <f t="shared" si="26"/>
        <v>2</v>
      </c>
      <c r="Q521" t="s">
        <v>47</v>
      </c>
    </row>
    <row r="522" spans="1:17" x14ac:dyDescent="0.3">
      <c r="A522" t="s">
        <v>1132</v>
      </c>
      <c r="B522" s="6">
        <v>45182</v>
      </c>
      <c r="C522" s="6" t="str">
        <f t="shared" si="24"/>
        <v>Sep</v>
      </c>
      <c r="D522" t="s">
        <v>629</v>
      </c>
      <c r="E522" t="s">
        <v>31</v>
      </c>
      <c r="F522" t="s">
        <v>913</v>
      </c>
      <c r="G522">
        <v>6</v>
      </c>
      <c r="H522" s="7">
        <v>335.03</v>
      </c>
      <c r="I522" t="s">
        <v>32</v>
      </c>
      <c r="J522" t="s">
        <v>42</v>
      </c>
      <c r="K522">
        <v>20</v>
      </c>
      <c r="L522" s="7">
        <f t="shared" si="25"/>
        <v>2010.1799999999998</v>
      </c>
      <c r="M522" s="7"/>
      <c r="O522">
        <f t="shared" si="26"/>
        <v>2</v>
      </c>
      <c r="Q522" t="s">
        <v>33</v>
      </c>
    </row>
    <row r="523" spans="1:17" x14ac:dyDescent="0.3">
      <c r="A523" t="s">
        <v>1133</v>
      </c>
      <c r="B523" s="6">
        <v>44995</v>
      </c>
      <c r="C523" s="6" t="str">
        <f t="shared" si="24"/>
        <v>Mar</v>
      </c>
      <c r="D523" t="s">
        <v>958</v>
      </c>
      <c r="E523" t="s">
        <v>40</v>
      </c>
      <c r="F523" t="s">
        <v>179</v>
      </c>
      <c r="G523">
        <v>5</v>
      </c>
      <c r="H523" s="7">
        <v>257.93</v>
      </c>
      <c r="I523" t="s">
        <v>19</v>
      </c>
      <c r="J523" t="s">
        <v>28</v>
      </c>
      <c r="K523">
        <v>0</v>
      </c>
      <c r="L523" s="7">
        <f t="shared" si="25"/>
        <v>1289.6500000000001</v>
      </c>
      <c r="M523" s="7"/>
      <c r="O523">
        <f t="shared" si="26"/>
        <v>2</v>
      </c>
      <c r="Q523" t="s">
        <v>19</v>
      </c>
    </row>
    <row r="524" spans="1:17" x14ac:dyDescent="0.3">
      <c r="A524" t="s">
        <v>1134</v>
      </c>
      <c r="B524" s="6">
        <v>45203</v>
      </c>
      <c r="C524" s="6" t="str">
        <f t="shared" si="24"/>
        <v>Oct</v>
      </c>
      <c r="D524" t="s">
        <v>1135</v>
      </c>
      <c r="E524" t="s">
        <v>26</v>
      </c>
      <c r="F524" t="s">
        <v>732</v>
      </c>
      <c r="G524">
        <v>6</v>
      </c>
      <c r="H524" s="7">
        <v>217.24</v>
      </c>
      <c r="I524" t="s">
        <v>21</v>
      </c>
      <c r="J524" t="s">
        <v>42</v>
      </c>
      <c r="K524">
        <v>10</v>
      </c>
      <c r="L524" s="7">
        <f t="shared" si="25"/>
        <v>1303.44</v>
      </c>
      <c r="M524" s="7"/>
      <c r="O524">
        <f t="shared" si="26"/>
        <v>2</v>
      </c>
      <c r="Q524" t="s">
        <v>23</v>
      </c>
    </row>
    <row r="525" spans="1:17" x14ac:dyDescent="0.3">
      <c r="A525" t="s">
        <v>1136</v>
      </c>
      <c r="B525" s="6">
        <v>45192</v>
      </c>
      <c r="C525" s="6" t="str">
        <f t="shared" si="24"/>
        <v>Sep</v>
      </c>
      <c r="D525" t="s">
        <v>1137</v>
      </c>
      <c r="E525" t="s">
        <v>31</v>
      </c>
      <c r="F525" t="s">
        <v>125</v>
      </c>
      <c r="G525">
        <v>5</v>
      </c>
      <c r="H525" s="7">
        <v>31.62</v>
      </c>
      <c r="I525" t="s">
        <v>19</v>
      </c>
      <c r="J525" t="s">
        <v>42</v>
      </c>
      <c r="K525">
        <v>15</v>
      </c>
      <c r="L525" s="7">
        <f t="shared" si="25"/>
        <v>158.1</v>
      </c>
      <c r="M525" s="7"/>
      <c r="O525">
        <f t="shared" si="26"/>
        <v>2</v>
      </c>
      <c r="Q525" t="s">
        <v>19</v>
      </c>
    </row>
    <row r="526" spans="1:17" x14ac:dyDescent="0.3">
      <c r="A526" t="s">
        <v>1138</v>
      </c>
      <c r="B526" s="6">
        <v>45131</v>
      </c>
      <c r="C526" s="6" t="str">
        <f t="shared" si="24"/>
        <v>Jul</v>
      </c>
      <c r="D526" t="s">
        <v>133</v>
      </c>
      <c r="E526" t="s">
        <v>31</v>
      </c>
      <c r="F526" t="s">
        <v>188</v>
      </c>
      <c r="G526">
        <v>5</v>
      </c>
      <c r="H526" s="7">
        <v>15.93</v>
      </c>
      <c r="I526" t="s">
        <v>19</v>
      </c>
      <c r="J526" t="s">
        <v>22</v>
      </c>
      <c r="K526">
        <v>10</v>
      </c>
      <c r="L526" s="7">
        <f t="shared" si="25"/>
        <v>79.650000000000006</v>
      </c>
      <c r="M526" s="7"/>
      <c r="O526">
        <f t="shared" si="26"/>
        <v>2</v>
      </c>
      <c r="Q526" t="s">
        <v>19</v>
      </c>
    </row>
    <row r="527" spans="1:17" x14ac:dyDescent="0.3">
      <c r="A527" t="s">
        <v>1139</v>
      </c>
      <c r="B527" s="6">
        <v>44955</v>
      </c>
      <c r="C527" s="6" t="str">
        <f t="shared" si="24"/>
        <v>Jan</v>
      </c>
      <c r="D527" t="s">
        <v>1140</v>
      </c>
      <c r="E527" t="s">
        <v>40</v>
      </c>
      <c r="F527" t="s">
        <v>504</v>
      </c>
      <c r="G527">
        <v>4</v>
      </c>
      <c r="H527" s="7">
        <v>182.19</v>
      </c>
      <c r="I527" t="s">
        <v>32</v>
      </c>
      <c r="J527" t="s">
        <v>87</v>
      </c>
      <c r="K527">
        <v>15</v>
      </c>
      <c r="L527" s="7">
        <f t="shared" si="25"/>
        <v>728.76</v>
      </c>
      <c r="M527" s="7"/>
      <c r="O527">
        <f t="shared" si="26"/>
        <v>2</v>
      </c>
      <c r="Q527" t="s">
        <v>33</v>
      </c>
    </row>
    <row r="528" spans="1:17" x14ac:dyDescent="0.3">
      <c r="A528" t="s">
        <v>1141</v>
      </c>
      <c r="B528" s="6">
        <v>45023</v>
      </c>
      <c r="C528" s="6" t="str">
        <f t="shared" si="24"/>
        <v>Apr</v>
      </c>
      <c r="D528" t="s">
        <v>954</v>
      </c>
      <c r="E528" t="s">
        <v>40</v>
      </c>
      <c r="F528" t="s">
        <v>1142</v>
      </c>
      <c r="G528">
        <v>3</v>
      </c>
      <c r="H528" s="7">
        <v>170.16</v>
      </c>
      <c r="I528" t="s">
        <v>32</v>
      </c>
      <c r="J528" t="s">
        <v>72</v>
      </c>
      <c r="K528">
        <v>0</v>
      </c>
      <c r="L528" s="7">
        <f t="shared" si="25"/>
        <v>510.48</v>
      </c>
      <c r="M528" s="7"/>
      <c r="O528">
        <f t="shared" si="26"/>
        <v>2</v>
      </c>
      <c r="Q528" t="s">
        <v>33</v>
      </c>
    </row>
    <row r="529" spans="1:17" x14ac:dyDescent="0.3">
      <c r="A529" t="s">
        <v>1143</v>
      </c>
      <c r="B529" s="6">
        <v>45130</v>
      </c>
      <c r="C529" s="6" t="str">
        <f t="shared" si="24"/>
        <v>Jul</v>
      </c>
      <c r="D529" t="s">
        <v>1144</v>
      </c>
      <c r="E529" t="s">
        <v>62</v>
      </c>
      <c r="F529" t="s">
        <v>322</v>
      </c>
      <c r="G529">
        <v>3</v>
      </c>
      <c r="H529" s="7">
        <v>196.91</v>
      </c>
      <c r="I529" t="s">
        <v>64</v>
      </c>
      <c r="J529" t="s">
        <v>87</v>
      </c>
      <c r="K529">
        <v>15</v>
      </c>
      <c r="L529" s="7">
        <f t="shared" si="25"/>
        <v>590.73</v>
      </c>
      <c r="M529" s="7"/>
      <c r="O529">
        <f t="shared" si="26"/>
        <v>2</v>
      </c>
      <c r="Q529" t="s">
        <v>65</v>
      </c>
    </row>
    <row r="530" spans="1:17" x14ac:dyDescent="0.3">
      <c r="A530" t="s">
        <v>1145</v>
      </c>
      <c r="B530" s="6">
        <v>44965</v>
      </c>
      <c r="C530" s="6" t="str">
        <f t="shared" si="24"/>
        <v>Feb</v>
      </c>
      <c r="D530" t="s">
        <v>70</v>
      </c>
      <c r="E530" t="s">
        <v>62</v>
      </c>
      <c r="F530" t="s">
        <v>1146</v>
      </c>
      <c r="G530">
        <v>4</v>
      </c>
      <c r="H530" s="7">
        <v>73.489999999999995</v>
      </c>
      <c r="I530" t="s">
        <v>21</v>
      </c>
      <c r="J530" t="s">
        <v>72</v>
      </c>
      <c r="K530">
        <v>0</v>
      </c>
      <c r="L530" s="7">
        <f t="shared" si="25"/>
        <v>293.95999999999998</v>
      </c>
      <c r="M530" s="7"/>
      <c r="O530">
        <f t="shared" si="26"/>
        <v>2</v>
      </c>
      <c r="Q530" t="s">
        <v>23</v>
      </c>
    </row>
    <row r="531" spans="1:17" x14ac:dyDescent="0.3">
      <c r="A531" t="s">
        <v>1147</v>
      </c>
      <c r="B531" s="6">
        <v>44952</v>
      </c>
      <c r="C531" s="6" t="str">
        <f t="shared" si="24"/>
        <v>Jan</v>
      </c>
      <c r="D531" t="s">
        <v>560</v>
      </c>
      <c r="E531" t="s">
        <v>31</v>
      </c>
      <c r="F531" t="s">
        <v>190</v>
      </c>
      <c r="G531">
        <v>9</v>
      </c>
      <c r="H531" s="7">
        <v>370.39</v>
      </c>
      <c r="I531" t="s">
        <v>103</v>
      </c>
      <c r="J531" t="s">
        <v>72</v>
      </c>
      <c r="K531">
        <v>20</v>
      </c>
      <c r="L531" s="7">
        <f t="shared" si="25"/>
        <v>3333.5099999999998</v>
      </c>
      <c r="M531" s="7"/>
      <c r="O531">
        <f t="shared" si="26"/>
        <v>4</v>
      </c>
      <c r="Q531" t="s">
        <v>104</v>
      </c>
    </row>
    <row r="532" spans="1:17" x14ac:dyDescent="0.3">
      <c r="A532" t="s">
        <v>1148</v>
      </c>
      <c r="B532" s="6">
        <v>45057</v>
      </c>
      <c r="C532" s="6" t="str">
        <f t="shared" si="24"/>
        <v>May</v>
      </c>
      <c r="D532" t="s">
        <v>924</v>
      </c>
      <c r="E532" t="s">
        <v>19</v>
      </c>
      <c r="F532" t="s">
        <v>182</v>
      </c>
      <c r="G532">
        <v>2</v>
      </c>
      <c r="H532" s="7">
        <v>429.2</v>
      </c>
      <c r="I532" t="s">
        <v>103</v>
      </c>
      <c r="J532" t="s">
        <v>22</v>
      </c>
      <c r="K532">
        <v>10</v>
      </c>
      <c r="L532" s="7">
        <f t="shared" si="25"/>
        <v>858.4</v>
      </c>
      <c r="M532" s="7"/>
      <c r="O532">
        <f t="shared" si="26"/>
        <v>2</v>
      </c>
      <c r="Q532" t="s">
        <v>104</v>
      </c>
    </row>
    <row r="533" spans="1:17" x14ac:dyDescent="0.3">
      <c r="A533" t="s">
        <v>1149</v>
      </c>
      <c r="B533" s="6">
        <v>45185</v>
      </c>
      <c r="C533" s="6" t="str">
        <f t="shared" si="24"/>
        <v>Sep</v>
      </c>
      <c r="D533" t="s">
        <v>677</v>
      </c>
      <c r="E533" t="s">
        <v>62</v>
      </c>
      <c r="F533" t="s">
        <v>887</v>
      </c>
      <c r="G533">
        <v>9</v>
      </c>
      <c r="H533" s="7">
        <v>469.66</v>
      </c>
      <c r="I533" t="s">
        <v>32</v>
      </c>
      <c r="J533" t="s">
        <v>28</v>
      </c>
      <c r="K533">
        <v>15</v>
      </c>
      <c r="L533" s="7">
        <f t="shared" si="25"/>
        <v>4226.9400000000005</v>
      </c>
      <c r="M533" s="7"/>
      <c r="O533">
        <f t="shared" si="26"/>
        <v>5</v>
      </c>
      <c r="Q533" t="s">
        <v>33</v>
      </c>
    </row>
    <row r="534" spans="1:17" x14ac:dyDescent="0.3">
      <c r="A534" t="s">
        <v>1150</v>
      </c>
      <c r="B534" s="6">
        <v>45238</v>
      </c>
      <c r="C534" s="6" t="str">
        <f t="shared" si="24"/>
        <v>Nov</v>
      </c>
      <c r="D534" t="s">
        <v>447</v>
      </c>
      <c r="E534" t="s">
        <v>19</v>
      </c>
      <c r="F534" t="s">
        <v>341</v>
      </c>
      <c r="G534">
        <v>1</v>
      </c>
      <c r="H534" s="7">
        <v>248.72</v>
      </c>
      <c r="I534" t="s">
        <v>103</v>
      </c>
      <c r="J534" t="s">
        <v>19</v>
      </c>
      <c r="K534">
        <v>0</v>
      </c>
      <c r="L534" s="7">
        <f t="shared" si="25"/>
        <v>248.72</v>
      </c>
      <c r="M534" s="7"/>
      <c r="O534">
        <f t="shared" si="26"/>
        <v>2</v>
      </c>
      <c r="Q534" t="s">
        <v>104</v>
      </c>
    </row>
    <row r="535" spans="1:17" x14ac:dyDescent="0.3">
      <c r="A535" t="s">
        <v>1151</v>
      </c>
      <c r="B535" s="6">
        <v>45212</v>
      </c>
      <c r="C535" s="6" t="str">
        <f t="shared" si="24"/>
        <v>Oct</v>
      </c>
      <c r="D535" t="s">
        <v>1152</v>
      </c>
      <c r="E535" t="s">
        <v>36</v>
      </c>
      <c r="F535" t="s">
        <v>173</v>
      </c>
      <c r="G535">
        <v>1</v>
      </c>
      <c r="H535" s="7">
        <v>351.93</v>
      </c>
      <c r="I535" t="s">
        <v>103</v>
      </c>
      <c r="J535" t="s">
        <v>72</v>
      </c>
      <c r="K535">
        <v>10</v>
      </c>
      <c r="L535" s="7">
        <f t="shared" si="25"/>
        <v>351.93</v>
      </c>
      <c r="M535" s="7"/>
      <c r="O535">
        <f t="shared" si="26"/>
        <v>2</v>
      </c>
      <c r="Q535" t="s">
        <v>104</v>
      </c>
    </row>
    <row r="536" spans="1:17" x14ac:dyDescent="0.3">
      <c r="A536" t="s">
        <v>1153</v>
      </c>
      <c r="B536" s="6">
        <v>45291</v>
      </c>
      <c r="C536" s="6" t="str">
        <f t="shared" si="24"/>
        <v>Dec</v>
      </c>
      <c r="D536" t="s">
        <v>1154</v>
      </c>
      <c r="E536" t="s">
        <v>40</v>
      </c>
      <c r="F536" t="s">
        <v>350</v>
      </c>
      <c r="G536">
        <v>5</v>
      </c>
      <c r="H536" s="7">
        <v>428.5</v>
      </c>
      <c r="I536" t="s">
        <v>21</v>
      </c>
      <c r="J536" t="s">
        <v>72</v>
      </c>
      <c r="K536">
        <v>0</v>
      </c>
      <c r="L536" s="7">
        <f t="shared" si="25"/>
        <v>2142.5</v>
      </c>
      <c r="M536" s="7"/>
      <c r="O536">
        <f t="shared" si="26"/>
        <v>2</v>
      </c>
      <c r="Q536" t="s">
        <v>23</v>
      </c>
    </row>
    <row r="537" spans="1:17" x14ac:dyDescent="0.3">
      <c r="A537" t="s">
        <v>1155</v>
      </c>
      <c r="B537" s="6">
        <v>45035</v>
      </c>
      <c r="C537" s="6" t="str">
        <f t="shared" si="24"/>
        <v>Apr</v>
      </c>
      <c r="D537" t="s">
        <v>1156</v>
      </c>
      <c r="E537" t="s">
        <v>62</v>
      </c>
      <c r="F537" t="s">
        <v>800</v>
      </c>
      <c r="G537">
        <v>6</v>
      </c>
      <c r="H537" s="7">
        <v>252.16</v>
      </c>
      <c r="I537" t="s">
        <v>46</v>
      </c>
      <c r="J537" t="s">
        <v>87</v>
      </c>
      <c r="K537">
        <v>10</v>
      </c>
      <c r="L537" s="7">
        <f t="shared" si="25"/>
        <v>1512.96</v>
      </c>
      <c r="M537" s="7"/>
      <c r="O537">
        <f t="shared" si="26"/>
        <v>2</v>
      </c>
      <c r="Q537" t="s">
        <v>47</v>
      </c>
    </row>
    <row r="538" spans="1:17" x14ac:dyDescent="0.3">
      <c r="A538" t="s">
        <v>1157</v>
      </c>
      <c r="B538" s="6">
        <v>45105</v>
      </c>
      <c r="C538" s="6" t="str">
        <f t="shared" si="24"/>
        <v>Jun</v>
      </c>
      <c r="D538" t="s">
        <v>1158</v>
      </c>
      <c r="E538" t="s">
        <v>19</v>
      </c>
      <c r="F538" t="s">
        <v>45</v>
      </c>
      <c r="G538">
        <v>6</v>
      </c>
      <c r="H538" s="7">
        <v>158.16</v>
      </c>
      <c r="I538" t="s">
        <v>46</v>
      </c>
      <c r="J538" t="s">
        <v>87</v>
      </c>
      <c r="K538">
        <v>15</v>
      </c>
      <c r="L538" s="7">
        <f t="shared" si="25"/>
        <v>948.96</v>
      </c>
      <c r="M538" s="7"/>
      <c r="O538">
        <f t="shared" si="26"/>
        <v>2</v>
      </c>
      <c r="Q538" t="s">
        <v>47</v>
      </c>
    </row>
    <row r="539" spans="1:17" x14ac:dyDescent="0.3">
      <c r="A539" t="s">
        <v>1159</v>
      </c>
      <c r="B539" s="6">
        <v>45020</v>
      </c>
      <c r="C539" s="6" t="str">
        <f t="shared" si="24"/>
        <v>Apr</v>
      </c>
      <c r="D539" t="s">
        <v>1160</v>
      </c>
      <c r="E539" t="s">
        <v>19</v>
      </c>
      <c r="F539" t="s">
        <v>116</v>
      </c>
      <c r="G539">
        <v>3</v>
      </c>
      <c r="H539" s="7">
        <v>468.68</v>
      </c>
      <c r="I539" t="s">
        <v>46</v>
      </c>
      <c r="J539" t="s">
        <v>22</v>
      </c>
      <c r="K539">
        <v>5</v>
      </c>
      <c r="L539" s="7">
        <f t="shared" si="25"/>
        <v>1406.04</v>
      </c>
      <c r="M539" s="7"/>
      <c r="O539">
        <f t="shared" si="26"/>
        <v>2</v>
      </c>
      <c r="Q539" t="s">
        <v>47</v>
      </c>
    </row>
    <row r="540" spans="1:17" x14ac:dyDescent="0.3">
      <c r="A540" t="s">
        <v>1161</v>
      </c>
      <c r="B540" s="6">
        <v>44928</v>
      </c>
      <c r="C540" s="6" t="str">
        <f t="shared" si="24"/>
        <v>Jan</v>
      </c>
      <c r="D540" t="s">
        <v>86</v>
      </c>
      <c r="E540" t="s">
        <v>40</v>
      </c>
      <c r="F540" t="s">
        <v>313</v>
      </c>
      <c r="G540">
        <v>7</v>
      </c>
      <c r="H540" s="7">
        <v>260.26</v>
      </c>
      <c r="I540" t="s">
        <v>64</v>
      </c>
      <c r="J540" t="s">
        <v>19</v>
      </c>
      <c r="K540">
        <v>10</v>
      </c>
      <c r="L540" s="7">
        <f t="shared" si="25"/>
        <v>1821.82</v>
      </c>
      <c r="M540" s="7"/>
      <c r="O540">
        <f t="shared" si="26"/>
        <v>2</v>
      </c>
      <c r="Q540" t="s">
        <v>65</v>
      </c>
    </row>
    <row r="541" spans="1:17" x14ac:dyDescent="0.3">
      <c r="A541" t="s">
        <v>1162</v>
      </c>
      <c r="B541" s="6">
        <v>45111</v>
      </c>
      <c r="C541" s="6" t="str">
        <f t="shared" si="24"/>
        <v>Jul</v>
      </c>
      <c r="D541" t="s">
        <v>1163</v>
      </c>
      <c r="E541" t="s">
        <v>40</v>
      </c>
      <c r="F541" t="s">
        <v>45</v>
      </c>
      <c r="G541">
        <v>9</v>
      </c>
      <c r="H541" s="7">
        <v>251.14</v>
      </c>
      <c r="I541" t="s">
        <v>64</v>
      </c>
      <c r="J541" t="s">
        <v>87</v>
      </c>
      <c r="K541">
        <v>0</v>
      </c>
      <c r="L541" s="7">
        <f t="shared" si="25"/>
        <v>2260.2599999999998</v>
      </c>
      <c r="M541" s="7"/>
      <c r="O541">
        <f t="shared" si="26"/>
        <v>2</v>
      </c>
      <c r="Q541" t="s">
        <v>65</v>
      </c>
    </row>
    <row r="542" spans="1:17" x14ac:dyDescent="0.3">
      <c r="A542" t="s">
        <v>1164</v>
      </c>
      <c r="B542" s="6">
        <v>45277</v>
      </c>
      <c r="C542" s="6" t="str">
        <f t="shared" si="24"/>
        <v>Dec</v>
      </c>
      <c r="D542" t="s">
        <v>735</v>
      </c>
      <c r="E542" t="s">
        <v>50</v>
      </c>
      <c r="F542" t="s">
        <v>445</v>
      </c>
      <c r="G542">
        <v>8</v>
      </c>
      <c r="H542" s="7">
        <v>93.32</v>
      </c>
      <c r="I542" t="s">
        <v>46</v>
      </c>
      <c r="J542" t="s">
        <v>72</v>
      </c>
      <c r="K542">
        <v>15</v>
      </c>
      <c r="L542" s="7">
        <f t="shared" si="25"/>
        <v>746.56</v>
      </c>
      <c r="M542" s="7"/>
      <c r="O542">
        <f t="shared" si="26"/>
        <v>2</v>
      </c>
      <c r="Q542" t="s">
        <v>47</v>
      </c>
    </row>
    <row r="543" spans="1:17" x14ac:dyDescent="0.3">
      <c r="A543" t="s">
        <v>1165</v>
      </c>
      <c r="B543" s="6">
        <v>45177</v>
      </c>
      <c r="C543" s="6" t="str">
        <f t="shared" si="24"/>
        <v>Sep</v>
      </c>
      <c r="D543" t="s">
        <v>935</v>
      </c>
      <c r="E543" t="s">
        <v>19</v>
      </c>
      <c r="F543" t="s">
        <v>417</v>
      </c>
      <c r="G543">
        <v>6</v>
      </c>
      <c r="H543" s="7">
        <v>58.54</v>
      </c>
      <c r="I543" t="s">
        <v>103</v>
      </c>
      <c r="J543" t="s">
        <v>22</v>
      </c>
      <c r="K543">
        <v>0</v>
      </c>
      <c r="L543" s="7">
        <f t="shared" si="25"/>
        <v>351.24</v>
      </c>
      <c r="M543" s="7"/>
      <c r="O543">
        <f t="shared" si="26"/>
        <v>2</v>
      </c>
      <c r="Q543" t="s">
        <v>104</v>
      </c>
    </row>
    <row r="544" spans="1:17" x14ac:dyDescent="0.3">
      <c r="A544" t="s">
        <v>1166</v>
      </c>
      <c r="B544" s="6">
        <v>45205</v>
      </c>
      <c r="C544" s="6" t="str">
        <f t="shared" si="24"/>
        <v>Oct</v>
      </c>
      <c r="D544" t="s">
        <v>1167</v>
      </c>
      <c r="E544" t="s">
        <v>62</v>
      </c>
      <c r="F544" t="s">
        <v>406</v>
      </c>
      <c r="G544">
        <v>8</v>
      </c>
      <c r="H544" s="7">
        <v>421.84</v>
      </c>
      <c r="I544" t="s">
        <v>21</v>
      </c>
      <c r="J544" t="s">
        <v>72</v>
      </c>
      <c r="K544">
        <v>5</v>
      </c>
      <c r="L544" s="7">
        <f t="shared" si="25"/>
        <v>3374.72</v>
      </c>
      <c r="M544" s="7"/>
      <c r="O544">
        <f t="shared" si="26"/>
        <v>4</v>
      </c>
      <c r="Q544" t="s">
        <v>23</v>
      </c>
    </row>
    <row r="545" spans="1:17" x14ac:dyDescent="0.3">
      <c r="A545" t="s">
        <v>1168</v>
      </c>
      <c r="B545" s="6">
        <v>44964</v>
      </c>
      <c r="C545" s="6" t="str">
        <f t="shared" si="24"/>
        <v>Feb</v>
      </c>
      <c r="D545" t="s">
        <v>1169</v>
      </c>
      <c r="E545" t="s">
        <v>26</v>
      </c>
      <c r="F545" t="s">
        <v>257</v>
      </c>
      <c r="G545">
        <v>5</v>
      </c>
      <c r="H545" s="7">
        <v>309</v>
      </c>
      <c r="I545" t="s">
        <v>46</v>
      </c>
      <c r="J545" t="s">
        <v>87</v>
      </c>
      <c r="K545">
        <v>10</v>
      </c>
      <c r="L545" s="7">
        <f t="shared" si="25"/>
        <v>1545</v>
      </c>
      <c r="M545" s="7"/>
      <c r="O545">
        <f t="shared" si="26"/>
        <v>2</v>
      </c>
      <c r="Q545" t="s">
        <v>47</v>
      </c>
    </row>
    <row r="546" spans="1:17" x14ac:dyDescent="0.3">
      <c r="A546" t="s">
        <v>1170</v>
      </c>
      <c r="B546" s="6">
        <v>45137</v>
      </c>
      <c r="C546" s="6" t="str">
        <f t="shared" si="24"/>
        <v>Jul</v>
      </c>
      <c r="D546" t="s">
        <v>1171</v>
      </c>
      <c r="E546" t="s">
        <v>36</v>
      </c>
      <c r="F546" t="s">
        <v>63</v>
      </c>
      <c r="G546">
        <v>8</v>
      </c>
      <c r="H546" s="7">
        <v>166.28</v>
      </c>
      <c r="I546" t="s">
        <v>46</v>
      </c>
      <c r="J546" t="s">
        <v>22</v>
      </c>
      <c r="K546">
        <v>5</v>
      </c>
      <c r="L546" s="7">
        <f t="shared" si="25"/>
        <v>1330.24</v>
      </c>
      <c r="M546" s="7"/>
      <c r="O546">
        <f t="shared" si="26"/>
        <v>2</v>
      </c>
      <c r="Q546" t="s">
        <v>47</v>
      </c>
    </row>
    <row r="547" spans="1:17" x14ac:dyDescent="0.3">
      <c r="A547" t="s">
        <v>1172</v>
      </c>
      <c r="B547" s="6">
        <v>45006</v>
      </c>
      <c r="C547" s="6" t="str">
        <f t="shared" si="24"/>
        <v>Mar</v>
      </c>
      <c r="D547" t="s">
        <v>1173</v>
      </c>
      <c r="E547" t="s">
        <v>26</v>
      </c>
      <c r="F547" t="s">
        <v>270</v>
      </c>
      <c r="G547">
        <v>4</v>
      </c>
      <c r="H547" s="7">
        <v>99.91</v>
      </c>
      <c r="I547" t="s">
        <v>46</v>
      </c>
      <c r="J547" t="s">
        <v>22</v>
      </c>
      <c r="K547">
        <v>20</v>
      </c>
      <c r="L547" s="7">
        <f t="shared" si="25"/>
        <v>399.64</v>
      </c>
      <c r="M547" s="7"/>
      <c r="O547">
        <f t="shared" si="26"/>
        <v>2</v>
      </c>
      <c r="Q547" t="s">
        <v>47</v>
      </c>
    </row>
    <row r="548" spans="1:17" x14ac:dyDescent="0.3">
      <c r="A548" t="s">
        <v>1174</v>
      </c>
      <c r="B548" s="6">
        <v>45200</v>
      </c>
      <c r="C548" s="6" t="str">
        <f t="shared" si="24"/>
        <v>Oct</v>
      </c>
      <c r="D548" t="s">
        <v>1175</v>
      </c>
      <c r="E548" t="s">
        <v>19</v>
      </c>
      <c r="F548" t="s">
        <v>1146</v>
      </c>
      <c r="G548">
        <v>8</v>
      </c>
      <c r="H548" s="7">
        <v>279.97000000000003</v>
      </c>
      <c r="I548" t="s">
        <v>21</v>
      </c>
      <c r="J548" t="s">
        <v>19</v>
      </c>
      <c r="K548">
        <v>15</v>
      </c>
      <c r="L548" s="7">
        <f t="shared" si="25"/>
        <v>2239.7600000000002</v>
      </c>
      <c r="M548" s="7"/>
      <c r="O548">
        <f t="shared" si="26"/>
        <v>2</v>
      </c>
      <c r="Q548" t="s">
        <v>23</v>
      </c>
    </row>
    <row r="549" spans="1:17" x14ac:dyDescent="0.3">
      <c r="A549" t="s">
        <v>1176</v>
      </c>
      <c r="B549" s="6">
        <v>45231</v>
      </c>
      <c r="C549" s="6" t="str">
        <f t="shared" si="24"/>
        <v>Nov</v>
      </c>
      <c r="D549" t="s">
        <v>1177</v>
      </c>
      <c r="E549" t="s">
        <v>62</v>
      </c>
      <c r="F549" t="s">
        <v>732</v>
      </c>
      <c r="G549">
        <v>2</v>
      </c>
      <c r="H549" s="7">
        <v>294.04000000000002</v>
      </c>
      <c r="I549" t="s">
        <v>32</v>
      </c>
      <c r="J549" t="s">
        <v>42</v>
      </c>
      <c r="K549">
        <v>5</v>
      </c>
      <c r="L549" s="7">
        <f t="shared" si="25"/>
        <v>588.08000000000004</v>
      </c>
      <c r="M549" s="7"/>
      <c r="O549">
        <f t="shared" si="26"/>
        <v>2</v>
      </c>
      <c r="Q549" t="s">
        <v>33</v>
      </c>
    </row>
    <row r="550" spans="1:17" x14ac:dyDescent="0.3">
      <c r="A550" t="s">
        <v>1178</v>
      </c>
      <c r="B550" s="6">
        <v>45029</v>
      </c>
      <c r="C550" s="6" t="str">
        <f t="shared" si="24"/>
        <v>Apr</v>
      </c>
      <c r="D550" t="s">
        <v>1179</v>
      </c>
      <c r="E550" t="s">
        <v>19</v>
      </c>
      <c r="F550" t="s">
        <v>1180</v>
      </c>
      <c r="G550">
        <v>5</v>
      </c>
      <c r="H550" s="7">
        <v>107.46</v>
      </c>
      <c r="I550" t="s">
        <v>64</v>
      </c>
      <c r="J550" t="s">
        <v>28</v>
      </c>
      <c r="K550">
        <v>10</v>
      </c>
      <c r="L550" s="7">
        <f t="shared" si="25"/>
        <v>537.29999999999995</v>
      </c>
      <c r="M550" s="7"/>
      <c r="O550">
        <f t="shared" si="26"/>
        <v>2</v>
      </c>
      <c r="Q550" t="s">
        <v>65</v>
      </c>
    </row>
    <row r="551" spans="1:17" x14ac:dyDescent="0.3">
      <c r="A551" t="s">
        <v>1181</v>
      </c>
      <c r="B551" s="6">
        <v>45292</v>
      </c>
      <c r="C551" s="6" t="str">
        <f t="shared" si="24"/>
        <v>Jan</v>
      </c>
      <c r="D551" t="s">
        <v>686</v>
      </c>
      <c r="E551" t="s">
        <v>50</v>
      </c>
      <c r="F551" t="s">
        <v>1182</v>
      </c>
      <c r="G551">
        <v>5</v>
      </c>
      <c r="H551" s="7">
        <v>426.45</v>
      </c>
      <c r="I551" t="s">
        <v>21</v>
      </c>
      <c r="J551" t="s">
        <v>87</v>
      </c>
      <c r="K551">
        <v>0</v>
      </c>
      <c r="L551" s="7">
        <f t="shared" si="25"/>
        <v>2132.25</v>
      </c>
      <c r="M551" s="7"/>
      <c r="O551">
        <f t="shared" si="26"/>
        <v>2</v>
      </c>
      <c r="Q551" t="s">
        <v>23</v>
      </c>
    </row>
    <row r="552" spans="1:17" x14ac:dyDescent="0.3">
      <c r="A552" t="s">
        <v>1183</v>
      </c>
      <c r="B552" s="6">
        <v>45235</v>
      </c>
      <c r="C552" s="6" t="str">
        <f t="shared" si="24"/>
        <v>Nov</v>
      </c>
      <c r="D552" t="s">
        <v>1087</v>
      </c>
      <c r="E552" t="s">
        <v>31</v>
      </c>
      <c r="F552" t="s">
        <v>445</v>
      </c>
      <c r="G552">
        <v>4</v>
      </c>
      <c r="H552" s="7">
        <v>46.71</v>
      </c>
      <c r="I552" t="s">
        <v>32</v>
      </c>
      <c r="J552" t="s">
        <v>28</v>
      </c>
      <c r="K552">
        <v>15</v>
      </c>
      <c r="L552" s="7">
        <f t="shared" si="25"/>
        <v>186.84</v>
      </c>
      <c r="M552" s="7"/>
      <c r="O552">
        <f t="shared" si="26"/>
        <v>2</v>
      </c>
      <c r="Q552" t="s">
        <v>33</v>
      </c>
    </row>
    <row r="553" spans="1:17" x14ac:dyDescent="0.3">
      <c r="A553" t="s">
        <v>1184</v>
      </c>
      <c r="B553" s="6">
        <v>44998</v>
      </c>
      <c r="C553" s="6" t="str">
        <f t="shared" si="24"/>
        <v>Mar</v>
      </c>
      <c r="D553" t="s">
        <v>1185</v>
      </c>
      <c r="E553" t="s">
        <v>26</v>
      </c>
      <c r="F553" t="s">
        <v>939</v>
      </c>
      <c r="G553">
        <v>6</v>
      </c>
      <c r="H553" s="7">
        <v>181.27</v>
      </c>
      <c r="I553" t="s">
        <v>64</v>
      </c>
      <c r="J553" t="s">
        <v>19</v>
      </c>
      <c r="K553">
        <v>10</v>
      </c>
      <c r="L553" s="7">
        <f t="shared" si="25"/>
        <v>1087.6200000000001</v>
      </c>
      <c r="M553" s="7"/>
      <c r="O553">
        <f t="shared" si="26"/>
        <v>2</v>
      </c>
      <c r="Q553" t="s">
        <v>65</v>
      </c>
    </row>
    <row r="554" spans="1:17" x14ac:dyDescent="0.3">
      <c r="A554" t="s">
        <v>1186</v>
      </c>
      <c r="B554" s="6">
        <v>45217</v>
      </c>
      <c r="C554" s="6" t="str">
        <f t="shared" si="24"/>
        <v>Oct</v>
      </c>
      <c r="D554" t="s">
        <v>1187</v>
      </c>
      <c r="E554" t="s">
        <v>26</v>
      </c>
      <c r="F554" t="s">
        <v>538</v>
      </c>
      <c r="G554">
        <v>1</v>
      </c>
      <c r="H554" s="7">
        <v>341.79</v>
      </c>
      <c r="I554" t="s">
        <v>46</v>
      </c>
      <c r="J554" t="s">
        <v>42</v>
      </c>
      <c r="K554">
        <v>5</v>
      </c>
      <c r="L554" s="7">
        <f t="shared" si="25"/>
        <v>341.79</v>
      </c>
      <c r="M554" s="7"/>
      <c r="O554">
        <f t="shared" si="26"/>
        <v>2</v>
      </c>
      <c r="Q554" t="s">
        <v>47</v>
      </c>
    </row>
    <row r="555" spans="1:17" x14ac:dyDescent="0.3">
      <c r="A555" t="s">
        <v>1188</v>
      </c>
      <c r="B555" s="6">
        <v>45016</v>
      </c>
      <c r="C555" s="6" t="str">
        <f t="shared" si="24"/>
        <v>Mar</v>
      </c>
      <c r="D555" t="s">
        <v>302</v>
      </c>
      <c r="E555" t="s">
        <v>40</v>
      </c>
      <c r="F555" t="s">
        <v>708</v>
      </c>
      <c r="G555">
        <v>9</v>
      </c>
      <c r="H555" s="7">
        <v>140.69</v>
      </c>
      <c r="I555" t="s">
        <v>21</v>
      </c>
      <c r="J555" t="s">
        <v>22</v>
      </c>
      <c r="K555">
        <v>10</v>
      </c>
      <c r="L555" s="7">
        <f t="shared" si="25"/>
        <v>1266.21</v>
      </c>
      <c r="M555" s="7"/>
      <c r="O555">
        <f t="shared" si="26"/>
        <v>2</v>
      </c>
      <c r="Q555" t="s">
        <v>23</v>
      </c>
    </row>
    <row r="556" spans="1:17" x14ac:dyDescent="0.3">
      <c r="A556" t="s">
        <v>1189</v>
      </c>
      <c r="B556" s="6">
        <v>45079</v>
      </c>
      <c r="C556" s="6" t="str">
        <f t="shared" si="24"/>
        <v>Jun</v>
      </c>
      <c r="D556" t="s">
        <v>513</v>
      </c>
      <c r="E556" t="s">
        <v>50</v>
      </c>
      <c r="F556" t="s">
        <v>383</v>
      </c>
      <c r="G556">
        <v>1</v>
      </c>
      <c r="H556" s="7">
        <v>414.7</v>
      </c>
      <c r="I556" t="s">
        <v>103</v>
      </c>
      <c r="J556" t="s">
        <v>72</v>
      </c>
      <c r="K556">
        <v>5</v>
      </c>
      <c r="L556" s="7">
        <f t="shared" si="25"/>
        <v>414.7</v>
      </c>
      <c r="M556" s="7"/>
      <c r="O556">
        <f t="shared" si="26"/>
        <v>2</v>
      </c>
      <c r="Q556" t="s">
        <v>104</v>
      </c>
    </row>
    <row r="557" spans="1:17" x14ac:dyDescent="0.3">
      <c r="A557" t="s">
        <v>1190</v>
      </c>
      <c r="B557" s="6">
        <v>45262</v>
      </c>
      <c r="C557" s="6" t="str">
        <f t="shared" si="24"/>
        <v>Dec</v>
      </c>
      <c r="D557" t="s">
        <v>1191</v>
      </c>
      <c r="E557" t="s">
        <v>40</v>
      </c>
      <c r="F557" t="s">
        <v>224</v>
      </c>
      <c r="G557">
        <v>5</v>
      </c>
      <c r="H557" s="7">
        <v>371.23</v>
      </c>
      <c r="I557" t="s">
        <v>46</v>
      </c>
      <c r="J557" t="s">
        <v>22</v>
      </c>
      <c r="K557">
        <v>20</v>
      </c>
      <c r="L557" s="7">
        <f t="shared" si="25"/>
        <v>1856.15</v>
      </c>
      <c r="M557" s="7"/>
      <c r="O557">
        <f t="shared" si="26"/>
        <v>2</v>
      </c>
      <c r="Q557" t="s">
        <v>47</v>
      </c>
    </row>
    <row r="558" spans="1:17" x14ac:dyDescent="0.3">
      <c r="A558" t="s">
        <v>1192</v>
      </c>
      <c r="B558" s="6">
        <v>45016</v>
      </c>
      <c r="C558" s="6" t="str">
        <f t="shared" si="24"/>
        <v>Mar</v>
      </c>
      <c r="D558" t="s">
        <v>1193</v>
      </c>
      <c r="E558" t="s">
        <v>26</v>
      </c>
      <c r="F558" t="s">
        <v>1194</v>
      </c>
      <c r="G558">
        <v>4</v>
      </c>
      <c r="H558" s="7">
        <v>395.57</v>
      </c>
      <c r="I558" t="s">
        <v>32</v>
      </c>
      <c r="J558" t="s">
        <v>42</v>
      </c>
      <c r="K558">
        <v>15</v>
      </c>
      <c r="L558" s="7">
        <f t="shared" si="25"/>
        <v>1582.28</v>
      </c>
      <c r="M558" s="7"/>
      <c r="O558">
        <f t="shared" si="26"/>
        <v>2</v>
      </c>
      <c r="Q558" t="s">
        <v>33</v>
      </c>
    </row>
    <row r="559" spans="1:17" x14ac:dyDescent="0.3">
      <c r="A559" t="s">
        <v>1195</v>
      </c>
      <c r="B559" s="6">
        <v>44979</v>
      </c>
      <c r="C559" s="6" t="str">
        <f t="shared" si="24"/>
        <v>Feb</v>
      </c>
      <c r="D559" t="s">
        <v>755</v>
      </c>
      <c r="E559" t="s">
        <v>19</v>
      </c>
      <c r="F559" t="s">
        <v>84</v>
      </c>
      <c r="G559">
        <v>3</v>
      </c>
      <c r="H559" s="7">
        <v>63.96</v>
      </c>
      <c r="I559" t="s">
        <v>21</v>
      </c>
      <c r="J559" t="s">
        <v>22</v>
      </c>
      <c r="K559">
        <v>0</v>
      </c>
      <c r="L559" s="7">
        <f t="shared" si="25"/>
        <v>191.88</v>
      </c>
      <c r="M559" s="7"/>
      <c r="O559">
        <f t="shared" si="26"/>
        <v>2</v>
      </c>
      <c r="Q559" t="s">
        <v>23</v>
      </c>
    </row>
    <row r="560" spans="1:17" x14ac:dyDescent="0.3">
      <c r="A560" t="s">
        <v>1196</v>
      </c>
      <c r="B560" s="6">
        <v>44964</v>
      </c>
      <c r="C560" s="6" t="str">
        <f t="shared" si="24"/>
        <v>Feb</v>
      </c>
      <c r="D560" t="s">
        <v>809</v>
      </c>
      <c r="E560" t="s">
        <v>19</v>
      </c>
      <c r="F560" t="s">
        <v>693</v>
      </c>
      <c r="G560">
        <v>6</v>
      </c>
      <c r="H560" s="7">
        <v>74.569999999999993</v>
      </c>
      <c r="I560" t="s">
        <v>103</v>
      </c>
      <c r="J560" t="s">
        <v>22</v>
      </c>
      <c r="K560">
        <v>10</v>
      </c>
      <c r="L560" s="7">
        <f t="shared" si="25"/>
        <v>447.41999999999996</v>
      </c>
      <c r="M560" s="7"/>
      <c r="O560">
        <f t="shared" si="26"/>
        <v>2</v>
      </c>
      <c r="Q560" t="s">
        <v>104</v>
      </c>
    </row>
    <row r="561" spans="1:17" x14ac:dyDescent="0.3">
      <c r="A561" t="s">
        <v>1197</v>
      </c>
      <c r="B561" s="6">
        <v>45204</v>
      </c>
      <c r="C561" s="6" t="str">
        <f t="shared" si="24"/>
        <v>Oct</v>
      </c>
      <c r="D561" t="s">
        <v>245</v>
      </c>
      <c r="E561" t="s">
        <v>62</v>
      </c>
      <c r="F561" t="s">
        <v>1085</v>
      </c>
      <c r="G561">
        <v>2</v>
      </c>
      <c r="H561" s="7">
        <v>146.80000000000001</v>
      </c>
      <c r="I561" t="s">
        <v>46</v>
      </c>
      <c r="J561" t="s">
        <v>42</v>
      </c>
      <c r="K561">
        <v>5</v>
      </c>
      <c r="L561" s="7">
        <f t="shared" si="25"/>
        <v>293.60000000000002</v>
      </c>
      <c r="M561" s="7"/>
      <c r="O561">
        <f t="shared" si="26"/>
        <v>2</v>
      </c>
      <c r="Q561" t="s">
        <v>47</v>
      </c>
    </row>
    <row r="562" spans="1:17" x14ac:dyDescent="0.3">
      <c r="A562" t="s">
        <v>1198</v>
      </c>
      <c r="B562" s="6">
        <v>44993</v>
      </c>
      <c r="C562" s="6" t="str">
        <f t="shared" si="24"/>
        <v>Mar</v>
      </c>
      <c r="D562" t="s">
        <v>1199</v>
      </c>
      <c r="E562" t="s">
        <v>31</v>
      </c>
      <c r="F562" t="s">
        <v>84</v>
      </c>
      <c r="G562">
        <v>3</v>
      </c>
      <c r="H562" s="7">
        <v>261.45</v>
      </c>
      <c r="I562" t="s">
        <v>32</v>
      </c>
      <c r="J562" t="s">
        <v>87</v>
      </c>
      <c r="K562">
        <v>15</v>
      </c>
      <c r="L562" s="7">
        <f t="shared" si="25"/>
        <v>784.34999999999991</v>
      </c>
      <c r="M562" s="7"/>
      <c r="O562">
        <f t="shared" si="26"/>
        <v>2</v>
      </c>
      <c r="Q562" t="s">
        <v>33</v>
      </c>
    </row>
    <row r="563" spans="1:17" x14ac:dyDescent="0.3">
      <c r="A563" t="s">
        <v>1200</v>
      </c>
      <c r="B563" s="6">
        <v>45126</v>
      </c>
      <c r="C563" s="6" t="str">
        <f t="shared" si="24"/>
        <v>Jul</v>
      </c>
      <c r="D563" t="s">
        <v>1201</v>
      </c>
      <c r="E563" t="s">
        <v>26</v>
      </c>
      <c r="F563" t="s">
        <v>193</v>
      </c>
      <c r="G563">
        <v>5</v>
      </c>
      <c r="H563" s="7">
        <v>375.27</v>
      </c>
      <c r="I563" t="s">
        <v>46</v>
      </c>
      <c r="J563" t="s">
        <v>22</v>
      </c>
      <c r="K563">
        <v>5</v>
      </c>
      <c r="L563" s="7">
        <f t="shared" si="25"/>
        <v>1876.35</v>
      </c>
      <c r="M563" s="7"/>
      <c r="O563">
        <f t="shared" si="26"/>
        <v>2</v>
      </c>
      <c r="Q563" t="s">
        <v>47</v>
      </c>
    </row>
    <row r="564" spans="1:17" x14ac:dyDescent="0.3">
      <c r="A564" t="s">
        <v>1202</v>
      </c>
      <c r="B564" s="6">
        <v>45135</v>
      </c>
      <c r="C564" s="6" t="str">
        <f t="shared" si="24"/>
        <v>Jul</v>
      </c>
      <c r="D564" t="s">
        <v>1203</v>
      </c>
      <c r="E564" t="s">
        <v>40</v>
      </c>
      <c r="F564" t="s">
        <v>369</v>
      </c>
      <c r="G564">
        <v>9</v>
      </c>
      <c r="H564" s="7">
        <v>419.08</v>
      </c>
      <c r="I564" t="s">
        <v>32</v>
      </c>
      <c r="J564" t="s">
        <v>87</v>
      </c>
      <c r="K564">
        <v>15</v>
      </c>
      <c r="L564" s="7">
        <f t="shared" si="25"/>
        <v>3771.72</v>
      </c>
      <c r="M564" s="7"/>
      <c r="O564">
        <f t="shared" si="26"/>
        <v>5</v>
      </c>
      <c r="Q564" t="s">
        <v>33</v>
      </c>
    </row>
    <row r="565" spans="1:17" x14ac:dyDescent="0.3">
      <c r="A565" t="s">
        <v>1204</v>
      </c>
      <c r="B565" s="6">
        <v>45030</v>
      </c>
      <c r="C565" s="6" t="str">
        <f t="shared" si="24"/>
        <v>Apr</v>
      </c>
      <c r="D565" t="s">
        <v>1205</v>
      </c>
      <c r="E565" t="s">
        <v>31</v>
      </c>
      <c r="F565" t="s">
        <v>1206</v>
      </c>
      <c r="G565">
        <v>2</v>
      </c>
      <c r="H565" s="7">
        <v>353.65</v>
      </c>
      <c r="I565" t="s">
        <v>19</v>
      </c>
      <c r="J565" t="s">
        <v>19</v>
      </c>
      <c r="K565">
        <v>20</v>
      </c>
      <c r="L565" s="7">
        <f t="shared" si="25"/>
        <v>707.3</v>
      </c>
      <c r="M565" s="7"/>
      <c r="O565">
        <f t="shared" si="26"/>
        <v>2</v>
      </c>
      <c r="Q565" t="s">
        <v>19</v>
      </c>
    </row>
    <row r="566" spans="1:17" x14ac:dyDescent="0.3">
      <c r="A566" t="s">
        <v>1207</v>
      </c>
      <c r="B566" s="6">
        <v>45207</v>
      </c>
      <c r="C566" s="6" t="str">
        <f t="shared" si="24"/>
        <v>Oct</v>
      </c>
      <c r="D566" t="s">
        <v>1201</v>
      </c>
      <c r="E566" t="s">
        <v>36</v>
      </c>
      <c r="F566" t="s">
        <v>341</v>
      </c>
      <c r="G566">
        <v>8</v>
      </c>
      <c r="H566" s="7">
        <v>464.66</v>
      </c>
      <c r="I566" t="s">
        <v>32</v>
      </c>
      <c r="J566" t="s">
        <v>87</v>
      </c>
      <c r="K566">
        <v>5</v>
      </c>
      <c r="L566" s="7">
        <f t="shared" si="25"/>
        <v>3717.28</v>
      </c>
      <c r="M566" s="7"/>
      <c r="O566">
        <f t="shared" si="26"/>
        <v>5</v>
      </c>
      <c r="Q566" t="s">
        <v>33</v>
      </c>
    </row>
    <row r="567" spans="1:17" x14ac:dyDescent="0.3">
      <c r="A567" t="s">
        <v>1208</v>
      </c>
      <c r="B567" s="6">
        <v>44942</v>
      </c>
      <c r="C567" s="6" t="str">
        <f t="shared" si="24"/>
        <v>Jan</v>
      </c>
      <c r="D567" t="s">
        <v>1209</v>
      </c>
      <c r="E567" t="s">
        <v>31</v>
      </c>
      <c r="F567" t="s">
        <v>176</v>
      </c>
      <c r="G567">
        <v>2</v>
      </c>
      <c r="H567" s="7">
        <v>370.68</v>
      </c>
      <c r="I567" t="s">
        <v>21</v>
      </c>
      <c r="J567" t="s">
        <v>87</v>
      </c>
      <c r="K567">
        <v>20</v>
      </c>
      <c r="L567" s="7">
        <f t="shared" si="25"/>
        <v>741.36</v>
      </c>
      <c r="M567" s="7"/>
      <c r="O567">
        <f t="shared" si="26"/>
        <v>2</v>
      </c>
      <c r="Q567" t="s">
        <v>23</v>
      </c>
    </row>
    <row r="568" spans="1:17" x14ac:dyDescent="0.3">
      <c r="A568" t="s">
        <v>1210</v>
      </c>
      <c r="B568" s="6">
        <v>45051</v>
      </c>
      <c r="C568" s="6" t="str">
        <f t="shared" si="24"/>
        <v>May</v>
      </c>
      <c r="D568" t="s">
        <v>977</v>
      </c>
      <c r="E568" t="s">
        <v>19</v>
      </c>
      <c r="F568" t="s">
        <v>619</v>
      </c>
      <c r="G568">
        <v>5</v>
      </c>
      <c r="H568" s="7">
        <v>156.6</v>
      </c>
      <c r="I568" t="s">
        <v>32</v>
      </c>
      <c r="J568" t="s">
        <v>28</v>
      </c>
      <c r="K568">
        <v>10</v>
      </c>
      <c r="L568" s="7">
        <f t="shared" si="25"/>
        <v>783</v>
      </c>
      <c r="M568" s="7"/>
      <c r="O568">
        <f t="shared" si="26"/>
        <v>2</v>
      </c>
      <c r="Q568" t="s">
        <v>33</v>
      </c>
    </row>
    <row r="569" spans="1:17" x14ac:dyDescent="0.3">
      <c r="A569" t="s">
        <v>1211</v>
      </c>
      <c r="B569" s="6">
        <v>44945</v>
      </c>
      <c r="C569" s="6" t="str">
        <f t="shared" si="24"/>
        <v>Jan</v>
      </c>
      <c r="D569" t="s">
        <v>1212</v>
      </c>
      <c r="E569" t="s">
        <v>19</v>
      </c>
      <c r="F569" t="s">
        <v>284</v>
      </c>
      <c r="G569">
        <v>7</v>
      </c>
      <c r="H569" s="7">
        <v>136.22</v>
      </c>
      <c r="I569" t="s">
        <v>103</v>
      </c>
      <c r="J569" t="s">
        <v>87</v>
      </c>
      <c r="K569">
        <v>10</v>
      </c>
      <c r="L569" s="7">
        <f t="shared" si="25"/>
        <v>953.54</v>
      </c>
      <c r="M569" s="7"/>
      <c r="O569">
        <f t="shared" si="26"/>
        <v>2</v>
      </c>
      <c r="Q569" t="s">
        <v>104</v>
      </c>
    </row>
    <row r="570" spans="1:17" x14ac:dyDescent="0.3">
      <c r="A570" t="s">
        <v>1213</v>
      </c>
      <c r="B570" s="6">
        <v>45136</v>
      </c>
      <c r="C570" s="6" t="str">
        <f t="shared" si="24"/>
        <v>Jul</v>
      </c>
      <c r="D570" t="s">
        <v>228</v>
      </c>
      <c r="E570" t="s">
        <v>50</v>
      </c>
      <c r="F570" t="s">
        <v>627</v>
      </c>
      <c r="G570">
        <v>8</v>
      </c>
      <c r="H570" s="7">
        <v>349.62</v>
      </c>
      <c r="I570" t="s">
        <v>64</v>
      </c>
      <c r="J570" t="s">
        <v>19</v>
      </c>
      <c r="K570">
        <v>10</v>
      </c>
      <c r="L570" s="7">
        <f t="shared" si="25"/>
        <v>2796.96</v>
      </c>
      <c r="M570" s="7"/>
      <c r="O570">
        <f t="shared" si="26"/>
        <v>3</v>
      </c>
      <c r="Q570" t="s">
        <v>65</v>
      </c>
    </row>
    <row r="571" spans="1:17" x14ac:dyDescent="0.3">
      <c r="A571" t="s">
        <v>1214</v>
      </c>
      <c r="B571" s="6">
        <v>45052</v>
      </c>
      <c r="C571" s="6" t="str">
        <f t="shared" si="24"/>
        <v>May</v>
      </c>
      <c r="D571" t="s">
        <v>159</v>
      </c>
      <c r="E571" t="s">
        <v>36</v>
      </c>
      <c r="F571" t="s">
        <v>480</v>
      </c>
      <c r="G571">
        <v>1</v>
      </c>
      <c r="H571" s="7">
        <v>100.47</v>
      </c>
      <c r="I571" t="s">
        <v>64</v>
      </c>
      <c r="J571" t="s">
        <v>87</v>
      </c>
      <c r="K571">
        <v>20</v>
      </c>
      <c r="L571" s="7">
        <f t="shared" si="25"/>
        <v>100.47</v>
      </c>
      <c r="M571" s="7"/>
      <c r="O571">
        <f t="shared" si="26"/>
        <v>2</v>
      </c>
      <c r="Q571" t="s">
        <v>65</v>
      </c>
    </row>
    <row r="572" spans="1:17" x14ac:dyDescent="0.3">
      <c r="A572" t="s">
        <v>1215</v>
      </c>
      <c r="B572" s="6">
        <v>44979</v>
      </c>
      <c r="C572" s="6" t="str">
        <f t="shared" si="24"/>
        <v>Feb</v>
      </c>
      <c r="D572" t="s">
        <v>1216</v>
      </c>
      <c r="E572" t="s">
        <v>31</v>
      </c>
      <c r="F572" t="s">
        <v>237</v>
      </c>
      <c r="G572">
        <v>6</v>
      </c>
      <c r="H572" s="7">
        <v>50.89</v>
      </c>
      <c r="I572" t="s">
        <v>21</v>
      </c>
      <c r="J572" t="s">
        <v>87</v>
      </c>
      <c r="K572">
        <v>15</v>
      </c>
      <c r="L572" s="7">
        <f t="shared" si="25"/>
        <v>305.34000000000003</v>
      </c>
      <c r="M572" s="7"/>
      <c r="O572">
        <f t="shared" si="26"/>
        <v>2</v>
      </c>
      <c r="Q572" t="s">
        <v>23</v>
      </c>
    </row>
    <row r="573" spans="1:17" x14ac:dyDescent="0.3">
      <c r="A573" t="s">
        <v>1217</v>
      </c>
      <c r="B573" s="6">
        <v>44968</v>
      </c>
      <c r="C573" s="6" t="str">
        <f t="shared" si="24"/>
        <v>Feb</v>
      </c>
      <c r="D573" t="s">
        <v>164</v>
      </c>
      <c r="E573" t="s">
        <v>31</v>
      </c>
      <c r="F573" t="s">
        <v>1038</v>
      </c>
      <c r="G573">
        <v>1</v>
      </c>
      <c r="H573" s="7">
        <v>268.45</v>
      </c>
      <c r="I573" t="s">
        <v>32</v>
      </c>
      <c r="J573" t="s">
        <v>42</v>
      </c>
      <c r="K573">
        <v>10</v>
      </c>
      <c r="L573" s="7">
        <f t="shared" si="25"/>
        <v>268.45</v>
      </c>
      <c r="M573" s="7"/>
      <c r="O573">
        <f t="shared" si="26"/>
        <v>2</v>
      </c>
      <c r="Q573" t="s">
        <v>33</v>
      </c>
    </row>
    <row r="574" spans="1:17" x14ac:dyDescent="0.3">
      <c r="A574" t="s">
        <v>1218</v>
      </c>
      <c r="B574" s="6">
        <v>45213</v>
      </c>
      <c r="C574" s="6" t="str">
        <f t="shared" si="24"/>
        <v>Oct</v>
      </c>
      <c r="D574" t="s">
        <v>1219</v>
      </c>
      <c r="E574" t="s">
        <v>19</v>
      </c>
      <c r="F574" t="s">
        <v>687</v>
      </c>
      <c r="G574">
        <v>2</v>
      </c>
      <c r="H574" s="7">
        <v>411.71</v>
      </c>
      <c r="I574" t="s">
        <v>46</v>
      </c>
      <c r="J574" t="s">
        <v>28</v>
      </c>
      <c r="K574">
        <v>5</v>
      </c>
      <c r="L574" s="7">
        <f t="shared" si="25"/>
        <v>823.42</v>
      </c>
      <c r="M574" s="7"/>
      <c r="O574">
        <f t="shared" si="26"/>
        <v>2</v>
      </c>
      <c r="Q574" t="s">
        <v>47</v>
      </c>
    </row>
    <row r="575" spans="1:17" x14ac:dyDescent="0.3">
      <c r="A575" t="s">
        <v>1220</v>
      </c>
      <c r="B575" s="6">
        <v>45282</v>
      </c>
      <c r="C575" s="6" t="str">
        <f t="shared" si="24"/>
        <v>Dec</v>
      </c>
      <c r="D575" t="s">
        <v>1221</v>
      </c>
      <c r="E575" t="s">
        <v>19</v>
      </c>
      <c r="F575" t="s">
        <v>190</v>
      </c>
      <c r="G575">
        <v>1</v>
      </c>
      <c r="H575" s="7">
        <v>55.18</v>
      </c>
      <c r="I575" t="s">
        <v>32</v>
      </c>
      <c r="J575" t="s">
        <v>28</v>
      </c>
      <c r="K575">
        <v>5</v>
      </c>
      <c r="L575" s="7">
        <f t="shared" si="25"/>
        <v>55.18</v>
      </c>
      <c r="M575" s="7"/>
      <c r="O575">
        <f t="shared" si="26"/>
        <v>2</v>
      </c>
      <c r="Q575" t="s">
        <v>33</v>
      </c>
    </row>
    <row r="576" spans="1:17" x14ac:dyDescent="0.3">
      <c r="A576" t="s">
        <v>1222</v>
      </c>
      <c r="B576" s="6">
        <v>44975</v>
      </c>
      <c r="C576" s="6" t="str">
        <f t="shared" si="24"/>
        <v>Feb</v>
      </c>
      <c r="D576" t="s">
        <v>405</v>
      </c>
      <c r="E576" t="s">
        <v>19</v>
      </c>
      <c r="F576" t="s">
        <v>1142</v>
      </c>
      <c r="G576">
        <v>5</v>
      </c>
      <c r="H576" s="7">
        <v>396.99</v>
      </c>
      <c r="I576" t="s">
        <v>19</v>
      </c>
      <c r="J576" t="s">
        <v>72</v>
      </c>
      <c r="K576">
        <v>15</v>
      </c>
      <c r="L576" s="7">
        <f t="shared" si="25"/>
        <v>1984.95</v>
      </c>
      <c r="M576" s="7"/>
      <c r="O576">
        <f t="shared" si="26"/>
        <v>2</v>
      </c>
      <c r="Q576" t="s">
        <v>19</v>
      </c>
    </row>
    <row r="577" spans="1:17" x14ac:dyDescent="0.3">
      <c r="A577" t="s">
        <v>1223</v>
      </c>
      <c r="B577" s="6">
        <v>44948</v>
      </c>
      <c r="C577" s="6" t="str">
        <f t="shared" si="24"/>
        <v>Jan</v>
      </c>
      <c r="D577" t="s">
        <v>740</v>
      </c>
      <c r="E577" t="s">
        <v>19</v>
      </c>
      <c r="F577" t="s">
        <v>71</v>
      </c>
      <c r="G577">
        <v>9</v>
      </c>
      <c r="H577" s="7">
        <v>406.73</v>
      </c>
      <c r="I577" t="s">
        <v>46</v>
      </c>
      <c r="J577" t="s">
        <v>42</v>
      </c>
      <c r="K577">
        <v>0</v>
      </c>
      <c r="L577" s="7">
        <f t="shared" si="25"/>
        <v>3660.57</v>
      </c>
      <c r="M577" s="7"/>
      <c r="O577">
        <f t="shared" si="26"/>
        <v>5</v>
      </c>
      <c r="Q577" t="s">
        <v>47</v>
      </c>
    </row>
    <row r="578" spans="1:17" x14ac:dyDescent="0.3">
      <c r="A578" t="s">
        <v>1224</v>
      </c>
      <c r="B578" s="6">
        <v>45092</v>
      </c>
      <c r="C578" s="6" t="str">
        <f t="shared" si="24"/>
        <v>Jun</v>
      </c>
      <c r="D578" t="s">
        <v>1225</v>
      </c>
      <c r="E578" t="s">
        <v>50</v>
      </c>
      <c r="F578" t="s">
        <v>237</v>
      </c>
      <c r="G578">
        <v>6</v>
      </c>
      <c r="H578" s="7">
        <v>243.73</v>
      </c>
      <c r="I578" t="s">
        <v>103</v>
      </c>
      <c r="J578" t="s">
        <v>19</v>
      </c>
      <c r="K578">
        <v>0</v>
      </c>
      <c r="L578" s="7">
        <f t="shared" si="25"/>
        <v>1462.3799999999999</v>
      </c>
      <c r="M578" s="7"/>
      <c r="O578">
        <f t="shared" si="26"/>
        <v>2</v>
      </c>
      <c r="Q578" t="s">
        <v>104</v>
      </c>
    </row>
    <row r="579" spans="1:17" x14ac:dyDescent="0.3">
      <c r="A579" t="s">
        <v>1226</v>
      </c>
      <c r="B579" s="6">
        <v>45193</v>
      </c>
      <c r="C579" s="6" t="str">
        <f t="shared" ref="C579:C642" si="27">TEXT(B579,"MMM")</f>
        <v>Sep</v>
      </c>
      <c r="D579" t="s">
        <v>1060</v>
      </c>
      <c r="E579" t="s">
        <v>19</v>
      </c>
      <c r="F579" t="s">
        <v>409</v>
      </c>
      <c r="G579">
        <v>1</v>
      </c>
      <c r="H579" s="7">
        <v>33.369999999999997</v>
      </c>
      <c r="I579" t="s">
        <v>46</v>
      </c>
      <c r="J579" t="s">
        <v>87</v>
      </c>
      <c r="K579">
        <v>5</v>
      </c>
      <c r="L579" s="7">
        <f t="shared" ref="L579:L642" si="28">G579*H579</f>
        <v>33.369999999999997</v>
      </c>
      <c r="M579" s="7"/>
      <c r="O579">
        <f t="shared" si="26"/>
        <v>2</v>
      </c>
      <c r="Q579" t="s">
        <v>47</v>
      </c>
    </row>
    <row r="580" spans="1:17" x14ac:dyDescent="0.3">
      <c r="A580" t="s">
        <v>1227</v>
      </c>
      <c r="B580" s="6">
        <v>45082</v>
      </c>
      <c r="C580" s="6" t="str">
        <f t="shared" si="27"/>
        <v>Jun</v>
      </c>
      <c r="D580" t="s">
        <v>695</v>
      </c>
      <c r="E580" t="s">
        <v>26</v>
      </c>
      <c r="F580" t="s">
        <v>165</v>
      </c>
      <c r="G580">
        <v>1</v>
      </c>
      <c r="H580" s="7">
        <v>91.42</v>
      </c>
      <c r="I580" t="s">
        <v>19</v>
      </c>
      <c r="J580" t="s">
        <v>22</v>
      </c>
      <c r="K580">
        <v>15</v>
      </c>
      <c r="L580" s="7">
        <f t="shared" si="28"/>
        <v>91.42</v>
      </c>
      <c r="M580" s="7"/>
      <c r="O580">
        <f t="shared" ref="O580:O643" si="29">IF(L580&gt;3500,5,IF(L580&gt;3000,4,IF(L580&gt;2500,3,IF(L580&gt;2000,2,IF(L580&gt;1000,2,2)))))</f>
        <v>2</v>
      </c>
      <c r="Q580" t="s">
        <v>19</v>
      </c>
    </row>
    <row r="581" spans="1:17" x14ac:dyDescent="0.3">
      <c r="A581" t="s">
        <v>1228</v>
      </c>
      <c r="B581" s="6">
        <v>45274</v>
      </c>
      <c r="C581" s="6" t="str">
        <f t="shared" si="27"/>
        <v>Dec</v>
      </c>
      <c r="D581" t="s">
        <v>1229</v>
      </c>
      <c r="E581" t="s">
        <v>19</v>
      </c>
      <c r="F581" t="s">
        <v>403</v>
      </c>
      <c r="G581">
        <v>2</v>
      </c>
      <c r="H581" s="7">
        <v>355.18</v>
      </c>
      <c r="I581" t="s">
        <v>46</v>
      </c>
      <c r="J581" t="s">
        <v>28</v>
      </c>
      <c r="K581">
        <v>0</v>
      </c>
      <c r="L581" s="7">
        <f t="shared" si="28"/>
        <v>710.36</v>
      </c>
      <c r="M581" s="7"/>
      <c r="O581">
        <f t="shared" si="29"/>
        <v>2</v>
      </c>
      <c r="Q581" t="s">
        <v>47</v>
      </c>
    </row>
    <row r="582" spans="1:17" x14ac:dyDescent="0.3">
      <c r="A582" t="s">
        <v>1230</v>
      </c>
      <c r="B582" s="6">
        <v>45214</v>
      </c>
      <c r="C582" s="6" t="str">
        <f t="shared" si="27"/>
        <v>Oct</v>
      </c>
      <c r="D582" t="s">
        <v>1231</v>
      </c>
      <c r="E582" t="s">
        <v>26</v>
      </c>
      <c r="F582" t="s">
        <v>116</v>
      </c>
      <c r="G582">
        <v>9</v>
      </c>
      <c r="H582" s="7">
        <v>357.33</v>
      </c>
      <c r="I582" t="s">
        <v>103</v>
      </c>
      <c r="J582" t="s">
        <v>72</v>
      </c>
      <c r="K582">
        <v>20</v>
      </c>
      <c r="L582" s="7">
        <f t="shared" si="28"/>
        <v>3215.97</v>
      </c>
      <c r="M582" s="7"/>
      <c r="O582">
        <f t="shared" si="29"/>
        <v>4</v>
      </c>
      <c r="Q582" t="s">
        <v>104</v>
      </c>
    </row>
    <row r="583" spans="1:17" x14ac:dyDescent="0.3">
      <c r="A583" t="s">
        <v>1232</v>
      </c>
      <c r="B583" s="6">
        <v>45282</v>
      </c>
      <c r="C583" s="6" t="str">
        <f t="shared" si="27"/>
        <v>Dec</v>
      </c>
      <c r="D583" t="s">
        <v>1067</v>
      </c>
      <c r="E583" t="s">
        <v>31</v>
      </c>
      <c r="F583" t="s">
        <v>706</v>
      </c>
      <c r="G583">
        <v>3</v>
      </c>
      <c r="H583" s="7">
        <v>449.69</v>
      </c>
      <c r="I583" t="s">
        <v>46</v>
      </c>
      <c r="J583" t="s">
        <v>42</v>
      </c>
      <c r="K583">
        <v>5</v>
      </c>
      <c r="L583" s="7">
        <f t="shared" si="28"/>
        <v>1349.07</v>
      </c>
      <c r="M583" s="7"/>
      <c r="O583">
        <f t="shared" si="29"/>
        <v>2</v>
      </c>
      <c r="Q583" t="s">
        <v>47</v>
      </c>
    </row>
    <row r="584" spans="1:17" x14ac:dyDescent="0.3">
      <c r="A584" t="s">
        <v>1233</v>
      </c>
      <c r="B584" s="6">
        <v>44958</v>
      </c>
      <c r="C584" s="6" t="str">
        <f t="shared" si="27"/>
        <v>Feb</v>
      </c>
      <c r="D584" t="s">
        <v>530</v>
      </c>
      <c r="E584" t="s">
        <v>31</v>
      </c>
      <c r="F584" t="s">
        <v>646</v>
      </c>
      <c r="G584">
        <v>1</v>
      </c>
      <c r="H584" s="7">
        <v>293.43</v>
      </c>
      <c r="I584" t="s">
        <v>46</v>
      </c>
      <c r="J584" t="s">
        <v>22</v>
      </c>
      <c r="K584">
        <v>10</v>
      </c>
      <c r="L584" s="7">
        <f t="shared" si="28"/>
        <v>293.43</v>
      </c>
      <c r="M584" s="7"/>
      <c r="O584">
        <f t="shared" si="29"/>
        <v>2</v>
      </c>
      <c r="Q584" t="s">
        <v>47</v>
      </c>
    </row>
    <row r="585" spans="1:17" x14ac:dyDescent="0.3">
      <c r="A585" t="s">
        <v>1234</v>
      </c>
      <c r="B585" s="6">
        <v>45193</v>
      </c>
      <c r="C585" s="6" t="str">
        <f t="shared" si="27"/>
        <v>Sep</v>
      </c>
      <c r="D585" t="s">
        <v>788</v>
      </c>
      <c r="E585" t="s">
        <v>19</v>
      </c>
      <c r="F585" t="s">
        <v>398</v>
      </c>
      <c r="G585">
        <v>5</v>
      </c>
      <c r="H585" s="7">
        <v>66.430000000000007</v>
      </c>
      <c r="I585" t="s">
        <v>103</v>
      </c>
      <c r="J585" t="s">
        <v>19</v>
      </c>
      <c r="K585">
        <v>20</v>
      </c>
      <c r="L585" s="7">
        <f t="shared" si="28"/>
        <v>332.15000000000003</v>
      </c>
      <c r="M585" s="7"/>
      <c r="O585">
        <f t="shared" si="29"/>
        <v>2</v>
      </c>
      <c r="Q585" t="s">
        <v>104</v>
      </c>
    </row>
    <row r="586" spans="1:17" x14ac:dyDescent="0.3">
      <c r="A586" t="s">
        <v>1235</v>
      </c>
      <c r="B586" s="6">
        <v>45042</v>
      </c>
      <c r="C586" s="6" t="str">
        <f t="shared" si="27"/>
        <v>Apr</v>
      </c>
      <c r="D586" t="s">
        <v>1236</v>
      </c>
      <c r="E586" t="s">
        <v>31</v>
      </c>
      <c r="F586" t="s">
        <v>1237</v>
      </c>
      <c r="G586">
        <v>7</v>
      </c>
      <c r="H586" s="7">
        <v>65.099999999999994</v>
      </c>
      <c r="I586" t="s">
        <v>64</v>
      </c>
      <c r="J586" t="s">
        <v>42</v>
      </c>
      <c r="K586">
        <v>15</v>
      </c>
      <c r="L586" s="7">
        <f t="shared" si="28"/>
        <v>455.69999999999993</v>
      </c>
      <c r="M586" s="7"/>
      <c r="O586">
        <f t="shared" si="29"/>
        <v>2</v>
      </c>
      <c r="Q586" t="s">
        <v>65</v>
      </c>
    </row>
    <row r="587" spans="1:17" x14ac:dyDescent="0.3">
      <c r="A587" t="s">
        <v>1238</v>
      </c>
      <c r="B587" s="6">
        <v>45177</v>
      </c>
      <c r="C587" s="6" t="str">
        <f t="shared" si="27"/>
        <v>Sep</v>
      </c>
      <c r="D587" t="s">
        <v>848</v>
      </c>
      <c r="E587" t="s">
        <v>62</v>
      </c>
      <c r="F587" t="s">
        <v>356</v>
      </c>
      <c r="G587">
        <v>6</v>
      </c>
      <c r="H587" s="7">
        <v>361.96</v>
      </c>
      <c r="I587" t="s">
        <v>46</v>
      </c>
      <c r="J587" t="s">
        <v>72</v>
      </c>
      <c r="K587">
        <v>10</v>
      </c>
      <c r="L587" s="7">
        <f t="shared" si="28"/>
        <v>2171.7599999999998</v>
      </c>
      <c r="M587" s="7"/>
      <c r="O587">
        <f t="shared" si="29"/>
        <v>2</v>
      </c>
      <c r="Q587" t="s">
        <v>47</v>
      </c>
    </row>
    <row r="588" spans="1:17" x14ac:dyDescent="0.3">
      <c r="A588" t="s">
        <v>1239</v>
      </c>
      <c r="B588" s="6">
        <v>45208</v>
      </c>
      <c r="C588" s="6" t="str">
        <f t="shared" si="27"/>
        <v>Oct</v>
      </c>
      <c r="D588" t="s">
        <v>1240</v>
      </c>
      <c r="E588" t="s">
        <v>31</v>
      </c>
      <c r="F588" t="s">
        <v>445</v>
      </c>
      <c r="G588">
        <v>1</v>
      </c>
      <c r="H588" s="7">
        <v>95.97</v>
      </c>
      <c r="I588" t="s">
        <v>103</v>
      </c>
      <c r="J588" t="s">
        <v>28</v>
      </c>
      <c r="K588">
        <v>20</v>
      </c>
      <c r="L588" s="7">
        <f t="shared" si="28"/>
        <v>95.97</v>
      </c>
      <c r="M588" s="7"/>
      <c r="O588">
        <f t="shared" si="29"/>
        <v>2</v>
      </c>
      <c r="Q588" t="s">
        <v>104</v>
      </c>
    </row>
    <row r="589" spans="1:17" x14ac:dyDescent="0.3">
      <c r="A589" t="s">
        <v>1241</v>
      </c>
      <c r="B589" s="6">
        <v>45049</v>
      </c>
      <c r="C589" s="6" t="str">
        <f t="shared" si="27"/>
        <v>May</v>
      </c>
      <c r="D589" t="s">
        <v>1242</v>
      </c>
      <c r="E589" t="s">
        <v>26</v>
      </c>
      <c r="F589" t="s">
        <v>833</v>
      </c>
      <c r="G589">
        <v>5</v>
      </c>
      <c r="H589" s="7">
        <v>167.55</v>
      </c>
      <c r="I589" t="s">
        <v>21</v>
      </c>
      <c r="J589" t="s">
        <v>28</v>
      </c>
      <c r="K589">
        <v>0</v>
      </c>
      <c r="L589" s="7">
        <f t="shared" si="28"/>
        <v>837.75</v>
      </c>
      <c r="M589" s="7"/>
      <c r="O589">
        <f t="shared" si="29"/>
        <v>2</v>
      </c>
      <c r="Q589" t="s">
        <v>23</v>
      </c>
    </row>
    <row r="590" spans="1:17" x14ac:dyDescent="0.3">
      <c r="A590" t="s">
        <v>1243</v>
      </c>
      <c r="B590" s="6">
        <v>44933</v>
      </c>
      <c r="C590" s="6" t="str">
        <f t="shared" si="27"/>
        <v>Jan</v>
      </c>
      <c r="D590" t="s">
        <v>1015</v>
      </c>
      <c r="E590" t="s">
        <v>26</v>
      </c>
      <c r="F590" t="s">
        <v>415</v>
      </c>
      <c r="G590">
        <v>5</v>
      </c>
      <c r="H590" s="7">
        <v>246.17</v>
      </c>
      <c r="I590" t="s">
        <v>21</v>
      </c>
      <c r="J590" t="s">
        <v>72</v>
      </c>
      <c r="K590">
        <v>0</v>
      </c>
      <c r="L590" s="7">
        <f t="shared" si="28"/>
        <v>1230.8499999999999</v>
      </c>
      <c r="M590" s="7"/>
      <c r="O590">
        <f t="shared" si="29"/>
        <v>2</v>
      </c>
      <c r="Q590" t="s">
        <v>23</v>
      </c>
    </row>
    <row r="591" spans="1:17" x14ac:dyDescent="0.3">
      <c r="A591" t="s">
        <v>1244</v>
      </c>
      <c r="B591" s="6">
        <v>44931</v>
      </c>
      <c r="C591" s="6" t="str">
        <f t="shared" si="27"/>
        <v>Jan</v>
      </c>
      <c r="D591" t="s">
        <v>1245</v>
      </c>
      <c r="E591" t="s">
        <v>50</v>
      </c>
      <c r="F591" t="s">
        <v>90</v>
      </c>
      <c r="G591">
        <v>6</v>
      </c>
      <c r="H591" s="7">
        <v>17.260000000000002</v>
      </c>
      <c r="I591" t="s">
        <v>21</v>
      </c>
      <c r="J591" t="s">
        <v>28</v>
      </c>
      <c r="K591">
        <v>10</v>
      </c>
      <c r="L591" s="7">
        <f t="shared" si="28"/>
        <v>103.56</v>
      </c>
      <c r="M591" s="7"/>
      <c r="O591">
        <f t="shared" si="29"/>
        <v>2</v>
      </c>
      <c r="Q591" t="s">
        <v>23</v>
      </c>
    </row>
    <row r="592" spans="1:17" x14ac:dyDescent="0.3">
      <c r="A592" t="s">
        <v>1246</v>
      </c>
      <c r="B592" s="6">
        <v>45118</v>
      </c>
      <c r="C592" s="6" t="str">
        <f t="shared" si="27"/>
        <v>Jul</v>
      </c>
      <c r="D592" t="s">
        <v>1247</v>
      </c>
      <c r="E592" t="s">
        <v>40</v>
      </c>
      <c r="F592" t="s">
        <v>125</v>
      </c>
      <c r="G592">
        <v>3</v>
      </c>
      <c r="H592" s="7">
        <v>128.16999999999999</v>
      </c>
      <c r="I592" t="s">
        <v>19</v>
      </c>
      <c r="J592" t="s">
        <v>87</v>
      </c>
      <c r="K592">
        <v>10</v>
      </c>
      <c r="L592" s="7">
        <f t="shared" si="28"/>
        <v>384.51</v>
      </c>
      <c r="M592" s="7"/>
      <c r="O592">
        <f t="shared" si="29"/>
        <v>2</v>
      </c>
      <c r="Q592" t="s">
        <v>19</v>
      </c>
    </row>
    <row r="593" spans="1:17" x14ac:dyDescent="0.3">
      <c r="A593" t="s">
        <v>1248</v>
      </c>
      <c r="B593" s="6">
        <v>45216</v>
      </c>
      <c r="C593" s="6" t="str">
        <f t="shared" si="27"/>
        <v>Oct</v>
      </c>
      <c r="D593" t="s">
        <v>478</v>
      </c>
      <c r="E593" t="s">
        <v>36</v>
      </c>
      <c r="F593" t="s">
        <v>165</v>
      </c>
      <c r="G593">
        <v>5</v>
      </c>
      <c r="H593" s="7">
        <v>206.91</v>
      </c>
      <c r="I593" t="s">
        <v>64</v>
      </c>
      <c r="J593" t="s">
        <v>22</v>
      </c>
      <c r="K593">
        <v>5</v>
      </c>
      <c r="L593" s="7">
        <f t="shared" si="28"/>
        <v>1034.55</v>
      </c>
      <c r="M593" s="7"/>
      <c r="O593">
        <f t="shared" si="29"/>
        <v>2</v>
      </c>
      <c r="Q593" t="s">
        <v>65</v>
      </c>
    </row>
    <row r="594" spans="1:17" x14ac:dyDescent="0.3">
      <c r="A594" t="s">
        <v>1249</v>
      </c>
      <c r="B594" s="6">
        <v>44940</v>
      </c>
      <c r="C594" s="6" t="str">
        <f t="shared" si="27"/>
        <v>Jan</v>
      </c>
      <c r="D594" t="s">
        <v>1250</v>
      </c>
      <c r="E594" t="s">
        <v>50</v>
      </c>
      <c r="F594" t="s">
        <v>1251</v>
      </c>
      <c r="G594">
        <v>7</v>
      </c>
      <c r="H594" s="7">
        <v>143.41999999999999</v>
      </c>
      <c r="I594" t="s">
        <v>21</v>
      </c>
      <c r="J594" t="s">
        <v>28</v>
      </c>
      <c r="K594">
        <v>10</v>
      </c>
      <c r="L594" s="7">
        <f t="shared" si="28"/>
        <v>1003.9399999999999</v>
      </c>
      <c r="M594" s="7"/>
      <c r="O594">
        <f t="shared" si="29"/>
        <v>2</v>
      </c>
      <c r="Q594" t="s">
        <v>23</v>
      </c>
    </row>
    <row r="595" spans="1:17" x14ac:dyDescent="0.3">
      <c r="A595" t="s">
        <v>1252</v>
      </c>
      <c r="B595" s="6">
        <v>45004</v>
      </c>
      <c r="C595" s="6" t="str">
        <f t="shared" si="27"/>
        <v>Mar</v>
      </c>
      <c r="D595" t="s">
        <v>571</v>
      </c>
      <c r="E595" t="s">
        <v>36</v>
      </c>
      <c r="F595" t="s">
        <v>1063</v>
      </c>
      <c r="G595">
        <v>5</v>
      </c>
      <c r="H595" s="7">
        <v>72.5</v>
      </c>
      <c r="I595" t="s">
        <v>64</v>
      </c>
      <c r="J595" t="s">
        <v>19</v>
      </c>
      <c r="K595">
        <v>15</v>
      </c>
      <c r="L595" s="7">
        <f t="shared" si="28"/>
        <v>362.5</v>
      </c>
      <c r="M595" s="7"/>
      <c r="O595">
        <f t="shared" si="29"/>
        <v>2</v>
      </c>
      <c r="Q595" t="s">
        <v>65</v>
      </c>
    </row>
    <row r="596" spans="1:17" x14ac:dyDescent="0.3">
      <c r="A596" t="s">
        <v>1253</v>
      </c>
      <c r="B596" s="6">
        <v>45010</v>
      </c>
      <c r="C596" s="6" t="str">
        <f t="shared" si="27"/>
        <v>Mar</v>
      </c>
      <c r="D596" t="s">
        <v>1254</v>
      </c>
      <c r="E596" t="s">
        <v>36</v>
      </c>
      <c r="F596" t="s">
        <v>289</v>
      </c>
      <c r="G596">
        <v>5</v>
      </c>
      <c r="H596" s="7">
        <v>365.37</v>
      </c>
      <c r="I596" t="s">
        <v>32</v>
      </c>
      <c r="J596" t="s">
        <v>22</v>
      </c>
      <c r="K596">
        <v>5</v>
      </c>
      <c r="L596" s="7">
        <f t="shared" si="28"/>
        <v>1826.85</v>
      </c>
      <c r="M596" s="7"/>
      <c r="O596">
        <f t="shared" si="29"/>
        <v>2</v>
      </c>
      <c r="Q596" t="s">
        <v>33</v>
      </c>
    </row>
    <row r="597" spans="1:17" x14ac:dyDescent="0.3">
      <c r="A597" t="s">
        <v>1255</v>
      </c>
      <c r="B597" s="6">
        <v>45198</v>
      </c>
      <c r="C597" s="6" t="str">
        <f t="shared" si="27"/>
        <v>Sep</v>
      </c>
      <c r="D597" t="s">
        <v>1256</v>
      </c>
      <c r="E597" t="s">
        <v>19</v>
      </c>
      <c r="F597" t="s">
        <v>201</v>
      </c>
      <c r="G597">
        <v>5</v>
      </c>
      <c r="H597" s="7">
        <v>407.51</v>
      </c>
      <c r="I597" t="s">
        <v>103</v>
      </c>
      <c r="J597" t="s">
        <v>72</v>
      </c>
      <c r="K597">
        <v>20</v>
      </c>
      <c r="L597" s="7">
        <f t="shared" si="28"/>
        <v>2037.55</v>
      </c>
      <c r="M597" s="7"/>
      <c r="O597">
        <f t="shared" si="29"/>
        <v>2</v>
      </c>
      <c r="Q597" t="s">
        <v>104</v>
      </c>
    </row>
    <row r="598" spans="1:17" x14ac:dyDescent="0.3">
      <c r="A598" t="s">
        <v>1257</v>
      </c>
      <c r="B598" s="6">
        <v>45232</v>
      </c>
      <c r="C598" s="6" t="str">
        <f t="shared" si="27"/>
        <v>Nov</v>
      </c>
      <c r="D598" t="s">
        <v>1258</v>
      </c>
      <c r="E598" t="s">
        <v>62</v>
      </c>
      <c r="F598" t="s">
        <v>224</v>
      </c>
      <c r="G598">
        <v>3</v>
      </c>
      <c r="H598" s="7">
        <v>132.44999999999999</v>
      </c>
      <c r="I598" t="s">
        <v>46</v>
      </c>
      <c r="J598" t="s">
        <v>28</v>
      </c>
      <c r="K598">
        <v>15</v>
      </c>
      <c r="L598" s="7">
        <f t="shared" si="28"/>
        <v>397.34999999999997</v>
      </c>
      <c r="M598" s="7"/>
      <c r="O598">
        <f t="shared" si="29"/>
        <v>2</v>
      </c>
      <c r="Q598" t="s">
        <v>47</v>
      </c>
    </row>
    <row r="599" spans="1:17" x14ac:dyDescent="0.3">
      <c r="A599" t="s">
        <v>1259</v>
      </c>
      <c r="B599" s="6">
        <v>44952</v>
      </c>
      <c r="C599" s="6" t="str">
        <f t="shared" si="27"/>
        <v>Jan</v>
      </c>
      <c r="D599" t="s">
        <v>385</v>
      </c>
      <c r="E599" t="s">
        <v>26</v>
      </c>
      <c r="F599" t="s">
        <v>807</v>
      </c>
      <c r="G599">
        <v>1</v>
      </c>
      <c r="H599" s="7">
        <v>388.34</v>
      </c>
      <c r="I599" t="s">
        <v>46</v>
      </c>
      <c r="J599" t="s">
        <v>22</v>
      </c>
      <c r="K599">
        <v>15</v>
      </c>
      <c r="L599" s="7">
        <f t="shared" si="28"/>
        <v>388.34</v>
      </c>
      <c r="M599" s="7"/>
      <c r="O599">
        <f t="shared" si="29"/>
        <v>2</v>
      </c>
      <c r="Q599" t="s">
        <v>47</v>
      </c>
    </row>
    <row r="600" spans="1:17" x14ac:dyDescent="0.3">
      <c r="A600" t="s">
        <v>1260</v>
      </c>
      <c r="B600" s="6">
        <v>44970</v>
      </c>
      <c r="C600" s="6" t="str">
        <f t="shared" si="27"/>
        <v>Feb</v>
      </c>
      <c r="D600" t="s">
        <v>1261</v>
      </c>
      <c r="E600" t="s">
        <v>19</v>
      </c>
      <c r="F600" t="s">
        <v>353</v>
      </c>
      <c r="G600">
        <v>5</v>
      </c>
      <c r="H600" s="7">
        <v>195.85</v>
      </c>
      <c r="I600" t="s">
        <v>103</v>
      </c>
      <c r="J600" t="s">
        <v>72</v>
      </c>
      <c r="K600">
        <v>0</v>
      </c>
      <c r="L600" s="7">
        <f t="shared" si="28"/>
        <v>979.25</v>
      </c>
      <c r="M600" s="7"/>
      <c r="O600">
        <f t="shared" si="29"/>
        <v>2</v>
      </c>
      <c r="Q600" t="s">
        <v>104</v>
      </c>
    </row>
    <row r="601" spans="1:17" x14ac:dyDescent="0.3">
      <c r="A601" t="s">
        <v>1262</v>
      </c>
      <c r="B601" s="6">
        <v>44964</v>
      </c>
      <c r="C601" s="6" t="str">
        <f t="shared" si="27"/>
        <v>Feb</v>
      </c>
      <c r="D601" t="s">
        <v>1263</v>
      </c>
      <c r="E601" t="s">
        <v>19</v>
      </c>
      <c r="F601" t="s">
        <v>409</v>
      </c>
      <c r="G601">
        <v>9</v>
      </c>
      <c r="H601" s="7">
        <v>255.81</v>
      </c>
      <c r="I601" t="s">
        <v>21</v>
      </c>
      <c r="J601" t="s">
        <v>72</v>
      </c>
      <c r="K601">
        <v>20</v>
      </c>
      <c r="L601" s="7">
        <f t="shared" si="28"/>
        <v>2302.29</v>
      </c>
      <c r="M601" s="7"/>
      <c r="O601">
        <f t="shared" si="29"/>
        <v>2</v>
      </c>
      <c r="Q601" t="s">
        <v>23</v>
      </c>
    </row>
    <row r="602" spans="1:17" x14ac:dyDescent="0.3">
      <c r="A602" t="s">
        <v>1264</v>
      </c>
      <c r="B602" s="6">
        <v>44964</v>
      </c>
      <c r="C602" s="6" t="str">
        <f t="shared" si="27"/>
        <v>Feb</v>
      </c>
      <c r="D602" t="s">
        <v>444</v>
      </c>
      <c r="E602" t="s">
        <v>19</v>
      </c>
      <c r="F602" t="s">
        <v>523</v>
      </c>
      <c r="G602">
        <v>1</v>
      </c>
      <c r="H602" s="7">
        <v>428.72</v>
      </c>
      <c r="I602" t="s">
        <v>21</v>
      </c>
      <c r="J602" t="s">
        <v>19</v>
      </c>
      <c r="K602">
        <v>0</v>
      </c>
      <c r="L602" s="7">
        <f t="shared" si="28"/>
        <v>428.72</v>
      </c>
      <c r="M602" s="7"/>
      <c r="O602">
        <f t="shared" si="29"/>
        <v>2</v>
      </c>
      <c r="Q602" t="s">
        <v>23</v>
      </c>
    </row>
    <row r="603" spans="1:17" x14ac:dyDescent="0.3">
      <c r="A603" t="s">
        <v>1265</v>
      </c>
      <c r="B603" s="6">
        <v>45227</v>
      </c>
      <c r="C603" s="6" t="str">
        <f t="shared" si="27"/>
        <v>Oct</v>
      </c>
      <c r="D603" t="s">
        <v>1266</v>
      </c>
      <c r="E603" t="s">
        <v>31</v>
      </c>
      <c r="F603" t="s">
        <v>198</v>
      </c>
      <c r="G603">
        <v>5</v>
      </c>
      <c r="H603" s="7">
        <v>376.23</v>
      </c>
      <c r="I603" t="s">
        <v>21</v>
      </c>
      <c r="J603" t="s">
        <v>87</v>
      </c>
      <c r="K603">
        <v>0</v>
      </c>
      <c r="L603" s="7">
        <f t="shared" si="28"/>
        <v>1881.15</v>
      </c>
      <c r="M603" s="7"/>
      <c r="O603">
        <f t="shared" si="29"/>
        <v>2</v>
      </c>
      <c r="Q603" t="s">
        <v>23</v>
      </c>
    </row>
    <row r="604" spans="1:17" x14ac:dyDescent="0.3">
      <c r="A604" t="s">
        <v>1267</v>
      </c>
      <c r="B604" s="6">
        <v>44984</v>
      </c>
      <c r="C604" s="6" t="str">
        <f t="shared" si="27"/>
        <v>Feb</v>
      </c>
      <c r="D604" t="s">
        <v>1060</v>
      </c>
      <c r="E604" t="s">
        <v>31</v>
      </c>
      <c r="F604" t="s">
        <v>466</v>
      </c>
      <c r="G604">
        <v>4</v>
      </c>
      <c r="H604" s="7">
        <v>403.53</v>
      </c>
      <c r="I604" t="s">
        <v>103</v>
      </c>
      <c r="J604" t="s">
        <v>19</v>
      </c>
      <c r="K604">
        <v>10</v>
      </c>
      <c r="L604" s="7">
        <f t="shared" si="28"/>
        <v>1614.12</v>
      </c>
      <c r="M604" s="7"/>
      <c r="O604">
        <f t="shared" si="29"/>
        <v>2</v>
      </c>
      <c r="Q604" t="s">
        <v>104</v>
      </c>
    </row>
    <row r="605" spans="1:17" x14ac:dyDescent="0.3">
      <c r="A605" t="s">
        <v>1268</v>
      </c>
      <c r="B605" s="6">
        <v>45245</v>
      </c>
      <c r="C605" s="6" t="str">
        <f t="shared" si="27"/>
        <v>Nov</v>
      </c>
      <c r="D605" t="s">
        <v>1269</v>
      </c>
      <c r="E605" t="s">
        <v>40</v>
      </c>
      <c r="F605" t="s">
        <v>59</v>
      </c>
      <c r="G605">
        <v>1</v>
      </c>
      <c r="H605" s="7">
        <v>72.739999999999995</v>
      </c>
      <c r="I605" t="s">
        <v>46</v>
      </c>
      <c r="J605" t="s">
        <v>87</v>
      </c>
      <c r="K605">
        <v>0</v>
      </c>
      <c r="L605" s="7">
        <f t="shared" si="28"/>
        <v>72.739999999999995</v>
      </c>
      <c r="M605" s="7"/>
      <c r="O605">
        <f t="shared" si="29"/>
        <v>2</v>
      </c>
      <c r="Q605" t="s">
        <v>47</v>
      </c>
    </row>
    <row r="606" spans="1:17" x14ac:dyDescent="0.3">
      <c r="A606" t="s">
        <v>1270</v>
      </c>
      <c r="B606" s="6">
        <v>45214</v>
      </c>
      <c r="C606" s="6" t="str">
        <f t="shared" si="27"/>
        <v>Oct</v>
      </c>
      <c r="D606" t="s">
        <v>1271</v>
      </c>
      <c r="E606" t="s">
        <v>62</v>
      </c>
      <c r="F606" t="s">
        <v>75</v>
      </c>
      <c r="G606">
        <v>1</v>
      </c>
      <c r="H606" s="7">
        <v>39.51</v>
      </c>
      <c r="I606" t="s">
        <v>21</v>
      </c>
      <c r="J606" t="s">
        <v>22</v>
      </c>
      <c r="K606">
        <v>5</v>
      </c>
      <c r="L606" s="7">
        <f t="shared" si="28"/>
        <v>39.51</v>
      </c>
      <c r="M606" s="7"/>
      <c r="O606">
        <f t="shared" si="29"/>
        <v>2</v>
      </c>
      <c r="Q606" t="s">
        <v>23</v>
      </c>
    </row>
    <row r="607" spans="1:17" x14ac:dyDescent="0.3">
      <c r="A607" t="s">
        <v>1272</v>
      </c>
      <c r="B607" s="6">
        <v>45264</v>
      </c>
      <c r="C607" s="6" t="str">
        <f t="shared" si="27"/>
        <v>Dec</v>
      </c>
      <c r="D607" t="s">
        <v>1273</v>
      </c>
      <c r="E607" t="s">
        <v>26</v>
      </c>
      <c r="F607" t="s">
        <v>684</v>
      </c>
      <c r="G607">
        <v>8</v>
      </c>
      <c r="H607" s="7">
        <v>252.16</v>
      </c>
      <c r="I607" t="s">
        <v>64</v>
      </c>
      <c r="J607" t="s">
        <v>72</v>
      </c>
      <c r="K607">
        <v>15</v>
      </c>
      <c r="L607" s="7">
        <f t="shared" si="28"/>
        <v>2017.28</v>
      </c>
      <c r="M607" s="7"/>
      <c r="O607">
        <f t="shared" si="29"/>
        <v>2</v>
      </c>
      <c r="Q607" t="s">
        <v>65</v>
      </c>
    </row>
    <row r="608" spans="1:17" x14ac:dyDescent="0.3">
      <c r="A608" t="s">
        <v>1274</v>
      </c>
      <c r="B608" s="6">
        <v>45159</v>
      </c>
      <c r="C608" s="6" t="str">
        <f t="shared" si="27"/>
        <v>Aug</v>
      </c>
      <c r="D608" t="s">
        <v>1275</v>
      </c>
      <c r="E608" t="s">
        <v>62</v>
      </c>
      <c r="F608" t="s">
        <v>968</v>
      </c>
      <c r="G608">
        <v>2</v>
      </c>
      <c r="H608" s="7">
        <v>196.98</v>
      </c>
      <c r="I608" t="s">
        <v>64</v>
      </c>
      <c r="J608" t="s">
        <v>28</v>
      </c>
      <c r="K608">
        <v>0</v>
      </c>
      <c r="L608" s="7">
        <f t="shared" si="28"/>
        <v>393.96</v>
      </c>
      <c r="M608" s="7"/>
      <c r="O608">
        <f t="shared" si="29"/>
        <v>2</v>
      </c>
      <c r="Q608" t="s">
        <v>65</v>
      </c>
    </row>
    <row r="609" spans="1:17" x14ac:dyDescent="0.3">
      <c r="A609" t="s">
        <v>1276</v>
      </c>
      <c r="B609" s="6">
        <v>44985</v>
      </c>
      <c r="C609" s="6" t="str">
        <f t="shared" si="27"/>
        <v>Feb</v>
      </c>
      <c r="D609" t="s">
        <v>178</v>
      </c>
      <c r="E609" t="s">
        <v>31</v>
      </c>
      <c r="F609" t="s">
        <v>185</v>
      </c>
      <c r="G609">
        <v>8</v>
      </c>
      <c r="H609" s="7">
        <v>147.5</v>
      </c>
      <c r="I609" t="s">
        <v>21</v>
      </c>
      <c r="J609" t="s">
        <v>22</v>
      </c>
      <c r="K609">
        <v>10</v>
      </c>
      <c r="L609" s="7">
        <f t="shared" si="28"/>
        <v>1180</v>
      </c>
      <c r="M609" s="7"/>
      <c r="O609">
        <f t="shared" si="29"/>
        <v>2</v>
      </c>
      <c r="Q609" t="s">
        <v>23</v>
      </c>
    </row>
    <row r="610" spans="1:17" x14ac:dyDescent="0.3">
      <c r="A610" t="s">
        <v>1277</v>
      </c>
      <c r="B610" s="6">
        <v>45033</v>
      </c>
      <c r="C610" s="6" t="str">
        <f t="shared" si="27"/>
        <v>Apr</v>
      </c>
      <c r="D610" t="s">
        <v>1278</v>
      </c>
      <c r="E610" t="s">
        <v>19</v>
      </c>
      <c r="F610" t="s">
        <v>708</v>
      </c>
      <c r="G610">
        <v>7</v>
      </c>
      <c r="H610" s="7">
        <v>363.72</v>
      </c>
      <c r="I610" t="s">
        <v>19</v>
      </c>
      <c r="J610" t="s">
        <v>19</v>
      </c>
      <c r="K610">
        <v>5</v>
      </c>
      <c r="L610" s="7">
        <f t="shared" si="28"/>
        <v>2546.04</v>
      </c>
      <c r="M610" s="7"/>
      <c r="O610">
        <f t="shared" si="29"/>
        <v>3</v>
      </c>
      <c r="Q610" t="s">
        <v>19</v>
      </c>
    </row>
    <row r="611" spans="1:17" x14ac:dyDescent="0.3">
      <c r="A611" t="s">
        <v>1279</v>
      </c>
      <c r="B611" s="6">
        <v>45151</v>
      </c>
      <c r="C611" s="6" t="str">
        <f t="shared" si="27"/>
        <v>Aug</v>
      </c>
      <c r="D611" t="s">
        <v>1280</v>
      </c>
      <c r="E611" t="s">
        <v>36</v>
      </c>
      <c r="F611" t="s">
        <v>102</v>
      </c>
      <c r="G611">
        <v>2</v>
      </c>
      <c r="H611" s="7">
        <v>419.03</v>
      </c>
      <c r="I611" t="s">
        <v>103</v>
      </c>
      <c r="J611" t="s">
        <v>72</v>
      </c>
      <c r="K611">
        <v>20</v>
      </c>
      <c r="L611" s="7">
        <f t="shared" si="28"/>
        <v>838.06</v>
      </c>
      <c r="M611" s="7"/>
      <c r="O611">
        <f t="shared" si="29"/>
        <v>2</v>
      </c>
      <c r="Q611" t="s">
        <v>104</v>
      </c>
    </row>
    <row r="612" spans="1:17" x14ac:dyDescent="0.3">
      <c r="A612" t="s">
        <v>1281</v>
      </c>
      <c r="B612" s="6">
        <v>45207</v>
      </c>
      <c r="C612" s="6" t="str">
        <f t="shared" si="27"/>
        <v>Oct</v>
      </c>
      <c r="D612" t="s">
        <v>594</v>
      </c>
      <c r="E612" t="s">
        <v>62</v>
      </c>
      <c r="F612" t="s">
        <v>1282</v>
      </c>
      <c r="G612">
        <v>6</v>
      </c>
      <c r="H612" s="7">
        <v>431.93</v>
      </c>
      <c r="I612" t="s">
        <v>21</v>
      </c>
      <c r="J612" t="s">
        <v>28</v>
      </c>
      <c r="K612">
        <v>15</v>
      </c>
      <c r="L612" s="7">
        <f t="shared" si="28"/>
        <v>2591.58</v>
      </c>
      <c r="M612" s="7"/>
      <c r="O612">
        <f t="shared" si="29"/>
        <v>3</v>
      </c>
      <c r="Q612" t="s">
        <v>23</v>
      </c>
    </row>
    <row r="613" spans="1:17" x14ac:dyDescent="0.3">
      <c r="A613" t="s">
        <v>1283</v>
      </c>
      <c r="B613" s="6">
        <v>45179</v>
      </c>
      <c r="C613" s="6" t="str">
        <f t="shared" si="27"/>
        <v>Sep</v>
      </c>
      <c r="D613" t="s">
        <v>1156</v>
      </c>
      <c r="E613" t="s">
        <v>50</v>
      </c>
      <c r="F613" t="s">
        <v>383</v>
      </c>
      <c r="G613">
        <v>6</v>
      </c>
      <c r="H613" s="7">
        <v>161.41999999999999</v>
      </c>
      <c r="I613" t="s">
        <v>21</v>
      </c>
      <c r="J613" t="s">
        <v>19</v>
      </c>
      <c r="K613">
        <v>10</v>
      </c>
      <c r="L613" s="7">
        <f t="shared" si="28"/>
        <v>968.52</v>
      </c>
      <c r="M613" s="7"/>
      <c r="O613">
        <f t="shared" si="29"/>
        <v>2</v>
      </c>
      <c r="Q613" t="s">
        <v>23</v>
      </c>
    </row>
    <row r="614" spans="1:17" x14ac:dyDescent="0.3">
      <c r="A614" t="s">
        <v>1284</v>
      </c>
      <c r="B614" s="6">
        <v>45216</v>
      </c>
      <c r="C614" s="6" t="str">
        <f t="shared" si="27"/>
        <v>Oct</v>
      </c>
      <c r="D614" t="s">
        <v>1285</v>
      </c>
      <c r="E614" t="s">
        <v>19</v>
      </c>
      <c r="F614" t="s">
        <v>353</v>
      </c>
      <c r="G614">
        <v>3</v>
      </c>
      <c r="H614" s="7">
        <v>426.85</v>
      </c>
      <c r="I614" t="s">
        <v>103</v>
      </c>
      <c r="J614" t="s">
        <v>42</v>
      </c>
      <c r="K614">
        <v>10</v>
      </c>
      <c r="L614" s="7">
        <f t="shared" si="28"/>
        <v>1280.5500000000002</v>
      </c>
      <c r="M614" s="7"/>
      <c r="O614">
        <f t="shared" si="29"/>
        <v>2</v>
      </c>
      <c r="Q614" t="s">
        <v>104</v>
      </c>
    </row>
    <row r="615" spans="1:17" x14ac:dyDescent="0.3">
      <c r="A615" t="s">
        <v>1286</v>
      </c>
      <c r="B615" s="6">
        <v>45075</v>
      </c>
      <c r="C615" s="6" t="str">
        <f t="shared" si="27"/>
        <v>May</v>
      </c>
      <c r="D615" t="s">
        <v>1287</v>
      </c>
      <c r="E615" t="s">
        <v>26</v>
      </c>
      <c r="F615" t="s">
        <v>822</v>
      </c>
      <c r="G615">
        <v>2</v>
      </c>
      <c r="H615" s="7">
        <v>25.26</v>
      </c>
      <c r="I615" t="s">
        <v>21</v>
      </c>
      <c r="J615" t="s">
        <v>87</v>
      </c>
      <c r="K615">
        <v>20</v>
      </c>
      <c r="L615" s="7">
        <f t="shared" si="28"/>
        <v>50.52</v>
      </c>
      <c r="M615" s="7"/>
      <c r="O615">
        <f t="shared" si="29"/>
        <v>2</v>
      </c>
      <c r="Q615" t="s">
        <v>23</v>
      </c>
    </row>
    <row r="616" spans="1:17" x14ac:dyDescent="0.3">
      <c r="A616" t="s">
        <v>1288</v>
      </c>
      <c r="B616" s="6">
        <v>45074</v>
      </c>
      <c r="C616" s="6" t="str">
        <f t="shared" si="27"/>
        <v>May</v>
      </c>
      <c r="D616" t="s">
        <v>895</v>
      </c>
      <c r="E616" t="s">
        <v>31</v>
      </c>
      <c r="F616" t="s">
        <v>37</v>
      </c>
      <c r="G616">
        <v>1</v>
      </c>
      <c r="H616" s="7">
        <v>29.58</v>
      </c>
      <c r="I616" t="s">
        <v>103</v>
      </c>
      <c r="J616" t="s">
        <v>72</v>
      </c>
      <c r="K616">
        <v>10</v>
      </c>
      <c r="L616" s="7">
        <f t="shared" si="28"/>
        <v>29.58</v>
      </c>
      <c r="M616" s="7"/>
      <c r="O616">
        <f t="shared" si="29"/>
        <v>2</v>
      </c>
      <c r="Q616" t="s">
        <v>104</v>
      </c>
    </row>
    <row r="617" spans="1:17" x14ac:dyDescent="0.3">
      <c r="A617" t="s">
        <v>1289</v>
      </c>
      <c r="B617" s="6">
        <v>45283</v>
      </c>
      <c r="C617" s="6" t="str">
        <f t="shared" si="27"/>
        <v>Dec</v>
      </c>
      <c r="D617" t="s">
        <v>1290</v>
      </c>
      <c r="E617" t="s">
        <v>50</v>
      </c>
      <c r="F617" t="s">
        <v>263</v>
      </c>
      <c r="G617">
        <v>6</v>
      </c>
      <c r="H617" s="7">
        <v>313.64</v>
      </c>
      <c r="I617" t="s">
        <v>103</v>
      </c>
      <c r="J617" t="s">
        <v>72</v>
      </c>
      <c r="K617">
        <v>5</v>
      </c>
      <c r="L617" s="7">
        <f t="shared" si="28"/>
        <v>1881.84</v>
      </c>
      <c r="M617" s="7"/>
      <c r="O617">
        <f t="shared" si="29"/>
        <v>2</v>
      </c>
      <c r="Q617" t="s">
        <v>104</v>
      </c>
    </row>
    <row r="618" spans="1:17" x14ac:dyDescent="0.3">
      <c r="A618" t="s">
        <v>1291</v>
      </c>
      <c r="B618" s="6">
        <v>45208</v>
      </c>
      <c r="C618" s="6" t="str">
        <f t="shared" si="27"/>
        <v>Oct</v>
      </c>
      <c r="D618" t="s">
        <v>980</v>
      </c>
      <c r="E618" t="s">
        <v>50</v>
      </c>
      <c r="F618" t="s">
        <v>148</v>
      </c>
      <c r="G618">
        <v>5</v>
      </c>
      <c r="H618" s="7">
        <v>36.24</v>
      </c>
      <c r="I618" t="s">
        <v>32</v>
      </c>
      <c r="J618" t="s">
        <v>72</v>
      </c>
      <c r="K618">
        <v>20</v>
      </c>
      <c r="L618" s="7">
        <f t="shared" si="28"/>
        <v>181.20000000000002</v>
      </c>
      <c r="M618" s="7"/>
      <c r="O618">
        <f t="shared" si="29"/>
        <v>2</v>
      </c>
      <c r="Q618" t="s">
        <v>33</v>
      </c>
    </row>
    <row r="619" spans="1:17" x14ac:dyDescent="0.3">
      <c r="A619" t="s">
        <v>1292</v>
      </c>
      <c r="B619" s="6">
        <v>45092</v>
      </c>
      <c r="C619" s="6" t="str">
        <f t="shared" si="27"/>
        <v>Jun</v>
      </c>
      <c r="D619" t="s">
        <v>1293</v>
      </c>
      <c r="E619" t="s">
        <v>26</v>
      </c>
      <c r="F619" t="s">
        <v>37</v>
      </c>
      <c r="G619">
        <v>9</v>
      </c>
      <c r="H619" s="7">
        <v>165.68</v>
      </c>
      <c r="I619" t="s">
        <v>19</v>
      </c>
      <c r="J619" t="s">
        <v>72</v>
      </c>
      <c r="K619">
        <v>10</v>
      </c>
      <c r="L619" s="7">
        <f t="shared" si="28"/>
        <v>1491.1200000000001</v>
      </c>
      <c r="M619" s="7"/>
      <c r="O619">
        <f t="shared" si="29"/>
        <v>2</v>
      </c>
      <c r="Q619" t="s">
        <v>19</v>
      </c>
    </row>
    <row r="620" spans="1:17" x14ac:dyDescent="0.3">
      <c r="A620" t="s">
        <v>1294</v>
      </c>
      <c r="B620" s="6">
        <v>45283</v>
      </c>
      <c r="C620" s="6" t="str">
        <f t="shared" si="27"/>
        <v>Dec</v>
      </c>
      <c r="D620" t="s">
        <v>1273</v>
      </c>
      <c r="E620" t="s">
        <v>40</v>
      </c>
      <c r="F620" t="s">
        <v>412</v>
      </c>
      <c r="G620">
        <v>1</v>
      </c>
      <c r="H620" s="7">
        <v>338.01</v>
      </c>
      <c r="I620" t="s">
        <v>103</v>
      </c>
      <c r="J620" t="s">
        <v>42</v>
      </c>
      <c r="K620">
        <v>20</v>
      </c>
      <c r="L620" s="7">
        <f t="shared" si="28"/>
        <v>338.01</v>
      </c>
      <c r="M620" s="7"/>
      <c r="O620">
        <f t="shared" si="29"/>
        <v>2</v>
      </c>
      <c r="Q620" t="s">
        <v>104</v>
      </c>
    </row>
    <row r="621" spans="1:17" x14ac:dyDescent="0.3">
      <c r="A621" t="s">
        <v>1295</v>
      </c>
      <c r="B621" s="6">
        <v>45227</v>
      </c>
      <c r="C621" s="6" t="str">
        <f t="shared" si="27"/>
        <v>Oct</v>
      </c>
      <c r="D621" t="s">
        <v>1296</v>
      </c>
      <c r="E621" t="s">
        <v>19</v>
      </c>
      <c r="F621" t="s">
        <v>359</v>
      </c>
      <c r="G621">
        <v>7</v>
      </c>
      <c r="H621" s="7">
        <v>171.95</v>
      </c>
      <c r="I621" t="s">
        <v>19</v>
      </c>
      <c r="J621" t="s">
        <v>22</v>
      </c>
      <c r="K621">
        <v>20</v>
      </c>
      <c r="L621" s="7">
        <f t="shared" si="28"/>
        <v>1203.6499999999999</v>
      </c>
      <c r="M621" s="7"/>
      <c r="O621">
        <f t="shared" si="29"/>
        <v>2</v>
      </c>
      <c r="Q621" t="s">
        <v>19</v>
      </c>
    </row>
    <row r="622" spans="1:17" x14ac:dyDescent="0.3">
      <c r="A622" t="s">
        <v>1297</v>
      </c>
      <c r="B622" s="6">
        <v>45081</v>
      </c>
      <c r="C622" s="6" t="str">
        <f t="shared" si="27"/>
        <v>Jun</v>
      </c>
      <c r="D622" t="s">
        <v>1298</v>
      </c>
      <c r="E622" t="s">
        <v>50</v>
      </c>
      <c r="F622" t="s">
        <v>137</v>
      </c>
      <c r="G622">
        <v>5</v>
      </c>
      <c r="H622" s="7">
        <v>93.9</v>
      </c>
      <c r="I622" t="s">
        <v>64</v>
      </c>
      <c r="J622" t="s">
        <v>72</v>
      </c>
      <c r="K622">
        <v>0</v>
      </c>
      <c r="L622" s="7">
        <f t="shared" si="28"/>
        <v>469.5</v>
      </c>
      <c r="M622" s="7"/>
      <c r="O622">
        <f t="shared" si="29"/>
        <v>2</v>
      </c>
      <c r="Q622" t="s">
        <v>65</v>
      </c>
    </row>
    <row r="623" spans="1:17" x14ac:dyDescent="0.3">
      <c r="A623" t="s">
        <v>1299</v>
      </c>
      <c r="B623" s="6">
        <v>45189</v>
      </c>
      <c r="C623" s="6" t="str">
        <f t="shared" si="27"/>
        <v>Sep</v>
      </c>
      <c r="D623" t="s">
        <v>817</v>
      </c>
      <c r="E623" t="s">
        <v>40</v>
      </c>
      <c r="F623" t="s">
        <v>298</v>
      </c>
      <c r="G623">
        <v>5</v>
      </c>
      <c r="H623" s="7">
        <v>144.27000000000001</v>
      </c>
      <c r="I623" t="s">
        <v>64</v>
      </c>
      <c r="J623" t="s">
        <v>87</v>
      </c>
      <c r="K623">
        <v>0</v>
      </c>
      <c r="L623" s="7">
        <f t="shared" si="28"/>
        <v>721.35</v>
      </c>
      <c r="M623" s="7"/>
      <c r="O623">
        <f t="shared" si="29"/>
        <v>2</v>
      </c>
      <c r="Q623" t="s">
        <v>65</v>
      </c>
    </row>
    <row r="624" spans="1:17" x14ac:dyDescent="0.3">
      <c r="A624" t="s">
        <v>1300</v>
      </c>
      <c r="B624" s="6">
        <v>44976</v>
      </c>
      <c r="C624" s="6" t="str">
        <f t="shared" si="27"/>
        <v>Feb</v>
      </c>
      <c r="D624" t="s">
        <v>112</v>
      </c>
      <c r="E624" t="s">
        <v>26</v>
      </c>
      <c r="F624" t="s">
        <v>131</v>
      </c>
      <c r="G624">
        <v>2</v>
      </c>
      <c r="H624" s="7">
        <v>231.5</v>
      </c>
      <c r="I624" t="s">
        <v>103</v>
      </c>
      <c r="J624" t="s">
        <v>87</v>
      </c>
      <c r="K624">
        <v>0</v>
      </c>
      <c r="L624" s="7">
        <f t="shared" si="28"/>
        <v>463</v>
      </c>
      <c r="M624" s="7"/>
      <c r="O624">
        <f t="shared" si="29"/>
        <v>2</v>
      </c>
      <c r="Q624" t="s">
        <v>104</v>
      </c>
    </row>
    <row r="625" spans="1:17" x14ac:dyDescent="0.3">
      <c r="A625" t="s">
        <v>1301</v>
      </c>
      <c r="B625" s="6">
        <v>45050</v>
      </c>
      <c r="C625" s="6" t="str">
        <f t="shared" si="27"/>
        <v>May</v>
      </c>
      <c r="D625" t="s">
        <v>1258</v>
      </c>
      <c r="E625" t="s">
        <v>40</v>
      </c>
      <c r="F625" t="s">
        <v>1302</v>
      </c>
      <c r="G625">
        <v>3</v>
      </c>
      <c r="H625" s="7">
        <v>240.32</v>
      </c>
      <c r="I625" t="s">
        <v>103</v>
      </c>
      <c r="J625" t="s">
        <v>22</v>
      </c>
      <c r="K625">
        <v>10</v>
      </c>
      <c r="L625" s="7">
        <f t="shared" si="28"/>
        <v>720.96</v>
      </c>
      <c r="M625" s="7"/>
      <c r="O625">
        <f t="shared" si="29"/>
        <v>2</v>
      </c>
      <c r="Q625" t="s">
        <v>104</v>
      </c>
    </row>
    <row r="626" spans="1:17" x14ac:dyDescent="0.3">
      <c r="A626" t="s">
        <v>1303</v>
      </c>
      <c r="B626" s="6">
        <v>45018</v>
      </c>
      <c r="C626" s="6" t="str">
        <f t="shared" si="27"/>
        <v>Apr</v>
      </c>
      <c r="D626" t="s">
        <v>639</v>
      </c>
      <c r="E626" t="s">
        <v>31</v>
      </c>
      <c r="F626" t="s">
        <v>488</v>
      </c>
      <c r="G626">
        <v>7</v>
      </c>
      <c r="H626" s="7">
        <v>392.59</v>
      </c>
      <c r="I626" t="s">
        <v>19</v>
      </c>
      <c r="J626" t="s">
        <v>19</v>
      </c>
      <c r="K626">
        <v>15</v>
      </c>
      <c r="L626" s="7">
        <f t="shared" si="28"/>
        <v>2748.1299999999997</v>
      </c>
      <c r="M626" s="7"/>
      <c r="O626">
        <f t="shared" si="29"/>
        <v>3</v>
      </c>
      <c r="Q626" t="s">
        <v>19</v>
      </c>
    </row>
    <row r="627" spans="1:17" x14ac:dyDescent="0.3">
      <c r="A627" t="s">
        <v>1304</v>
      </c>
      <c r="B627" s="6">
        <v>44952</v>
      </c>
      <c r="C627" s="6" t="str">
        <f t="shared" si="27"/>
        <v>Jan</v>
      </c>
      <c r="D627" t="s">
        <v>1305</v>
      </c>
      <c r="E627" t="s">
        <v>50</v>
      </c>
      <c r="F627" t="s">
        <v>627</v>
      </c>
      <c r="G627">
        <v>6</v>
      </c>
      <c r="H627" s="7">
        <v>376.33</v>
      </c>
      <c r="I627" t="s">
        <v>64</v>
      </c>
      <c r="J627" t="s">
        <v>19</v>
      </c>
      <c r="K627">
        <v>5</v>
      </c>
      <c r="L627" s="7">
        <f t="shared" si="28"/>
        <v>2257.98</v>
      </c>
      <c r="M627" s="7"/>
      <c r="O627">
        <f t="shared" si="29"/>
        <v>2</v>
      </c>
      <c r="Q627" t="s">
        <v>65</v>
      </c>
    </row>
    <row r="628" spans="1:17" x14ac:dyDescent="0.3">
      <c r="A628" t="s">
        <v>1306</v>
      </c>
      <c r="B628" s="6">
        <v>45057</v>
      </c>
      <c r="C628" s="6" t="str">
        <f t="shared" si="27"/>
        <v>May</v>
      </c>
      <c r="D628" t="s">
        <v>1307</v>
      </c>
      <c r="E628" t="s">
        <v>31</v>
      </c>
      <c r="F628" t="s">
        <v>363</v>
      </c>
      <c r="G628">
        <v>2</v>
      </c>
      <c r="H628" s="7">
        <v>231.12</v>
      </c>
      <c r="I628" t="s">
        <v>103</v>
      </c>
      <c r="J628" t="s">
        <v>28</v>
      </c>
      <c r="K628">
        <v>10</v>
      </c>
      <c r="L628" s="7">
        <f t="shared" si="28"/>
        <v>462.24</v>
      </c>
      <c r="M628" s="7"/>
      <c r="O628">
        <f t="shared" si="29"/>
        <v>2</v>
      </c>
      <c r="Q628" t="s">
        <v>104</v>
      </c>
    </row>
    <row r="629" spans="1:17" x14ac:dyDescent="0.3">
      <c r="A629" t="s">
        <v>1308</v>
      </c>
      <c r="B629" s="6">
        <v>45110</v>
      </c>
      <c r="C629" s="6" t="str">
        <f t="shared" si="27"/>
        <v>Jul</v>
      </c>
      <c r="D629" t="s">
        <v>1309</v>
      </c>
      <c r="E629" t="s">
        <v>26</v>
      </c>
      <c r="F629" t="s">
        <v>466</v>
      </c>
      <c r="G629">
        <v>6</v>
      </c>
      <c r="H629" s="7">
        <v>423.61</v>
      </c>
      <c r="I629" t="s">
        <v>21</v>
      </c>
      <c r="J629" t="s">
        <v>19</v>
      </c>
      <c r="K629">
        <v>0</v>
      </c>
      <c r="L629" s="7">
        <f t="shared" si="28"/>
        <v>2541.66</v>
      </c>
      <c r="M629" s="7"/>
      <c r="O629">
        <f t="shared" si="29"/>
        <v>3</v>
      </c>
      <c r="Q629" t="s">
        <v>23</v>
      </c>
    </row>
    <row r="630" spans="1:17" x14ac:dyDescent="0.3">
      <c r="A630" t="s">
        <v>1310</v>
      </c>
      <c r="B630" s="6">
        <v>45090</v>
      </c>
      <c r="C630" s="6" t="str">
        <f t="shared" si="27"/>
        <v>Jun</v>
      </c>
      <c r="D630" t="s">
        <v>1311</v>
      </c>
      <c r="E630" t="s">
        <v>50</v>
      </c>
      <c r="F630" t="s">
        <v>932</v>
      </c>
      <c r="G630">
        <v>2</v>
      </c>
      <c r="H630" s="7">
        <v>61.55</v>
      </c>
      <c r="I630" t="s">
        <v>64</v>
      </c>
      <c r="J630" t="s">
        <v>42</v>
      </c>
      <c r="K630">
        <v>20</v>
      </c>
      <c r="L630" s="7">
        <f t="shared" si="28"/>
        <v>123.1</v>
      </c>
      <c r="M630" s="7"/>
      <c r="O630">
        <f t="shared" si="29"/>
        <v>2</v>
      </c>
      <c r="Q630" t="s">
        <v>65</v>
      </c>
    </row>
    <row r="631" spans="1:17" x14ac:dyDescent="0.3">
      <c r="A631" t="s">
        <v>1312</v>
      </c>
      <c r="B631" s="6">
        <v>45101</v>
      </c>
      <c r="C631" s="6" t="str">
        <f t="shared" si="27"/>
        <v>Jun</v>
      </c>
      <c r="D631" t="s">
        <v>1313</v>
      </c>
      <c r="E631" t="s">
        <v>26</v>
      </c>
      <c r="F631" t="s">
        <v>160</v>
      </c>
      <c r="G631">
        <v>2</v>
      </c>
      <c r="H631" s="7">
        <v>131.4</v>
      </c>
      <c r="I631" t="s">
        <v>103</v>
      </c>
      <c r="J631" t="s">
        <v>19</v>
      </c>
      <c r="K631">
        <v>10</v>
      </c>
      <c r="L631" s="7">
        <f t="shared" si="28"/>
        <v>262.8</v>
      </c>
      <c r="M631" s="7"/>
      <c r="O631">
        <f t="shared" si="29"/>
        <v>2</v>
      </c>
      <c r="Q631" t="s">
        <v>104</v>
      </c>
    </row>
    <row r="632" spans="1:17" x14ac:dyDescent="0.3">
      <c r="A632" t="s">
        <v>1314</v>
      </c>
      <c r="B632" s="6">
        <v>44941</v>
      </c>
      <c r="C632" s="6" t="str">
        <f t="shared" si="27"/>
        <v>Jan</v>
      </c>
      <c r="D632" t="s">
        <v>1315</v>
      </c>
      <c r="E632" t="s">
        <v>19</v>
      </c>
      <c r="F632" t="s">
        <v>665</v>
      </c>
      <c r="G632">
        <v>2</v>
      </c>
      <c r="H632" s="7">
        <v>414.85</v>
      </c>
      <c r="I632" t="s">
        <v>21</v>
      </c>
      <c r="J632" t="s">
        <v>72</v>
      </c>
      <c r="K632">
        <v>20</v>
      </c>
      <c r="L632" s="7">
        <f t="shared" si="28"/>
        <v>829.7</v>
      </c>
      <c r="M632" s="7"/>
      <c r="O632">
        <f t="shared" si="29"/>
        <v>2</v>
      </c>
      <c r="Q632" t="s">
        <v>23</v>
      </c>
    </row>
    <row r="633" spans="1:17" x14ac:dyDescent="0.3">
      <c r="A633" t="s">
        <v>1316</v>
      </c>
      <c r="B633" s="6">
        <v>45135</v>
      </c>
      <c r="C633" s="6" t="str">
        <f t="shared" si="27"/>
        <v>Jul</v>
      </c>
      <c r="D633" t="s">
        <v>422</v>
      </c>
      <c r="E633" t="s">
        <v>36</v>
      </c>
      <c r="F633" t="s">
        <v>833</v>
      </c>
      <c r="G633">
        <v>3</v>
      </c>
      <c r="H633" s="7">
        <v>192.11</v>
      </c>
      <c r="I633" t="s">
        <v>103</v>
      </c>
      <c r="J633" t="s">
        <v>72</v>
      </c>
      <c r="K633">
        <v>20</v>
      </c>
      <c r="L633" s="7">
        <f t="shared" si="28"/>
        <v>576.33000000000004</v>
      </c>
      <c r="M633" s="7"/>
      <c r="O633">
        <f t="shared" si="29"/>
        <v>2</v>
      </c>
      <c r="Q633" t="s">
        <v>104</v>
      </c>
    </row>
    <row r="634" spans="1:17" x14ac:dyDescent="0.3">
      <c r="A634" t="s">
        <v>1317</v>
      </c>
      <c r="B634" s="6">
        <v>45243</v>
      </c>
      <c r="C634" s="6" t="str">
        <f t="shared" si="27"/>
        <v>Nov</v>
      </c>
      <c r="D634" t="s">
        <v>641</v>
      </c>
      <c r="E634" t="s">
        <v>19</v>
      </c>
      <c r="F634" t="s">
        <v>188</v>
      </c>
      <c r="G634">
        <v>2</v>
      </c>
      <c r="H634" s="7">
        <v>490.68</v>
      </c>
      <c r="I634" t="s">
        <v>64</v>
      </c>
      <c r="J634" t="s">
        <v>22</v>
      </c>
      <c r="K634">
        <v>20</v>
      </c>
      <c r="L634" s="7">
        <f t="shared" si="28"/>
        <v>981.36</v>
      </c>
      <c r="M634" s="7"/>
      <c r="O634">
        <f t="shared" si="29"/>
        <v>2</v>
      </c>
      <c r="Q634" t="s">
        <v>65</v>
      </c>
    </row>
    <row r="635" spans="1:17" x14ac:dyDescent="0.3">
      <c r="A635" t="s">
        <v>1318</v>
      </c>
      <c r="B635" s="6">
        <v>45022</v>
      </c>
      <c r="C635" s="6" t="str">
        <f t="shared" si="27"/>
        <v>Apr</v>
      </c>
      <c r="D635" t="s">
        <v>1258</v>
      </c>
      <c r="E635" t="s">
        <v>40</v>
      </c>
      <c r="F635" t="s">
        <v>350</v>
      </c>
      <c r="G635">
        <v>4</v>
      </c>
      <c r="H635" s="7">
        <v>235.8</v>
      </c>
      <c r="I635" t="s">
        <v>19</v>
      </c>
      <c r="J635" t="s">
        <v>22</v>
      </c>
      <c r="K635">
        <v>10</v>
      </c>
      <c r="L635" s="7">
        <f t="shared" si="28"/>
        <v>943.2</v>
      </c>
      <c r="M635" s="7"/>
      <c r="O635">
        <f t="shared" si="29"/>
        <v>2</v>
      </c>
      <c r="Q635" t="s">
        <v>19</v>
      </c>
    </row>
    <row r="636" spans="1:17" x14ac:dyDescent="0.3">
      <c r="A636" t="s">
        <v>1319</v>
      </c>
      <c r="B636" s="6">
        <v>45099</v>
      </c>
      <c r="C636" s="6" t="str">
        <f t="shared" si="27"/>
        <v>Jun</v>
      </c>
      <c r="D636" t="s">
        <v>1247</v>
      </c>
      <c r="E636" t="s">
        <v>36</v>
      </c>
      <c r="F636" t="s">
        <v>188</v>
      </c>
      <c r="G636">
        <v>9</v>
      </c>
      <c r="H636" s="7">
        <v>397.01</v>
      </c>
      <c r="I636" t="s">
        <v>32</v>
      </c>
      <c r="J636" t="s">
        <v>87</v>
      </c>
      <c r="K636">
        <v>15</v>
      </c>
      <c r="L636" s="7">
        <f t="shared" si="28"/>
        <v>3573.09</v>
      </c>
      <c r="M636" s="7"/>
      <c r="O636">
        <f t="shared" si="29"/>
        <v>5</v>
      </c>
      <c r="Q636" t="s">
        <v>33</v>
      </c>
    </row>
    <row r="637" spans="1:17" x14ac:dyDescent="0.3">
      <c r="A637" t="s">
        <v>1320</v>
      </c>
      <c r="B637" s="6">
        <v>45149</v>
      </c>
      <c r="C637" s="6" t="str">
        <f t="shared" si="27"/>
        <v>Aug</v>
      </c>
      <c r="D637" t="s">
        <v>1321</v>
      </c>
      <c r="E637" t="s">
        <v>50</v>
      </c>
      <c r="F637" t="s">
        <v>909</v>
      </c>
      <c r="G637">
        <v>6</v>
      </c>
      <c r="H637" s="7">
        <v>204.14</v>
      </c>
      <c r="I637" t="s">
        <v>32</v>
      </c>
      <c r="J637" t="s">
        <v>28</v>
      </c>
      <c r="K637">
        <v>5</v>
      </c>
      <c r="L637" s="7">
        <f t="shared" si="28"/>
        <v>1224.8399999999999</v>
      </c>
      <c r="M637" s="7"/>
      <c r="O637">
        <f t="shared" si="29"/>
        <v>2</v>
      </c>
      <c r="Q637" t="s">
        <v>33</v>
      </c>
    </row>
    <row r="638" spans="1:17" x14ac:dyDescent="0.3">
      <c r="A638" t="s">
        <v>1322</v>
      </c>
      <c r="B638" s="6">
        <v>45277</v>
      </c>
      <c r="C638" s="6" t="str">
        <f t="shared" si="27"/>
        <v>Dec</v>
      </c>
      <c r="D638" t="s">
        <v>1323</v>
      </c>
      <c r="E638" t="s">
        <v>19</v>
      </c>
      <c r="F638" t="s">
        <v>59</v>
      </c>
      <c r="G638">
        <v>1</v>
      </c>
      <c r="H638" s="7">
        <v>215.35</v>
      </c>
      <c r="I638" t="s">
        <v>64</v>
      </c>
      <c r="J638" t="s">
        <v>28</v>
      </c>
      <c r="K638">
        <v>5</v>
      </c>
      <c r="L638" s="7">
        <f t="shared" si="28"/>
        <v>215.35</v>
      </c>
      <c r="M638" s="7"/>
      <c r="O638">
        <f t="shared" si="29"/>
        <v>2</v>
      </c>
      <c r="Q638" t="s">
        <v>65</v>
      </c>
    </row>
    <row r="639" spans="1:17" x14ac:dyDescent="0.3">
      <c r="A639" t="s">
        <v>1324</v>
      </c>
      <c r="B639" s="6">
        <v>45105</v>
      </c>
      <c r="C639" s="6" t="str">
        <f t="shared" si="27"/>
        <v>Jun</v>
      </c>
      <c r="D639" t="s">
        <v>802</v>
      </c>
      <c r="E639" t="s">
        <v>50</v>
      </c>
      <c r="F639" t="s">
        <v>1325</v>
      </c>
      <c r="G639">
        <v>8</v>
      </c>
      <c r="H639" s="7">
        <v>194.53</v>
      </c>
      <c r="I639" t="s">
        <v>46</v>
      </c>
      <c r="J639" t="s">
        <v>22</v>
      </c>
      <c r="K639">
        <v>0</v>
      </c>
      <c r="L639" s="7">
        <f t="shared" si="28"/>
        <v>1556.24</v>
      </c>
      <c r="M639" s="7"/>
      <c r="O639">
        <f t="shared" si="29"/>
        <v>2</v>
      </c>
      <c r="Q639" t="s">
        <v>47</v>
      </c>
    </row>
    <row r="640" spans="1:17" x14ac:dyDescent="0.3">
      <c r="A640" t="s">
        <v>1326</v>
      </c>
      <c r="B640" s="6">
        <v>45204</v>
      </c>
      <c r="C640" s="6" t="str">
        <f t="shared" si="27"/>
        <v>Oct</v>
      </c>
      <c r="D640" t="s">
        <v>1327</v>
      </c>
      <c r="E640" t="s">
        <v>50</v>
      </c>
      <c r="F640" t="s">
        <v>1328</v>
      </c>
      <c r="G640">
        <v>7</v>
      </c>
      <c r="H640" s="7">
        <v>360.94</v>
      </c>
      <c r="I640" t="s">
        <v>21</v>
      </c>
      <c r="J640" t="s">
        <v>87</v>
      </c>
      <c r="K640">
        <v>10</v>
      </c>
      <c r="L640" s="7">
        <f t="shared" si="28"/>
        <v>2526.58</v>
      </c>
      <c r="M640" s="7"/>
      <c r="O640">
        <f t="shared" si="29"/>
        <v>3</v>
      </c>
      <c r="Q640" t="s">
        <v>23</v>
      </c>
    </row>
    <row r="641" spans="1:17" x14ac:dyDescent="0.3">
      <c r="A641" t="s">
        <v>1329</v>
      </c>
      <c r="B641" s="6">
        <v>45102</v>
      </c>
      <c r="C641" s="6" t="str">
        <f t="shared" si="27"/>
        <v>Jun</v>
      </c>
      <c r="D641" t="s">
        <v>1330</v>
      </c>
      <c r="E641" t="s">
        <v>19</v>
      </c>
      <c r="F641" t="s">
        <v>975</v>
      </c>
      <c r="G641">
        <v>3</v>
      </c>
      <c r="H641" s="7">
        <v>276.02</v>
      </c>
      <c r="I641" t="s">
        <v>19</v>
      </c>
      <c r="J641" t="s">
        <v>72</v>
      </c>
      <c r="K641">
        <v>10</v>
      </c>
      <c r="L641" s="7">
        <f t="shared" si="28"/>
        <v>828.06</v>
      </c>
      <c r="M641" s="7"/>
      <c r="O641">
        <f t="shared" si="29"/>
        <v>2</v>
      </c>
      <c r="Q641" t="s">
        <v>19</v>
      </c>
    </row>
    <row r="642" spans="1:17" x14ac:dyDescent="0.3">
      <c r="A642" t="s">
        <v>1331</v>
      </c>
      <c r="B642" s="6">
        <v>45155</v>
      </c>
      <c r="C642" s="6" t="str">
        <f t="shared" si="27"/>
        <v>Aug</v>
      </c>
      <c r="D642" t="s">
        <v>885</v>
      </c>
      <c r="E642" t="s">
        <v>19</v>
      </c>
      <c r="F642" t="s">
        <v>988</v>
      </c>
      <c r="G642">
        <v>1</v>
      </c>
      <c r="H642" s="7">
        <v>472.17</v>
      </c>
      <c r="I642" t="s">
        <v>103</v>
      </c>
      <c r="J642" t="s">
        <v>72</v>
      </c>
      <c r="K642">
        <v>10</v>
      </c>
      <c r="L642" s="7">
        <f t="shared" si="28"/>
        <v>472.17</v>
      </c>
      <c r="M642" s="7"/>
      <c r="O642">
        <f t="shared" si="29"/>
        <v>2</v>
      </c>
      <c r="Q642" t="s">
        <v>104</v>
      </c>
    </row>
    <row r="643" spans="1:17" x14ac:dyDescent="0.3">
      <c r="A643" t="s">
        <v>1332</v>
      </c>
      <c r="B643" s="6">
        <v>45090</v>
      </c>
      <c r="C643" s="6" t="str">
        <f t="shared" ref="C643:C706" si="30">TEXT(B643,"MMM")</f>
        <v>Jun</v>
      </c>
      <c r="D643" t="s">
        <v>1296</v>
      </c>
      <c r="E643" t="s">
        <v>19</v>
      </c>
      <c r="F643" t="s">
        <v>284</v>
      </c>
      <c r="G643">
        <v>5</v>
      </c>
      <c r="H643" s="7">
        <v>129.19</v>
      </c>
      <c r="I643" t="s">
        <v>46</v>
      </c>
      <c r="J643" t="s">
        <v>87</v>
      </c>
      <c r="K643">
        <v>5</v>
      </c>
      <c r="L643" s="7">
        <f t="shared" ref="L643:L706" si="31">G643*H643</f>
        <v>645.95000000000005</v>
      </c>
      <c r="M643" s="7"/>
      <c r="O643">
        <f t="shared" si="29"/>
        <v>2</v>
      </c>
      <c r="Q643" t="s">
        <v>47</v>
      </c>
    </row>
    <row r="644" spans="1:17" x14ac:dyDescent="0.3">
      <c r="A644" t="s">
        <v>1333</v>
      </c>
      <c r="B644" s="6">
        <v>44963</v>
      </c>
      <c r="C644" s="6" t="str">
        <f t="shared" si="30"/>
        <v>Feb</v>
      </c>
      <c r="D644" t="s">
        <v>1231</v>
      </c>
      <c r="E644" t="s">
        <v>19</v>
      </c>
      <c r="F644" t="s">
        <v>110</v>
      </c>
      <c r="G644">
        <v>4</v>
      </c>
      <c r="H644" s="7">
        <v>54.78</v>
      </c>
      <c r="I644" t="s">
        <v>19</v>
      </c>
      <c r="J644" t="s">
        <v>42</v>
      </c>
      <c r="K644">
        <v>15</v>
      </c>
      <c r="L644" s="7">
        <f t="shared" si="31"/>
        <v>219.12</v>
      </c>
      <c r="M644" s="7"/>
      <c r="O644">
        <f t="shared" ref="O644:O707" si="32">IF(L644&gt;3500,5,IF(L644&gt;3000,4,IF(L644&gt;2500,3,IF(L644&gt;2000,2,IF(L644&gt;1000,2,2)))))</f>
        <v>2</v>
      </c>
      <c r="Q644" t="s">
        <v>19</v>
      </c>
    </row>
    <row r="645" spans="1:17" x14ac:dyDescent="0.3">
      <c r="A645" t="s">
        <v>1334</v>
      </c>
      <c r="B645" s="6">
        <v>45238</v>
      </c>
      <c r="C645" s="6" t="str">
        <f t="shared" si="30"/>
        <v>Nov</v>
      </c>
      <c r="D645" t="s">
        <v>291</v>
      </c>
      <c r="E645" t="s">
        <v>50</v>
      </c>
      <c r="F645" t="s">
        <v>975</v>
      </c>
      <c r="G645">
        <v>8</v>
      </c>
      <c r="H645" s="7">
        <v>199.66</v>
      </c>
      <c r="I645" t="s">
        <v>21</v>
      </c>
      <c r="J645" t="s">
        <v>22</v>
      </c>
      <c r="K645">
        <v>20</v>
      </c>
      <c r="L645" s="7">
        <f t="shared" si="31"/>
        <v>1597.28</v>
      </c>
      <c r="M645" s="7"/>
      <c r="O645">
        <f t="shared" si="32"/>
        <v>2</v>
      </c>
      <c r="Q645" t="s">
        <v>23</v>
      </c>
    </row>
    <row r="646" spans="1:17" x14ac:dyDescent="0.3">
      <c r="A646" t="s">
        <v>1335</v>
      </c>
      <c r="B646" s="6">
        <v>45191</v>
      </c>
      <c r="C646" s="6" t="str">
        <f t="shared" si="30"/>
        <v>Sep</v>
      </c>
      <c r="D646" t="s">
        <v>1336</v>
      </c>
      <c r="E646" t="s">
        <v>62</v>
      </c>
      <c r="F646" t="s">
        <v>173</v>
      </c>
      <c r="G646">
        <v>1</v>
      </c>
      <c r="H646" s="7">
        <v>310.27</v>
      </c>
      <c r="I646" t="s">
        <v>46</v>
      </c>
      <c r="J646" t="s">
        <v>87</v>
      </c>
      <c r="K646">
        <v>0</v>
      </c>
      <c r="L646" s="7">
        <f t="shared" si="31"/>
        <v>310.27</v>
      </c>
      <c r="M646" s="7"/>
      <c r="O646">
        <f t="shared" si="32"/>
        <v>2</v>
      </c>
      <c r="Q646" t="s">
        <v>47</v>
      </c>
    </row>
    <row r="647" spans="1:17" x14ac:dyDescent="0.3">
      <c r="A647" t="s">
        <v>1337</v>
      </c>
      <c r="B647" s="6">
        <v>44951</v>
      </c>
      <c r="C647" s="6" t="str">
        <f t="shared" si="30"/>
        <v>Jan</v>
      </c>
      <c r="D647" t="s">
        <v>686</v>
      </c>
      <c r="E647" t="s">
        <v>26</v>
      </c>
      <c r="F647" t="s">
        <v>1194</v>
      </c>
      <c r="G647">
        <v>1</v>
      </c>
      <c r="H647" s="7">
        <v>431.1</v>
      </c>
      <c r="I647" t="s">
        <v>103</v>
      </c>
      <c r="J647" t="s">
        <v>87</v>
      </c>
      <c r="K647">
        <v>15</v>
      </c>
      <c r="L647" s="7">
        <f t="shared" si="31"/>
        <v>431.1</v>
      </c>
      <c r="M647" s="7"/>
      <c r="O647">
        <f t="shared" si="32"/>
        <v>2</v>
      </c>
      <c r="Q647" t="s">
        <v>104</v>
      </c>
    </row>
    <row r="648" spans="1:17" x14ac:dyDescent="0.3">
      <c r="A648" t="s">
        <v>1338</v>
      </c>
      <c r="B648" s="6">
        <v>45134</v>
      </c>
      <c r="C648" s="6" t="str">
        <f t="shared" si="30"/>
        <v>Jul</v>
      </c>
      <c r="D648" t="s">
        <v>1339</v>
      </c>
      <c r="E648" t="s">
        <v>36</v>
      </c>
      <c r="F648" t="s">
        <v>151</v>
      </c>
      <c r="G648">
        <v>4</v>
      </c>
      <c r="H648" s="7">
        <v>176.37</v>
      </c>
      <c r="I648" t="s">
        <v>21</v>
      </c>
      <c r="J648" t="s">
        <v>22</v>
      </c>
      <c r="K648">
        <v>5</v>
      </c>
      <c r="L648" s="7">
        <f t="shared" si="31"/>
        <v>705.48</v>
      </c>
      <c r="M648" s="7"/>
      <c r="O648">
        <f t="shared" si="32"/>
        <v>2</v>
      </c>
      <c r="Q648" t="s">
        <v>23</v>
      </c>
    </row>
    <row r="649" spans="1:17" x14ac:dyDescent="0.3">
      <c r="A649" t="s">
        <v>1340</v>
      </c>
      <c r="B649" s="6">
        <v>44983</v>
      </c>
      <c r="C649" s="6" t="str">
        <f t="shared" si="30"/>
        <v>Feb</v>
      </c>
      <c r="D649" t="s">
        <v>35</v>
      </c>
      <c r="E649" t="s">
        <v>50</v>
      </c>
      <c r="F649" t="s">
        <v>627</v>
      </c>
      <c r="G649">
        <v>8</v>
      </c>
      <c r="H649" s="7">
        <v>328.62</v>
      </c>
      <c r="I649" t="s">
        <v>21</v>
      </c>
      <c r="J649" t="s">
        <v>42</v>
      </c>
      <c r="K649">
        <v>10</v>
      </c>
      <c r="L649" s="7">
        <f t="shared" si="31"/>
        <v>2628.96</v>
      </c>
      <c r="M649" s="7"/>
      <c r="O649">
        <f t="shared" si="32"/>
        <v>3</v>
      </c>
      <c r="Q649" t="s">
        <v>23</v>
      </c>
    </row>
    <row r="650" spans="1:17" x14ac:dyDescent="0.3">
      <c r="A650" t="s">
        <v>1341</v>
      </c>
      <c r="B650" s="6">
        <v>45143</v>
      </c>
      <c r="C650" s="6" t="str">
        <f t="shared" si="30"/>
        <v>Aug</v>
      </c>
      <c r="D650" t="s">
        <v>1342</v>
      </c>
      <c r="E650" t="s">
        <v>31</v>
      </c>
      <c r="F650" t="s">
        <v>693</v>
      </c>
      <c r="G650">
        <v>5</v>
      </c>
      <c r="H650" s="7">
        <v>178.35</v>
      </c>
      <c r="I650" t="s">
        <v>19</v>
      </c>
      <c r="J650" t="s">
        <v>87</v>
      </c>
      <c r="K650">
        <v>0</v>
      </c>
      <c r="L650" s="7">
        <f t="shared" si="31"/>
        <v>891.75</v>
      </c>
      <c r="M650" s="7"/>
      <c r="O650">
        <f t="shared" si="32"/>
        <v>2</v>
      </c>
      <c r="Q650" t="s">
        <v>19</v>
      </c>
    </row>
    <row r="651" spans="1:17" x14ac:dyDescent="0.3">
      <c r="A651" t="s">
        <v>1343</v>
      </c>
      <c r="B651" s="6">
        <v>44983</v>
      </c>
      <c r="C651" s="6" t="str">
        <f t="shared" si="30"/>
        <v>Feb</v>
      </c>
      <c r="D651" t="s">
        <v>727</v>
      </c>
      <c r="E651" t="s">
        <v>19</v>
      </c>
      <c r="F651" t="s">
        <v>201</v>
      </c>
      <c r="G651">
        <v>2</v>
      </c>
      <c r="H651" s="7">
        <v>310.52</v>
      </c>
      <c r="I651" t="s">
        <v>46</v>
      </c>
      <c r="J651" t="s">
        <v>72</v>
      </c>
      <c r="K651">
        <v>5</v>
      </c>
      <c r="L651" s="7">
        <f t="shared" si="31"/>
        <v>621.04</v>
      </c>
      <c r="M651" s="7"/>
      <c r="O651">
        <f t="shared" si="32"/>
        <v>2</v>
      </c>
      <c r="Q651" t="s">
        <v>47</v>
      </c>
    </row>
    <row r="652" spans="1:17" x14ac:dyDescent="0.3">
      <c r="A652" t="s">
        <v>1344</v>
      </c>
      <c r="B652" s="6">
        <v>45235</v>
      </c>
      <c r="C652" s="6" t="str">
        <f t="shared" si="30"/>
        <v>Nov</v>
      </c>
      <c r="D652" t="s">
        <v>592</v>
      </c>
      <c r="E652" t="s">
        <v>31</v>
      </c>
      <c r="F652" t="s">
        <v>190</v>
      </c>
      <c r="G652">
        <v>6</v>
      </c>
      <c r="H652" s="7">
        <v>442.98</v>
      </c>
      <c r="I652" t="s">
        <v>64</v>
      </c>
      <c r="J652" t="s">
        <v>42</v>
      </c>
      <c r="K652">
        <v>10</v>
      </c>
      <c r="L652" s="7">
        <f t="shared" si="31"/>
        <v>2657.88</v>
      </c>
      <c r="M652" s="7"/>
      <c r="O652">
        <f t="shared" si="32"/>
        <v>3</v>
      </c>
      <c r="Q652" t="s">
        <v>65</v>
      </c>
    </row>
    <row r="653" spans="1:17" x14ac:dyDescent="0.3">
      <c r="A653" t="s">
        <v>1345</v>
      </c>
      <c r="B653" s="6">
        <v>44938</v>
      </c>
      <c r="C653" s="6" t="str">
        <f t="shared" si="30"/>
        <v>Jan</v>
      </c>
      <c r="D653" t="s">
        <v>1346</v>
      </c>
      <c r="E653" t="s">
        <v>62</v>
      </c>
      <c r="F653" t="s">
        <v>944</v>
      </c>
      <c r="G653">
        <v>5</v>
      </c>
      <c r="H653" s="7">
        <v>119.52</v>
      </c>
      <c r="I653" t="s">
        <v>21</v>
      </c>
      <c r="J653" t="s">
        <v>22</v>
      </c>
      <c r="K653">
        <v>0</v>
      </c>
      <c r="L653" s="7">
        <f t="shared" si="31"/>
        <v>597.6</v>
      </c>
      <c r="M653" s="7"/>
      <c r="O653">
        <f t="shared" si="32"/>
        <v>2</v>
      </c>
      <c r="Q653" t="s">
        <v>23</v>
      </c>
    </row>
    <row r="654" spans="1:17" x14ac:dyDescent="0.3">
      <c r="A654" t="s">
        <v>1347</v>
      </c>
      <c r="B654" s="6">
        <v>45269</v>
      </c>
      <c r="C654" s="6" t="str">
        <f t="shared" si="30"/>
        <v>Dec</v>
      </c>
      <c r="D654" t="s">
        <v>1011</v>
      </c>
      <c r="E654" t="s">
        <v>19</v>
      </c>
      <c r="F654" t="s">
        <v>730</v>
      </c>
      <c r="G654">
        <v>2</v>
      </c>
      <c r="H654" s="7">
        <v>205.1</v>
      </c>
      <c r="I654" t="s">
        <v>19</v>
      </c>
      <c r="J654" t="s">
        <v>87</v>
      </c>
      <c r="K654">
        <v>5</v>
      </c>
      <c r="L654" s="7">
        <f t="shared" si="31"/>
        <v>410.2</v>
      </c>
      <c r="M654" s="7"/>
      <c r="O654">
        <f t="shared" si="32"/>
        <v>2</v>
      </c>
      <c r="Q654" t="s">
        <v>19</v>
      </c>
    </row>
    <row r="655" spans="1:17" x14ac:dyDescent="0.3">
      <c r="A655" t="s">
        <v>1348</v>
      </c>
      <c r="B655" s="6">
        <v>44974</v>
      </c>
      <c r="C655" s="6" t="str">
        <f t="shared" si="30"/>
        <v>Feb</v>
      </c>
      <c r="D655" t="s">
        <v>679</v>
      </c>
      <c r="E655" t="s">
        <v>36</v>
      </c>
      <c r="F655" t="s">
        <v>398</v>
      </c>
      <c r="G655">
        <v>3</v>
      </c>
      <c r="H655" s="7">
        <v>496.67</v>
      </c>
      <c r="I655" t="s">
        <v>103</v>
      </c>
      <c r="J655" t="s">
        <v>22</v>
      </c>
      <c r="K655">
        <v>10</v>
      </c>
      <c r="L655" s="7">
        <f t="shared" si="31"/>
        <v>1490.01</v>
      </c>
      <c r="M655" s="7"/>
      <c r="O655">
        <f t="shared" si="32"/>
        <v>2</v>
      </c>
      <c r="Q655" t="s">
        <v>104</v>
      </c>
    </row>
    <row r="656" spans="1:17" x14ac:dyDescent="0.3">
      <c r="A656" t="s">
        <v>1349</v>
      </c>
      <c r="B656" s="6">
        <v>45197</v>
      </c>
      <c r="C656" s="6" t="str">
        <f t="shared" si="30"/>
        <v>Sep</v>
      </c>
      <c r="D656" t="s">
        <v>1350</v>
      </c>
      <c r="E656" t="s">
        <v>26</v>
      </c>
      <c r="F656" t="s">
        <v>142</v>
      </c>
      <c r="G656">
        <v>9</v>
      </c>
      <c r="H656" s="7">
        <v>434.94</v>
      </c>
      <c r="I656" t="s">
        <v>21</v>
      </c>
      <c r="J656" t="s">
        <v>42</v>
      </c>
      <c r="K656">
        <v>10</v>
      </c>
      <c r="L656" s="7">
        <f t="shared" si="31"/>
        <v>3914.46</v>
      </c>
      <c r="M656" s="7"/>
      <c r="O656">
        <f t="shared" si="32"/>
        <v>5</v>
      </c>
      <c r="Q656" t="s">
        <v>23</v>
      </c>
    </row>
    <row r="657" spans="1:17" x14ac:dyDescent="0.3">
      <c r="A657" t="s">
        <v>1351</v>
      </c>
      <c r="B657" s="6">
        <v>45113</v>
      </c>
      <c r="C657" s="6" t="str">
        <f t="shared" si="30"/>
        <v>Jul</v>
      </c>
      <c r="D657" t="s">
        <v>195</v>
      </c>
      <c r="E657" t="s">
        <v>19</v>
      </c>
      <c r="F657" t="s">
        <v>749</v>
      </c>
      <c r="G657">
        <v>7</v>
      </c>
      <c r="H657" s="7">
        <v>284.5</v>
      </c>
      <c r="I657" t="s">
        <v>64</v>
      </c>
      <c r="J657" t="s">
        <v>28</v>
      </c>
      <c r="K657">
        <v>20</v>
      </c>
      <c r="L657" s="7">
        <f t="shared" si="31"/>
        <v>1991.5</v>
      </c>
      <c r="M657" s="7"/>
      <c r="O657">
        <f t="shared" si="32"/>
        <v>2</v>
      </c>
      <c r="Q657" t="s">
        <v>65</v>
      </c>
    </row>
    <row r="658" spans="1:17" x14ac:dyDescent="0.3">
      <c r="A658" t="s">
        <v>1352</v>
      </c>
      <c r="B658" s="6">
        <v>45051</v>
      </c>
      <c r="C658" s="6" t="str">
        <f t="shared" si="30"/>
        <v>May</v>
      </c>
      <c r="D658" t="s">
        <v>1199</v>
      </c>
      <c r="E658" t="s">
        <v>19</v>
      </c>
      <c r="F658" t="s">
        <v>237</v>
      </c>
      <c r="G658">
        <v>7</v>
      </c>
      <c r="H658" s="7">
        <v>260.73</v>
      </c>
      <c r="I658" t="s">
        <v>32</v>
      </c>
      <c r="J658" t="s">
        <v>72</v>
      </c>
      <c r="K658">
        <v>10</v>
      </c>
      <c r="L658" s="7">
        <f t="shared" si="31"/>
        <v>1825.1100000000001</v>
      </c>
      <c r="M658" s="7"/>
      <c r="O658">
        <f t="shared" si="32"/>
        <v>2</v>
      </c>
      <c r="Q658" t="s">
        <v>33</v>
      </c>
    </row>
    <row r="659" spans="1:17" x14ac:dyDescent="0.3">
      <c r="A659" t="s">
        <v>1353</v>
      </c>
      <c r="B659" s="6">
        <v>45171</v>
      </c>
      <c r="C659" s="6" t="str">
        <f t="shared" si="30"/>
        <v>Sep</v>
      </c>
      <c r="D659" t="s">
        <v>250</v>
      </c>
      <c r="E659" t="s">
        <v>62</v>
      </c>
      <c r="F659" t="s">
        <v>434</v>
      </c>
      <c r="G659">
        <v>6</v>
      </c>
      <c r="H659" s="7">
        <v>145.88</v>
      </c>
      <c r="I659" t="s">
        <v>103</v>
      </c>
      <c r="J659" t="s">
        <v>87</v>
      </c>
      <c r="K659">
        <v>20</v>
      </c>
      <c r="L659" s="7">
        <f t="shared" si="31"/>
        <v>875.28</v>
      </c>
      <c r="M659" s="7"/>
      <c r="O659">
        <f t="shared" si="32"/>
        <v>2</v>
      </c>
      <c r="Q659" t="s">
        <v>104</v>
      </c>
    </row>
    <row r="660" spans="1:17" x14ac:dyDescent="0.3">
      <c r="A660" t="s">
        <v>1354</v>
      </c>
      <c r="B660" s="6">
        <v>45194</v>
      </c>
      <c r="C660" s="6" t="str">
        <f t="shared" si="30"/>
        <v>Sep</v>
      </c>
      <c r="D660" t="s">
        <v>1355</v>
      </c>
      <c r="E660" t="s">
        <v>19</v>
      </c>
      <c r="F660" t="s">
        <v>344</v>
      </c>
      <c r="G660">
        <v>5</v>
      </c>
      <c r="H660" s="7">
        <v>261.02</v>
      </c>
      <c r="I660" t="s">
        <v>64</v>
      </c>
      <c r="J660" t="s">
        <v>22</v>
      </c>
      <c r="K660">
        <v>5</v>
      </c>
      <c r="L660" s="7">
        <f t="shared" si="31"/>
        <v>1305.0999999999999</v>
      </c>
      <c r="M660" s="7"/>
      <c r="O660">
        <f t="shared" si="32"/>
        <v>2</v>
      </c>
      <c r="Q660" t="s">
        <v>65</v>
      </c>
    </row>
    <row r="661" spans="1:17" x14ac:dyDescent="0.3">
      <c r="A661" t="s">
        <v>1356</v>
      </c>
      <c r="B661" s="6">
        <v>45102</v>
      </c>
      <c r="C661" s="6" t="str">
        <f t="shared" si="30"/>
        <v>Jun</v>
      </c>
      <c r="D661" t="s">
        <v>629</v>
      </c>
      <c r="E661" t="s">
        <v>50</v>
      </c>
      <c r="F661" t="s">
        <v>598</v>
      </c>
      <c r="G661">
        <v>4</v>
      </c>
      <c r="H661" s="7">
        <v>424.85</v>
      </c>
      <c r="I661" t="s">
        <v>32</v>
      </c>
      <c r="J661" t="s">
        <v>28</v>
      </c>
      <c r="K661">
        <v>15</v>
      </c>
      <c r="L661" s="7">
        <f t="shared" si="31"/>
        <v>1699.4</v>
      </c>
      <c r="M661" s="7"/>
      <c r="O661">
        <f t="shared" si="32"/>
        <v>2</v>
      </c>
      <c r="Q661" t="s">
        <v>33</v>
      </c>
    </row>
    <row r="662" spans="1:17" x14ac:dyDescent="0.3">
      <c r="A662" t="s">
        <v>1357</v>
      </c>
      <c r="B662" s="6">
        <v>44973</v>
      </c>
      <c r="C662" s="6" t="str">
        <f t="shared" si="30"/>
        <v>Feb</v>
      </c>
      <c r="D662" t="s">
        <v>605</v>
      </c>
      <c r="E662" t="s">
        <v>19</v>
      </c>
      <c r="F662" t="s">
        <v>450</v>
      </c>
      <c r="G662">
        <v>8</v>
      </c>
      <c r="H662" s="7">
        <v>344.16</v>
      </c>
      <c r="I662" t="s">
        <v>19</v>
      </c>
      <c r="J662" t="s">
        <v>42</v>
      </c>
      <c r="K662">
        <v>20</v>
      </c>
      <c r="L662" s="7">
        <f t="shared" si="31"/>
        <v>2753.28</v>
      </c>
      <c r="M662" s="7"/>
      <c r="O662">
        <f t="shared" si="32"/>
        <v>3</v>
      </c>
      <c r="Q662" t="s">
        <v>19</v>
      </c>
    </row>
    <row r="663" spans="1:17" x14ac:dyDescent="0.3">
      <c r="A663" t="s">
        <v>1358</v>
      </c>
      <c r="B663" s="6">
        <v>45159</v>
      </c>
      <c r="C663" s="6" t="str">
        <f t="shared" si="30"/>
        <v>Aug</v>
      </c>
      <c r="D663" t="s">
        <v>1359</v>
      </c>
      <c r="E663" t="s">
        <v>19</v>
      </c>
      <c r="F663" t="s">
        <v>472</v>
      </c>
      <c r="G663">
        <v>4</v>
      </c>
      <c r="H663" s="7">
        <v>148.57</v>
      </c>
      <c r="I663" t="s">
        <v>19</v>
      </c>
      <c r="J663" t="s">
        <v>72</v>
      </c>
      <c r="K663">
        <v>15</v>
      </c>
      <c r="L663" s="7">
        <f t="shared" si="31"/>
        <v>594.28</v>
      </c>
      <c r="M663" s="7"/>
      <c r="O663">
        <f t="shared" si="32"/>
        <v>2</v>
      </c>
      <c r="Q663" t="s">
        <v>19</v>
      </c>
    </row>
    <row r="664" spans="1:17" x14ac:dyDescent="0.3">
      <c r="A664" t="s">
        <v>1360</v>
      </c>
      <c r="B664" s="6">
        <v>44964</v>
      </c>
      <c r="C664" s="6" t="str">
        <f t="shared" si="30"/>
        <v>Feb</v>
      </c>
      <c r="D664" t="s">
        <v>1342</v>
      </c>
      <c r="E664" t="s">
        <v>31</v>
      </c>
      <c r="F664" t="s">
        <v>833</v>
      </c>
      <c r="G664">
        <v>8</v>
      </c>
      <c r="H664" s="7">
        <v>104.72</v>
      </c>
      <c r="I664" t="s">
        <v>32</v>
      </c>
      <c r="J664" t="s">
        <v>28</v>
      </c>
      <c r="K664">
        <v>10</v>
      </c>
      <c r="L664" s="7">
        <f t="shared" si="31"/>
        <v>837.76</v>
      </c>
      <c r="M664" s="7"/>
      <c r="O664">
        <f t="shared" si="32"/>
        <v>2</v>
      </c>
      <c r="Q664" t="s">
        <v>33</v>
      </c>
    </row>
    <row r="665" spans="1:17" x14ac:dyDescent="0.3">
      <c r="A665" t="s">
        <v>1361</v>
      </c>
      <c r="B665" s="6">
        <v>45010</v>
      </c>
      <c r="C665" s="6" t="str">
        <f t="shared" si="30"/>
        <v>Mar</v>
      </c>
      <c r="D665" t="s">
        <v>1362</v>
      </c>
      <c r="E665" t="s">
        <v>19</v>
      </c>
      <c r="F665" t="s">
        <v>706</v>
      </c>
      <c r="G665">
        <v>9</v>
      </c>
      <c r="H665" s="7">
        <v>136.28</v>
      </c>
      <c r="I665" t="s">
        <v>19</v>
      </c>
      <c r="J665" t="s">
        <v>87</v>
      </c>
      <c r="K665">
        <v>5</v>
      </c>
      <c r="L665" s="7">
        <f t="shared" si="31"/>
        <v>1226.52</v>
      </c>
      <c r="M665" s="7"/>
      <c r="O665">
        <f t="shared" si="32"/>
        <v>2</v>
      </c>
      <c r="Q665" t="s">
        <v>19</v>
      </c>
    </row>
    <row r="666" spans="1:17" x14ac:dyDescent="0.3">
      <c r="A666" t="s">
        <v>1363</v>
      </c>
      <c r="B666" s="6">
        <v>45126</v>
      </c>
      <c r="C666" s="6" t="str">
        <f t="shared" si="30"/>
        <v>Jul</v>
      </c>
      <c r="D666" t="s">
        <v>1364</v>
      </c>
      <c r="E666" t="s">
        <v>50</v>
      </c>
      <c r="F666" t="s">
        <v>423</v>
      </c>
      <c r="G666">
        <v>3</v>
      </c>
      <c r="H666" s="7">
        <v>89.03</v>
      </c>
      <c r="I666" t="s">
        <v>46</v>
      </c>
      <c r="J666" t="s">
        <v>87</v>
      </c>
      <c r="K666">
        <v>10</v>
      </c>
      <c r="L666" s="7">
        <f t="shared" si="31"/>
        <v>267.09000000000003</v>
      </c>
      <c r="M666" s="7"/>
      <c r="O666">
        <f t="shared" si="32"/>
        <v>2</v>
      </c>
      <c r="Q666" t="s">
        <v>47</v>
      </c>
    </row>
    <row r="667" spans="1:17" x14ac:dyDescent="0.3">
      <c r="A667" t="s">
        <v>1365</v>
      </c>
      <c r="B667" s="6">
        <v>44976</v>
      </c>
      <c r="C667" s="6" t="str">
        <f t="shared" si="30"/>
        <v>Feb</v>
      </c>
      <c r="D667" t="s">
        <v>112</v>
      </c>
      <c r="E667" t="s">
        <v>40</v>
      </c>
      <c r="F667" t="s">
        <v>239</v>
      </c>
      <c r="G667">
        <v>3</v>
      </c>
      <c r="H667" s="7">
        <v>52.34</v>
      </c>
      <c r="I667" t="s">
        <v>103</v>
      </c>
      <c r="J667" t="s">
        <v>87</v>
      </c>
      <c r="K667">
        <v>15</v>
      </c>
      <c r="L667" s="7">
        <f t="shared" si="31"/>
        <v>157.02000000000001</v>
      </c>
      <c r="M667" s="7"/>
      <c r="O667">
        <f t="shared" si="32"/>
        <v>2</v>
      </c>
      <c r="Q667" t="s">
        <v>104</v>
      </c>
    </row>
    <row r="668" spans="1:17" x14ac:dyDescent="0.3">
      <c r="A668" t="s">
        <v>1366</v>
      </c>
      <c r="B668" s="6">
        <v>44964</v>
      </c>
      <c r="C668" s="6" t="str">
        <f t="shared" si="30"/>
        <v>Feb</v>
      </c>
      <c r="D668" t="s">
        <v>269</v>
      </c>
      <c r="E668" t="s">
        <v>50</v>
      </c>
      <c r="F668" t="s">
        <v>224</v>
      </c>
      <c r="G668">
        <v>2</v>
      </c>
      <c r="H668" s="7">
        <v>212.47</v>
      </c>
      <c r="I668" t="s">
        <v>46</v>
      </c>
      <c r="J668" t="s">
        <v>87</v>
      </c>
      <c r="K668">
        <v>5</v>
      </c>
      <c r="L668" s="7">
        <f t="shared" si="31"/>
        <v>424.94</v>
      </c>
      <c r="M668" s="7"/>
      <c r="O668">
        <f t="shared" si="32"/>
        <v>2</v>
      </c>
      <c r="Q668" t="s">
        <v>47</v>
      </c>
    </row>
    <row r="669" spans="1:17" x14ac:dyDescent="0.3">
      <c r="A669" t="s">
        <v>1367</v>
      </c>
      <c r="B669" s="6">
        <v>44934</v>
      </c>
      <c r="C669" s="6" t="str">
        <f t="shared" si="30"/>
        <v>Jan</v>
      </c>
      <c r="D669" t="s">
        <v>1368</v>
      </c>
      <c r="E669" t="s">
        <v>40</v>
      </c>
      <c r="F669" t="s">
        <v>642</v>
      </c>
      <c r="G669">
        <v>3</v>
      </c>
      <c r="H669" s="7">
        <v>61.08</v>
      </c>
      <c r="I669" t="s">
        <v>103</v>
      </c>
      <c r="J669" t="s">
        <v>42</v>
      </c>
      <c r="K669">
        <v>15</v>
      </c>
      <c r="L669" s="7">
        <f t="shared" si="31"/>
        <v>183.24</v>
      </c>
      <c r="M669" s="7"/>
      <c r="O669">
        <f t="shared" si="32"/>
        <v>2</v>
      </c>
      <c r="Q669" t="s">
        <v>104</v>
      </c>
    </row>
    <row r="670" spans="1:17" x14ac:dyDescent="0.3">
      <c r="A670" t="s">
        <v>1369</v>
      </c>
      <c r="B670" s="6">
        <v>45209</v>
      </c>
      <c r="C670" s="6" t="str">
        <f t="shared" si="30"/>
        <v>Oct</v>
      </c>
      <c r="D670" t="s">
        <v>1370</v>
      </c>
      <c r="E670" t="s">
        <v>36</v>
      </c>
      <c r="F670" t="s">
        <v>432</v>
      </c>
      <c r="G670">
        <v>3</v>
      </c>
      <c r="H670" s="7">
        <v>90.1</v>
      </c>
      <c r="I670" t="s">
        <v>64</v>
      </c>
      <c r="J670" t="s">
        <v>42</v>
      </c>
      <c r="K670">
        <v>20</v>
      </c>
      <c r="L670" s="7">
        <f t="shared" si="31"/>
        <v>270.29999999999995</v>
      </c>
      <c r="M670" s="7"/>
      <c r="O670">
        <f t="shared" si="32"/>
        <v>2</v>
      </c>
      <c r="Q670" t="s">
        <v>65</v>
      </c>
    </row>
    <row r="671" spans="1:17" x14ac:dyDescent="0.3">
      <c r="A671" t="s">
        <v>1371</v>
      </c>
      <c r="B671" s="6">
        <v>44953</v>
      </c>
      <c r="C671" s="6" t="str">
        <f t="shared" si="30"/>
        <v>Jan</v>
      </c>
      <c r="D671" t="s">
        <v>112</v>
      </c>
      <c r="E671" t="s">
        <v>19</v>
      </c>
      <c r="F671" t="s">
        <v>214</v>
      </c>
      <c r="G671">
        <v>5</v>
      </c>
      <c r="H671" s="7">
        <v>275.93</v>
      </c>
      <c r="I671" t="s">
        <v>46</v>
      </c>
      <c r="J671" t="s">
        <v>19</v>
      </c>
      <c r="K671">
        <v>5</v>
      </c>
      <c r="L671" s="7">
        <f t="shared" si="31"/>
        <v>1379.65</v>
      </c>
      <c r="M671" s="7"/>
      <c r="O671">
        <f t="shared" si="32"/>
        <v>2</v>
      </c>
      <c r="Q671" t="s">
        <v>47</v>
      </c>
    </row>
    <row r="672" spans="1:17" x14ac:dyDescent="0.3">
      <c r="A672" t="s">
        <v>1372</v>
      </c>
      <c r="B672" s="6">
        <v>45107</v>
      </c>
      <c r="C672" s="6" t="str">
        <f t="shared" si="30"/>
        <v>Jun</v>
      </c>
      <c r="D672" t="s">
        <v>919</v>
      </c>
      <c r="E672" t="s">
        <v>36</v>
      </c>
      <c r="F672" t="s">
        <v>284</v>
      </c>
      <c r="G672">
        <v>5</v>
      </c>
      <c r="H672" s="7">
        <v>86.48</v>
      </c>
      <c r="I672" t="s">
        <v>19</v>
      </c>
      <c r="J672" t="s">
        <v>72</v>
      </c>
      <c r="K672">
        <v>20</v>
      </c>
      <c r="L672" s="7">
        <f t="shared" si="31"/>
        <v>432.40000000000003</v>
      </c>
      <c r="M672" s="7"/>
      <c r="O672">
        <f t="shared" si="32"/>
        <v>2</v>
      </c>
      <c r="Q672" t="s">
        <v>19</v>
      </c>
    </row>
    <row r="673" spans="1:17" x14ac:dyDescent="0.3">
      <c r="A673" t="s">
        <v>1373</v>
      </c>
      <c r="B673" s="6">
        <v>45270</v>
      </c>
      <c r="C673" s="6" t="str">
        <f t="shared" si="30"/>
        <v>Dec</v>
      </c>
      <c r="D673" t="s">
        <v>621</v>
      </c>
      <c r="E673" t="s">
        <v>36</v>
      </c>
      <c r="F673" t="s">
        <v>1374</v>
      </c>
      <c r="G673">
        <v>2</v>
      </c>
      <c r="H673" s="7">
        <v>36.619999999999997</v>
      </c>
      <c r="I673" t="s">
        <v>46</v>
      </c>
      <c r="J673" t="s">
        <v>22</v>
      </c>
      <c r="K673">
        <v>0</v>
      </c>
      <c r="L673" s="7">
        <f t="shared" si="31"/>
        <v>73.239999999999995</v>
      </c>
      <c r="M673" s="7"/>
      <c r="O673">
        <f t="shared" si="32"/>
        <v>2</v>
      </c>
      <c r="Q673" t="s">
        <v>47</v>
      </c>
    </row>
    <row r="674" spans="1:17" x14ac:dyDescent="0.3">
      <c r="A674" t="s">
        <v>1375</v>
      </c>
      <c r="B674" s="6">
        <v>45014</v>
      </c>
      <c r="C674" s="6" t="str">
        <f t="shared" si="30"/>
        <v>Mar</v>
      </c>
      <c r="D674" t="s">
        <v>1376</v>
      </c>
      <c r="E674" t="s">
        <v>50</v>
      </c>
      <c r="F674" t="s">
        <v>257</v>
      </c>
      <c r="G674">
        <v>6</v>
      </c>
      <c r="H674" s="7">
        <v>162.11000000000001</v>
      </c>
      <c r="I674" t="s">
        <v>32</v>
      </c>
      <c r="J674" t="s">
        <v>19</v>
      </c>
      <c r="K674">
        <v>5</v>
      </c>
      <c r="L674" s="7">
        <f t="shared" si="31"/>
        <v>972.66000000000008</v>
      </c>
      <c r="M674" s="7"/>
      <c r="O674">
        <f t="shared" si="32"/>
        <v>2</v>
      </c>
      <c r="Q674" t="s">
        <v>33</v>
      </c>
    </row>
    <row r="675" spans="1:17" x14ac:dyDescent="0.3">
      <c r="A675" t="s">
        <v>1377</v>
      </c>
      <c r="B675" s="6">
        <v>45032</v>
      </c>
      <c r="C675" s="6" t="str">
        <f t="shared" si="30"/>
        <v>Apr</v>
      </c>
      <c r="D675" t="s">
        <v>1378</v>
      </c>
      <c r="E675" t="s">
        <v>36</v>
      </c>
      <c r="F675" t="s">
        <v>657</v>
      </c>
      <c r="G675">
        <v>5</v>
      </c>
      <c r="H675" s="7">
        <v>114.06</v>
      </c>
      <c r="I675" t="s">
        <v>21</v>
      </c>
      <c r="J675" t="s">
        <v>28</v>
      </c>
      <c r="K675">
        <v>15</v>
      </c>
      <c r="L675" s="7">
        <f t="shared" si="31"/>
        <v>570.29999999999995</v>
      </c>
      <c r="M675" s="7"/>
      <c r="O675">
        <f t="shared" si="32"/>
        <v>2</v>
      </c>
      <c r="Q675" t="s">
        <v>23</v>
      </c>
    </row>
    <row r="676" spans="1:17" x14ac:dyDescent="0.3">
      <c r="A676" t="s">
        <v>1379</v>
      </c>
      <c r="B676" s="6">
        <v>45202</v>
      </c>
      <c r="C676" s="6" t="str">
        <f t="shared" si="30"/>
        <v>Oct</v>
      </c>
      <c r="D676" t="s">
        <v>1380</v>
      </c>
      <c r="E676" t="s">
        <v>62</v>
      </c>
      <c r="F676" t="s">
        <v>822</v>
      </c>
      <c r="G676">
        <v>6</v>
      </c>
      <c r="H676" s="7">
        <v>260.08</v>
      </c>
      <c r="I676" t="s">
        <v>64</v>
      </c>
      <c r="J676" t="s">
        <v>22</v>
      </c>
      <c r="K676">
        <v>0</v>
      </c>
      <c r="L676" s="7">
        <f t="shared" si="31"/>
        <v>1560.48</v>
      </c>
      <c r="M676" s="7"/>
      <c r="O676">
        <f t="shared" si="32"/>
        <v>2</v>
      </c>
      <c r="Q676" t="s">
        <v>65</v>
      </c>
    </row>
    <row r="677" spans="1:17" x14ac:dyDescent="0.3">
      <c r="A677" t="s">
        <v>1381</v>
      </c>
      <c r="B677" s="6">
        <v>45192</v>
      </c>
      <c r="C677" s="6" t="str">
        <f t="shared" si="30"/>
        <v>Sep</v>
      </c>
      <c r="D677" t="s">
        <v>1160</v>
      </c>
      <c r="E677" t="s">
        <v>50</v>
      </c>
      <c r="F677" t="s">
        <v>173</v>
      </c>
      <c r="G677">
        <v>1</v>
      </c>
      <c r="H677" s="7">
        <v>55.67</v>
      </c>
      <c r="I677" t="s">
        <v>46</v>
      </c>
      <c r="J677" t="s">
        <v>19</v>
      </c>
      <c r="K677">
        <v>20</v>
      </c>
      <c r="L677" s="7">
        <f t="shared" si="31"/>
        <v>55.67</v>
      </c>
      <c r="M677" s="7"/>
      <c r="O677">
        <f t="shared" si="32"/>
        <v>2</v>
      </c>
      <c r="Q677" t="s">
        <v>47</v>
      </c>
    </row>
    <row r="678" spans="1:17" x14ac:dyDescent="0.3">
      <c r="A678" t="s">
        <v>1382</v>
      </c>
      <c r="B678" s="6">
        <v>45271</v>
      </c>
      <c r="C678" s="6" t="str">
        <f t="shared" si="30"/>
        <v>Dec</v>
      </c>
      <c r="D678" t="s">
        <v>1383</v>
      </c>
      <c r="E678" t="s">
        <v>36</v>
      </c>
      <c r="F678" t="s">
        <v>789</v>
      </c>
      <c r="G678">
        <v>5</v>
      </c>
      <c r="H678" s="7">
        <v>377.13</v>
      </c>
      <c r="I678" t="s">
        <v>21</v>
      </c>
      <c r="J678" t="s">
        <v>42</v>
      </c>
      <c r="K678">
        <v>20</v>
      </c>
      <c r="L678" s="7">
        <f t="shared" si="31"/>
        <v>1885.65</v>
      </c>
      <c r="M678" s="7"/>
      <c r="O678">
        <f t="shared" si="32"/>
        <v>2</v>
      </c>
      <c r="Q678" t="s">
        <v>23</v>
      </c>
    </row>
    <row r="679" spans="1:17" x14ac:dyDescent="0.3">
      <c r="A679" t="s">
        <v>1384</v>
      </c>
      <c r="B679" s="6">
        <v>45159</v>
      </c>
      <c r="C679" s="6" t="str">
        <f t="shared" si="30"/>
        <v>Aug</v>
      </c>
      <c r="D679" t="s">
        <v>999</v>
      </c>
      <c r="E679" t="s">
        <v>26</v>
      </c>
      <c r="F679" t="s">
        <v>1194</v>
      </c>
      <c r="G679">
        <v>9</v>
      </c>
      <c r="H679" s="7">
        <v>453.59</v>
      </c>
      <c r="I679" t="s">
        <v>64</v>
      </c>
      <c r="J679" t="s">
        <v>22</v>
      </c>
      <c r="K679">
        <v>15</v>
      </c>
      <c r="L679" s="7">
        <f t="shared" si="31"/>
        <v>4082.31</v>
      </c>
      <c r="M679" s="7"/>
      <c r="O679">
        <f t="shared" si="32"/>
        <v>5</v>
      </c>
      <c r="Q679" t="s">
        <v>65</v>
      </c>
    </row>
    <row r="680" spans="1:17" x14ac:dyDescent="0.3">
      <c r="A680" t="s">
        <v>1385</v>
      </c>
      <c r="B680" s="6">
        <v>45084</v>
      </c>
      <c r="C680" s="6" t="str">
        <f t="shared" si="30"/>
        <v>Jun</v>
      </c>
      <c r="D680" t="s">
        <v>1386</v>
      </c>
      <c r="E680" t="s">
        <v>19</v>
      </c>
      <c r="F680" t="s">
        <v>356</v>
      </c>
      <c r="G680">
        <v>2</v>
      </c>
      <c r="H680" s="7">
        <v>373</v>
      </c>
      <c r="I680" t="s">
        <v>21</v>
      </c>
      <c r="J680" t="s">
        <v>87</v>
      </c>
      <c r="K680">
        <v>0</v>
      </c>
      <c r="L680" s="7">
        <f t="shared" si="31"/>
        <v>746</v>
      </c>
      <c r="M680" s="7"/>
      <c r="O680">
        <f t="shared" si="32"/>
        <v>2</v>
      </c>
      <c r="Q680" t="s">
        <v>23</v>
      </c>
    </row>
    <row r="681" spans="1:17" x14ac:dyDescent="0.3">
      <c r="A681" t="s">
        <v>1387</v>
      </c>
      <c r="B681" s="6">
        <v>45110</v>
      </c>
      <c r="C681" s="6" t="str">
        <f t="shared" si="30"/>
        <v>Jul</v>
      </c>
      <c r="D681" t="s">
        <v>1388</v>
      </c>
      <c r="E681" t="s">
        <v>62</v>
      </c>
      <c r="F681" t="s">
        <v>389</v>
      </c>
      <c r="G681">
        <v>1</v>
      </c>
      <c r="H681" s="7">
        <v>268.75</v>
      </c>
      <c r="I681" t="s">
        <v>32</v>
      </c>
      <c r="J681" t="s">
        <v>19</v>
      </c>
      <c r="K681">
        <v>10</v>
      </c>
      <c r="L681" s="7">
        <f t="shared" si="31"/>
        <v>268.75</v>
      </c>
      <c r="M681" s="7"/>
      <c r="O681">
        <f t="shared" si="32"/>
        <v>2</v>
      </c>
      <c r="Q681" t="s">
        <v>33</v>
      </c>
    </row>
    <row r="682" spans="1:17" x14ac:dyDescent="0.3">
      <c r="A682" t="s">
        <v>1389</v>
      </c>
      <c r="B682" s="6">
        <v>45087</v>
      </c>
      <c r="C682" s="6" t="str">
        <f t="shared" si="30"/>
        <v>Jun</v>
      </c>
      <c r="D682" t="s">
        <v>483</v>
      </c>
      <c r="E682" t="s">
        <v>26</v>
      </c>
      <c r="F682" t="s">
        <v>273</v>
      </c>
      <c r="G682">
        <v>9</v>
      </c>
      <c r="H682" s="7">
        <v>431.03</v>
      </c>
      <c r="I682" t="s">
        <v>46</v>
      </c>
      <c r="J682" t="s">
        <v>72</v>
      </c>
      <c r="K682">
        <v>10</v>
      </c>
      <c r="L682" s="7">
        <f t="shared" si="31"/>
        <v>3879.2699999999995</v>
      </c>
      <c r="M682" s="7"/>
      <c r="O682">
        <f t="shared" si="32"/>
        <v>5</v>
      </c>
      <c r="Q682" t="s">
        <v>47</v>
      </c>
    </row>
    <row r="683" spans="1:17" x14ac:dyDescent="0.3">
      <c r="A683" t="s">
        <v>1390</v>
      </c>
      <c r="B683" s="6">
        <v>45192</v>
      </c>
      <c r="C683" s="6" t="str">
        <f t="shared" si="30"/>
        <v>Sep</v>
      </c>
      <c r="D683" t="s">
        <v>1391</v>
      </c>
      <c r="E683" t="s">
        <v>36</v>
      </c>
      <c r="F683" t="s">
        <v>909</v>
      </c>
      <c r="G683">
        <v>9</v>
      </c>
      <c r="H683" s="7">
        <v>348.98</v>
      </c>
      <c r="I683" t="s">
        <v>32</v>
      </c>
      <c r="J683" t="s">
        <v>22</v>
      </c>
      <c r="K683">
        <v>15</v>
      </c>
      <c r="L683" s="7">
        <f t="shared" si="31"/>
        <v>3140.82</v>
      </c>
      <c r="M683" s="7"/>
      <c r="O683">
        <f t="shared" si="32"/>
        <v>4</v>
      </c>
      <c r="Q683" t="s">
        <v>33</v>
      </c>
    </row>
    <row r="684" spans="1:17" x14ac:dyDescent="0.3">
      <c r="A684" t="s">
        <v>1392</v>
      </c>
      <c r="B684" s="6">
        <v>45105</v>
      </c>
      <c r="C684" s="6" t="str">
        <f t="shared" si="30"/>
        <v>Jun</v>
      </c>
      <c r="D684" t="s">
        <v>1393</v>
      </c>
      <c r="E684" t="s">
        <v>26</v>
      </c>
      <c r="F684" t="s">
        <v>1206</v>
      </c>
      <c r="G684">
        <v>9</v>
      </c>
      <c r="H684" s="7">
        <v>10.220000000000001</v>
      </c>
      <c r="I684" t="s">
        <v>21</v>
      </c>
      <c r="J684" t="s">
        <v>42</v>
      </c>
      <c r="K684">
        <v>20</v>
      </c>
      <c r="L684" s="7">
        <f t="shared" si="31"/>
        <v>91.98</v>
      </c>
      <c r="M684" s="7"/>
      <c r="O684">
        <f t="shared" si="32"/>
        <v>2</v>
      </c>
      <c r="Q684" t="s">
        <v>23</v>
      </c>
    </row>
    <row r="685" spans="1:17" x14ac:dyDescent="0.3">
      <c r="A685" t="s">
        <v>1394</v>
      </c>
      <c r="B685" s="6">
        <v>45088</v>
      </c>
      <c r="C685" s="6" t="str">
        <f t="shared" si="30"/>
        <v>Jun</v>
      </c>
      <c r="D685" t="s">
        <v>541</v>
      </c>
      <c r="E685" t="s">
        <v>19</v>
      </c>
      <c r="F685" t="s">
        <v>224</v>
      </c>
      <c r="G685">
        <v>6</v>
      </c>
      <c r="H685" s="7">
        <v>200.07</v>
      </c>
      <c r="I685" t="s">
        <v>21</v>
      </c>
      <c r="J685" t="s">
        <v>22</v>
      </c>
      <c r="K685">
        <v>5</v>
      </c>
      <c r="L685" s="7">
        <f t="shared" si="31"/>
        <v>1200.42</v>
      </c>
      <c r="M685" s="7"/>
      <c r="O685">
        <f t="shared" si="32"/>
        <v>2</v>
      </c>
      <c r="Q685" t="s">
        <v>23</v>
      </c>
    </row>
    <row r="686" spans="1:17" x14ac:dyDescent="0.3">
      <c r="A686" t="s">
        <v>1395</v>
      </c>
      <c r="B686" s="6">
        <v>45212</v>
      </c>
      <c r="C686" s="6" t="str">
        <f t="shared" si="30"/>
        <v>Oct</v>
      </c>
      <c r="D686" t="s">
        <v>1396</v>
      </c>
      <c r="E686" t="s">
        <v>36</v>
      </c>
      <c r="F686" t="s">
        <v>480</v>
      </c>
      <c r="G686">
        <v>8</v>
      </c>
      <c r="H686" s="7">
        <v>426.22</v>
      </c>
      <c r="I686" t="s">
        <v>46</v>
      </c>
      <c r="J686" t="s">
        <v>19</v>
      </c>
      <c r="K686">
        <v>0</v>
      </c>
      <c r="L686" s="7">
        <f t="shared" si="31"/>
        <v>3409.76</v>
      </c>
      <c r="M686" s="7"/>
      <c r="O686">
        <f t="shared" si="32"/>
        <v>4</v>
      </c>
      <c r="Q686" t="s">
        <v>47</v>
      </c>
    </row>
    <row r="687" spans="1:17" x14ac:dyDescent="0.3">
      <c r="A687" t="s">
        <v>1397</v>
      </c>
      <c r="B687" s="6">
        <v>45263</v>
      </c>
      <c r="C687" s="6" t="str">
        <f t="shared" si="30"/>
        <v>Dec</v>
      </c>
      <c r="D687" t="s">
        <v>1398</v>
      </c>
      <c r="E687" t="s">
        <v>19</v>
      </c>
      <c r="F687" t="s">
        <v>436</v>
      </c>
      <c r="G687">
        <v>1</v>
      </c>
      <c r="H687" s="7">
        <v>176.2</v>
      </c>
      <c r="I687" t="s">
        <v>46</v>
      </c>
      <c r="J687" t="s">
        <v>72</v>
      </c>
      <c r="K687">
        <v>10</v>
      </c>
      <c r="L687" s="7">
        <f t="shared" si="31"/>
        <v>176.2</v>
      </c>
      <c r="M687" s="7"/>
      <c r="O687">
        <f t="shared" si="32"/>
        <v>2</v>
      </c>
      <c r="Q687" t="s">
        <v>47</v>
      </c>
    </row>
    <row r="688" spans="1:17" x14ac:dyDescent="0.3">
      <c r="A688" t="s">
        <v>1399</v>
      </c>
      <c r="B688" s="6">
        <v>44944</v>
      </c>
      <c r="C688" s="6" t="str">
        <f t="shared" si="30"/>
        <v>Jan</v>
      </c>
      <c r="D688" t="s">
        <v>156</v>
      </c>
      <c r="E688" t="s">
        <v>36</v>
      </c>
      <c r="F688" t="s">
        <v>270</v>
      </c>
      <c r="G688">
        <v>4</v>
      </c>
      <c r="H688" s="7">
        <v>22.43</v>
      </c>
      <c r="I688" t="s">
        <v>19</v>
      </c>
      <c r="J688" t="s">
        <v>42</v>
      </c>
      <c r="K688">
        <v>10</v>
      </c>
      <c r="L688" s="7">
        <f t="shared" si="31"/>
        <v>89.72</v>
      </c>
      <c r="M688" s="7"/>
      <c r="O688">
        <f t="shared" si="32"/>
        <v>2</v>
      </c>
      <c r="Q688" t="s">
        <v>19</v>
      </c>
    </row>
    <row r="689" spans="1:17" x14ac:dyDescent="0.3">
      <c r="A689" t="s">
        <v>1400</v>
      </c>
      <c r="B689" s="6">
        <v>45118</v>
      </c>
      <c r="C689" s="6" t="str">
        <f t="shared" si="30"/>
        <v>Jul</v>
      </c>
      <c r="D689" t="s">
        <v>1401</v>
      </c>
      <c r="E689" t="s">
        <v>31</v>
      </c>
      <c r="F689" t="s">
        <v>403</v>
      </c>
      <c r="G689">
        <v>1</v>
      </c>
      <c r="H689" s="7">
        <v>374.36</v>
      </c>
      <c r="I689" t="s">
        <v>21</v>
      </c>
      <c r="J689" t="s">
        <v>28</v>
      </c>
      <c r="K689">
        <v>5</v>
      </c>
      <c r="L689" s="7">
        <f t="shared" si="31"/>
        <v>374.36</v>
      </c>
      <c r="M689" s="7"/>
      <c r="O689">
        <f t="shared" si="32"/>
        <v>2</v>
      </c>
      <c r="Q689" t="s">
        <v>23</v>
      </c>
    </row>
    <row r="690" spans="1:17" x14ac:dyDescent="0.3">
      <c r="A690" t="s">
        <v>1402</v>
      </c>
      <c r="B690" s="6">
        <v>45142</v>
      </c>
      <c r="C690" s="6" t="str">
        <f t="shared" si="30"/>
        <v>Aug</v>
      </c>
      <c r="D690" t="s">
        <v>1323</v>
      </c>
      <c r="E690" t="s">
        <v>26</v>
      </c>
      <c r="F690" t="s">
        <v>372</v>
      </c>
      <c r="G690">
        <v>8</v>
      </c>
      <c r="H690" s="7">
        <v>402.01</v>
      </c>
      <c r="I690" t="s">
        <v>19</v>
      </c>
      <c r="J690" t="s">
        <v>72</v>
      </c>
      <c r="K690">
        <v>0</v>
      </c>
      <c r="L690" s="7">
        <f t="shared" si="31"/>
        <v>3216.08</v>
      </c>
      <c r="M690" s="7"/>
      <c r="O690">
        <f t="shared" si="32"/>
        <v>4</v>
      </c>
      <c r="Q690" t="s">
        <v>19</v>
      </c>
    </row>
    <row r="691" spans="1:17" x14ac:dyDescent="0.3">
      <c r="A691" t="s">
        <v>1403</v>
      </c>
      <c r="B691" s="6">
        <v>45240</v>
      </c>
      <c r="C691" s="6" t="str">
        <f t="shared" si="30"/>
        <v>Nov</v>
      </c>
      <c r="D691" t="s">
        <v>802</v>
      </c>
      <c r="E691" t="s">
        <v>50</v>
      </c>
      <c r="F691" t="s">
        <v>693</v>
      </c>
      <c r="G691">
        <v>1</v>
      </c>
      <c r="H691" s="7">
        <v>84.49</v>
      </c>
      <c r="I691" t="s">
        <v>46</v>
      </c>
      <c r="J691" t="s">
        <v>72</v>
      </c>
      <c r="K691">
        <v>10</v>
      </c>
      <c r="L691" s="7">
        <f t="shared" si="31"/>
        <v>84.49</v>
      </c>
      <c r="M691" s="7"/>
      <c r="O691">
        <f t="shared" si="32"/>
        <v>2</v>
      </c>
      <c r="Q691" t="s">
        <v>47</v>
      </c>
    </row>
    <row r="692" spans="1:17" x14ac:dyDescent="0.3">
      <c r="A692" t="s">
        <v>1404</v>
      </c>
      <c r="B692" s="6">
        <v>45246</v>
      </c>
      <c r="C692" s="6" t="str">
        <f t="shared" si="30"/>
        <v>Nov</v>
      </c>
      <c r="D692" t="s">
        <v>746</v>
      </c>
      <c r="E692" t="s">
        <v>62</v>
      </c>
      <c r="F692" t="s">
        <v>450</v>
      </c>
      <c r="G692">
        <v>3</v>
      </c>
      <c r="H692" s="7">
        <v>270.98</v>
      </c>
      <c r="I692" t="s">
        <v>64</v>
      </c>
      <c r="J692" t="s">
        <v>28</v>
      </c>
      <c r="K692">
        <v>15</v>
      </c>
      <c r="L692" s="7">
        <f t="shared" si="31"/>
        <v>812.94</v>
      </c>
      <c r="M692" s="7"/>
      <c r="O692">
        <f t="shared" si="32"/>
        <v>2</v>
      </c>
      <c r="Q692" t="s">
        <v>65</v>
      </c>
    </row>
    <row r="693" spans="1:17" x14ac:dyDescent="0.3">
      <c r="A693" t="s">
        <v>1405</v>
      </c>
      <c r="B693" s="6">
        <v>45239</v>
      </c>
      <c r="C693" s="6" t="str">
        <f t="shared" si="30"/>
        <v>Nov</v>
      </c>
      <c r="D693" t="s">
        <v>1406</v>
      </c>
      <c r="E693" t="s">
        <v>31</v>
      </c>
      <c r="F693" t="s">
        <v>833</v>
      </c>
      <c r="G693">
        <v>4</v>
      </c>
      <c r="H693" s="7">
        <v>100.02</v>
      </c>
      <c r="I693" t="s">
        <v>32</v>
      </c>
      <c r="J693" t="s">
        <v>28</v>
      </c>
      <c r="K693">
        <v>10</v>
      </c>
      <c r="L693" s="7">
        <f t="shared" si="31"/>
        <v>400.08</v>
      </c>
      <c r="M693" s="7"/>
      <c r="O693">
        <f t="shared" si="32"/>
        <v>2</v>
      </c>
      <c r="Q693" t="s">
        <v>33</v>
      </c>
    </row>
    <row r="694" spans="1:17" x14ac:dyDescent="0.3">
      <c r="A694" t="s">
        <v>1407</v>
      </c>
      <c r="B694" s="6">
        <v>45003</v>
      </c>
      <c r="C694" s="6" t="str">
        <f t="shared" si="30"/>
        <v>Mar</v>
      </c>
      <c r="D694" t="s">
        <v>1408</v>
      </c>
      <c r="E694" t="s">
        <v>26</v>
      </c>
      <c r="F694" t="s">
        <v>983</v>
      </c>
      <c r="G694">
        <v>8</v>
      </c>
      <c r="H694" s="7">
        <v>361.02</v>
      </c>
      <c r="I694" t="s">
        <v>19</v>
      </c>
      <c r="J694" t="s">
        <v>42</v>
      </c>
      <c r="K694">
        <v>15</v>
      </c>
      <c r="L694" s="7">
        <f t="shared" si="31"/>
        <v>2888.16</v>
      </c>
      <c r="M694" s="7"/>
      <c r="O694">
        <f t="shared" si="32"/>
        <v>3</v>
      </c>
      <c r="Q694" t="s">
        <v>19</v>
      </c>
    </row>
    <row r="695" spans="1:17" x14ac:dyDescent="0.3">
      <c r="A695" t="s">
        <v>1409</v>
      </c>
      <c r="B695" s="6">
        <v>44938</v>
      </c>
      <c r="C695" s="6" t="str">
        <f t="shared" si="30"/>
        <v>Jan</v>
      </c>
      <c r="D695" t="s">
        <v>1410</v>
      </c>
      <c r="E695" t="s">
        <v>31</v>
      </c>
      <c r="F695" t="s">
        <v>646</v>
      </c>
      <c r="G695">
        <v>6</v>
      </c>
      <c r="H695" s="7">
        <v>139.41999999999999</v>
      </c>
      <c r="I695" t="s">
        <v>64</v>
      </c>
      <c r="J695" t="s">
        <v>42</v>
      </c>
      <c r="K695">
        <v>0</v>
      </c>
      <c r="L695" s="7">
        <f t="shared" si="31"/>
        <v>836.52</v>
      </c>
      <c r="M695" s="7"/>
      <c r="O695">
        <f t="shared" si="32"/>
        <v>2</v>
      </c>
      <c r="Q695" t="s">
        <v>65</v>
      </c>
    </row>
    <row r="696" spans="1:17" x14ac:dyDescent="0.3">
      <c r="A696" t="s">
        <v>1411</v>
      </c>
      <c r="B696" s="6">
        <v>45187</v>
      </c>
      <c r="C696" s="6" t="str">
        <f t="shared" si="30"/>
        <v>Sep</v>
      </c>
      <c r="D696" t="s">
        <v>1412</v>
      </c>
      <c r="E696" t="s">
        <v>62</v>
      </c>
      <c r="F696" t="s">
        <v>523</v>
      </c>
      <c r="G696">
        <v>7</v>
      </c>
      <c r="H696" s="7">
        <v>161.53</v>
      </c>
      <c r="I696" t="s">
        <v>64</v>
      </c>
      <c r="J696" t="s">
        <v>87</v>
      </c>
      <c r="K696">
        <v>10</v>
      </c>
      <c r="L696" s="7">
        <f t="shared" si="31"/>
        <v>1130.71</v>
      </c>
      <c r="M696" s="7"/>
      <c r="O696">
        <f t="shared" si="32"/>
        <v>2</v>
      </c>
      <c r="Q696" t="s">
        <v>65</v>
      </c>
    </row>
    <row r="697" spans="1:17" x14ac:dyDescent="0.3">
      <c r="A697" t="s">
        <v>1413</v>
      </c>
      <c r="B697" s="6">
        <v>45098</v>
      </c>
      <c r="C697" s="6" t="str">
        <f t="shared" si="30"/>
        <v>Jun</v>
      </c>
      <c r="D697" t="s">
        <v>1414</v>
      </c>
      <c r="E697" t="s">
        <v>50</v>
      </c>
      <c r="F697" t="s">
        <v>251</v>
      </c>
      <c r="G697">
        <v>8</v>
      </c>
      <c r="H697" s="7">
        <v>423.26</v>
      </c>
      <c r="I697" t="s">
        <v>21</v>
      </c>
      <c r="J697" t="s">
        <v>72</v>
      </c>
      <c r="K697">
        <v>10</v>
      </c>
      <c r="L697" s="7">
        <f t="shared" si="31"/>
        <v>3386.08</v>
      </c>
      <c r="M697" s="7"/>
      <c r="O697">
        <f t="shared" si="32"/>
        <v>4</v>
      </c>
      <c r="Q697" t="s">
        <v>23</v>
      </c>
    </row>
    <row r="698" spans="1:17" x14ac:dyDescent="0.3">
      <c r="A698" t="s">
        <v>1415</v>
      </c>
      <c r="B698" s="6">
        <v>45214</v>
      </c>
      <c r="C698" s="6" t="str">
        <f t="shared" si="30"/>
        <v>Oct</v>
      </c>
      <c r="D698" t="s">
        <v>1416</v>
      </c>
      <c r="E698" t="s">
        <v>19</v>
      </c>
      <c r="F698" t="s">
        <v>176</v>
      </c>
      <c r="G698">
        <v>2</v>
      </c>
      <c r="H698" s="7">
        <v>240.78</v>
      </c>
      <c r="I698" t="s">
        <v>19</v>
      </c>
      <c r="J698" t="s">
        <v>72</v>
      </c>
      <c r="K698">
        <v>10</v>
      </c>
      <c r="L698" s="7">
        <f t="shared" si="31"/>
        <v>481.56</v>
      </c>
      <c r="M698" s="7"/>
      <c r="O698">
        <f t="shared" si="32"/>
        <v>2</v>
      </c>
      <c r="Q698" t="s">
        <v>19</v>
      </c>
    </row>
    <row r="699" spans="1:17" x14ac:dyDescent="0.3">
      <c r="A699" t="s">
        <v>1417</v>
      </c>
      <c r="B699" s="6">
        <v>45112</v>
      </c>
      <c r="C699" s="6" t="str">
        <f t="shared" si="30"/>
        <v>Jul</v>
      </c>
      <c r="D699" t="s">
        <v>1418</v>
      </c>
      <c r="E699" t="s">
        <v>26</v>
      </c>
      <c r="F699" t="s">
        <v>861</v>
      </c>
      <c r="G699">
        <v>8</v>
      </c>
      <c r="H699" s="7">
        <v>336.53</v>
      </c>
      <c r="I699" t="s">
        <v>32</v>
      </c>
      <c r="J699" t="s">
        <v>28</v>
      </c>
      <c r="K699">
        <v>0</v>
      </c>
      <c r="L699" s="7">
        <f t="shared" si="31"/>
        <v>2692.24</v>
      </c>
      <c r="M699" s="7"/>
      <c r="O699">
        <f t="shared" si="32"/>
        <v>3</v>
      </c>
      <c r="Q699" t="s">
        <v>33</v>
      </c>
    </row>
    <row r="700" spans="1:17" x14ac:dyDescent="0.3">
      <c r="A700" t="s">
        <v>1419</v>
      </c>
      <c r="B700" s="6">
        <v>45134</v>
      </c>
      <c r="C700" s="6" t="str">
        <f t="shared" si="30"/>
        <v>Jul</v>
      </c>
      <c r="D700" t="s">
        <v>565</v>
      </c>
      <c r="E700" t="s">
        <v>40</v>
      </c>
      <c r="F700" t="s">
        <v>289</v>
      </c>
      <c r="G700">
        <v>3</v>
      </c>
      <c r="H700" s="7">
        <v>204.17</v>
      </c>
      <c r="I700" t="s">
        <v>64</v>
      </c>
      <c r="J700" t="s">
        <v>42</v>
      </c>
      <c r="K700">
        <v>5</v>
      </c>
      <c r="L700" s="7">
        <f t="shared" si="31"/>
        <v>612.51</v>
      </c>
      <c r="M700" s="7"/>
      <c r="O700">
        <f t="shared" si="32"/>
        <v>2</v>
      </c>
      <c r="Q700" t="s">
        <v>65</v>
      </c>
    </row>
    <row r="701" spans="1:17" x14ac:dyDescent="0.3">
      <c r="A701" t="s">
        <v>1420</v>
      </c>
      <c r="B701" s="6">
        <v>45240</v>
      </c>
      <c r="C701" s="6" t="str">
        <f t="shared" si="30"/>
        <v>Nov</v>
      </c>
      <c r="D701" t="s">
        <v>1421</v>
      </c>
      <c r="E701" t="s">
        <v>50</v>
      </c>
      <c r="F701" t="s">
        <v>800</v>
      </c>
      <c r="G701">
        <v>7</v>
      </c>
      <c r="H701" s="7">
        <v>152.51</v>
      </c>
      <c r="I701" t="s">
        <v>103</v>
      </c>
      <c r="J701" t="s">
        <v>22</v>
      </c>
      <c r="K701">
        <v>5</v>
      </c>
      <c r="L701" s="7">
        <f t="shared" si="31"/>
        <v>1067.57</v>
      </c>
      <c r="M701" s="7"/>
      <c r="O701">
        <f t="shared" si="32"/>
        <v>2</v>
      </c>
      <c r="Q701" t="s">
        <v>104</v>
      </c>
    </row>
    <row r="702" spans="1:17" x14ac:dyDescent="0.3">
      <c r="A702" t="s">
        <v>1422</v>
      </c>
      <c r="B702" s="6">
        <v>45197</v>
      </c>
      <c r="C702" s="6" t="str">
        <f t="shared" si="30"/>
        <v>Sep</v>
      </c>
      <c r="D702" t="s">
        <v>1423</v>
      </c>
      <c r="E702" t="s">
        <v>26</v>
      </c>
      <c r="F702" t="s">
        <v>81</v>
      </c>
      <c r="G702">
        <v>3</v>
      </c>
      <c r="H702" s="7">
        <v>314.61</v>
      </c>
      <c r="I702" t="s">
        <v>103</v>
      </c>
      <c r="J702" t="s">
        <v>22</v>
      </c>
      <c r="K702">
        <v>10</v>
      </c>
      <c r="L702" s="7">
        <f t="shared" si="31"/>
        <v>943.83</v>
      </c>
      <c r="M702" s="7"/>
      <c r="O702">
        <f t="shared" si="32"/>
        <v>2</v>
      </c>
      <c r="Q702" t="s">
        <v>104</v>
      </c>
    </row>
    <row r="703" spans="1:17" x14ac:dyDescent="0.3">
      <c r="A703" t="s">
        <v>1424</v>
      </c>
      <c r="B703" s="6">
        <v>44994</v>
      </c>
      <c r="C703" s="6" t="str">
        <f t="shared" si="30"/>
        <v>Mar</v>
      </c>
      <c r="D703" t="s">
        <v>806</v>
      </c>
      <c r="E703" t="s">
        <v>31</v>
      </c>
      <c r="F703" t="s">
        <v>308</v>
      </c>
      <c r="G703">
        <v>7</v>
      </c>
      <c r="H703" s="7">
        <v>81.650000000000006</v>
      </c>
      <c r="I703" t="s">
        <v>103</v>
      </c>
      <c r="J703" t="s">
        <v>87</v>
      </c>
      <c r="K703">
        <v>10</v>
      </c>
      <c r="L703" s="7">
        <f t="shared" si="31"/>
        <v>571.55000000000007</v>
      </c>
      <c r="M703" s="7"/>
      <c r="O703">
        <f t="shared" si="32"/>
        <v>2</v>
      </c>
      <c r="Q703" t="s">
        <v>104</v>
      </c>
    </row>
    <row r="704" spans="1:17" x14ac:dyDescent="0.3">
      <c r="A704" t="s">
        <v>1425</v>
      </c>
      <c r="B704" s="6">
        <v>44971</v>
      </c>
      <c r="C704" s="6" t="str">
        <f t="shared" si="30"/>
        <v>Feb</v>
      </c>
      <c r="D704" t="s">
        <v>1426</v>
      </c>
      <c r="E704" t="s">
        <v>50</v>
      </c>
      <c r="F704" t="s">
        <v>263</v>
      </c>
      <c r="G704">
        <v>2</v>
      </c>
      <c r="H704" s="7">
        <v>189.63</v>
      </c>
      <c r="I704" t="s">
        <v>19</v>
      </c>
      <c r="J704" t="s">
        <v>19</v>
      </c>
      <c r="K704">
        <v>15</v>
      </c>
      <c r="L704" s="7">
        <f t="shared" si="31"/>
        <v>379.26</v>
      </c>
      <c r="M704" s="7"/>
      <c r="O704">
        <f t="shared" si="32"/>
        <v>2</v>
      </c>
      <c r="Q704" t="s">
        <v>19</v>
      </c>
    </row>
    <row r="705" spans="1:17" x14ac:dyDescent="0.3">
      <c r="A705" t="s">
        <v>1427</v>
      </c>
      <c r="B705" s="6">
        <v>45288</v>
      </c>
      <c r="C705" s="6" t="str">
        <f t="shared" si="30"/>
        <v>Dec</v>
      </c>
      <c r="D705" t="s">
        <v>1131</v>
      </c>
      <c r="E705" t="s">
        <v>62</v>
      </c>
      <c r="F705" t="s">
        <v>1182</v>
      </c>
      <c r="G705">
        <v>6</v>
      </c>
      <c r="H705" s="7">
        <v>108.47</v>
      </c>
      <c r="I705" t="s">
        <v>64</v>
      </c>
      <c r="J705" t="s">
        <v>19</v>
      </c>
      <c r="K705">
        <v>0</v>
      </c>
      <c r="L705" s="7">
        <f t="shared" si="31"/>
        <v>650.81999999999994</v>
      </c>
      <c r="M705" s="7"/>
      <c r="O705">
        <f t="shared" si="32"/>
        <v>2</v>
      </c>
      <c r="Q705" t="s">
        <v>65</v>
      </c>
    </row>
    <row r="706" spans="1:17" x14ac:dyDescent="0.3">
      <c r="A706" t="s">
        <v>1428</v>
      </c>
      <c r="B706" s="6">
        <v>45276</v>
      </c>
      <c r="C706" s="6" t="str">
        <f t="shared" si="30"/>
        <v>Dec</v>
      </c>
      <c r="D706" t="s">
        <v>605</v>
      </c>
      <c r="E706" t="s">
        <v>31</v>
      </c>
      <c r="F706" t="s">
        <v>182</v>
      </c>
      <c r="G706">
        <v>3</v>
      </c>
      <c r="H706" s="7">
        <v>349.42</v>
      </c>
      <c r="I706" t="s">
        <v>46</v>
      </c>
      <c r="J706" t="s">
        <v>22</v>
      </c>
      <c r="K706">
        <v>15</v>
      </c>
      <c r="L706" s="7">
        <f t="shared" si="31"/>
        <v>1048.26</v>
      </c>
      <c r="M706" s="7"/>
      <c r="O706">
        <f t="shared" si="32"/>
        <v>2</v>
      </c>
      <c r="Q706" t="s">
        <v>47</v>
      </c>
    </row>
    <row r="707" spans="1:17" x14ac:dyDescent="0.3">
      <c r="A707" t="s">
        <v>1429</v>
      </c>
      <c r="B707" s="6">
        <v>45144</v>
      </c>
      <c r="C707" s="6" t="str">
        <f t="shared" ref="C707:C770" si="33">TEXT(B707,"MMM")</f>
        <v>Aug</v>
      </c>
      <c r="D707" t="s">
        <v>1430</v>
      </c>
      <c r="E707" t="s">
        <v>62</v>
      </c>
      <c r="F707" t="s">
        <v>71</v>
      </c>
      <c r="G707">
        <v>3</v>
      </c>
      <c r="H707" s="7">
        <v>472.38</v>
      </c>
      <c r="I707" t="s">
        <v>64</v>
      </c>
      <c r="J707" t="s">
        <v>87</v>
      </c>
      <c r="K707">
        <v>10</v>
      </c>
      <c r="L707" s="7">
        <f t="shared" ref="L707:L770" si="34">G707*H707</f>
        <v>1417.1399999999999</v>
      </c>
      <c r="M707" s="7"/>
      <c r="O707">
        <f t="shared" si="32"/>
        <v>2</v>
      </c>
      <c r="Q707" t="s">
        <v>65</v>
      </c>
    </row>
    <row r="708" spans="1:17" x14ac:dyDescent="0.3">
      <c r="A708" t="s">
        <v>1431</v>
      </c>
      <c r="B708" s="6">
        <v>45232</v>
      </c>
      <c r="C708" s="6" t="str">
        <f t="shared" si="33"/>
        <v>Nov</v>
      </c>
      <c r="D708" t="s">
        <v>525</v>
      </c>
      <c r="E708" t="s">
        <v>26</v>
      </c>
      <c r="F708" t="s">
        <v>363</v>
      </c>
      <c r="G708">
        <v>9</v>
      </c>
      <c r="H708" s="7">
        <v>497.78</v>
      </c>
      <c r="I708" t="s">
        <v>46</v>
      </c>
      <c r="J708" t="s">
        <v>87</v>
      </c>
      <c r="K708">
        <v>5</v>
      </c>
      <c r="L708" s="7">
        <f t="shared" si="34"/>
        <v>4480.0199999999995</v>
      </c>
      <c r="M708" s="7"/>
      <c r="O708">
        <f t="shared" ref="O708:O771" si="35">IF(L708&gt;3500,5,IF(L708&gt;3000,4,IF(L708&gt;2500,3,IF(L708&gt;2000,2,IF(L708&gt;1000,2,2)))))</f>
        <v>5</v>
      </c>
      <c r="Q708" t="s">
        <v>47</v>
      </c>
    </row>
    <row r="709" spans="1:17" x14ac:dyDescent="0.3">
      <c r="A709" t="s">
        <v>1432</v>
      </c>
      <c r="B709" s="6">
        <v>45131</v>
      </c>
      <c r="C709" s="6" t="str">
        <f t="shared" si="33"/>
        <v>Jul</v>
      </c>
      <c r="D709" t="s">
        <v>1433</v>
      </c>
      <c r="E709" t="s">
        <v>19</v>
      </c>
      <c r="F709" t="s">
        <v>696</v>
      </c>
      <c r="G709">
        <v>5</v>
      </c>
      <c r="H709" s="7">
        <v>227.89</v>
      </c>
      <c r="I709" t="s">
        <v>103</v>
      </c>
      <c r="J709" t="s">
        <v>87</v>
      </c>
      <c r="K709">
        <v>20</v>
      </c>
      <c r="L709" s="7">
        <f t="shared" si="34"/>
        <v>1139.4499999999998</v>
      </c>
      <c r="M709" s="7"/>
      <c r="O709">
        <f t="shared" si="35"/>
        <v>2</v>
      </c>
      <c r="Q709" t="s">
        <v>104</v>
      </c>
    </row>
    <row r="710" spans="1:17" x14ac:dyDescent="0.3">
      <c r="A710" t="s">
        <v>1434</v>
      </c>
      <c r="B710" s="6">
        <v>45130</v>
      </c>
      <c r="C710" s="6" t="str">
        <f t="shared" si="33"/>
        <v>Jul</v>
      </c>
      <c r="D710" t="s">
        <v>213</v>
      </c>
      <c r="E710" t="s">
        <v>50</v>
      </c>
      <c r="F710" t="s">
        <v>37</v>
      </c>
      <c r="G710">
        <v>5</v>
      </c>
      <c r="H710" s="7">
        <v>130</v>
      </c>
      <c r="I710" t="s">
        <v>32</v>
      </c>
      <c r="J710" t="s">
        <v>72</v>
      </c>
      <c r="K710">
        <v>20</v>
      </c>
      <c r="L710" s="7">
        <f t="shared" si="34"/>
        <v>650</v>
      </c>
      <c r="M710" s="7"/>
      <c r="O710">
        <f t="shared" si="35"/>
        <v>2</v>
      </c>
      <c r="Q710" t="s">
        <v>33</v>
      </c>
    </row>
    <row r="711" spans="1:17" x14ac:dyDescent="0.3">
      <c r="A711" t="s">
        <v>1435</v>
      </c>
      <c r="B711" s="6">
        <v>44934</v>
      </c>
      <c r="C711" s="6" t="str">
        <f t="shared" si="33"/>
        <v>Jan</v>
      </c>
      <c r="D711" t="s">
        <v>567</v>
      </c>
      <c r="E711" t="s">
        <v>26</v>
      </c>
      <c r="F711" t="s">
        <v>201</v>
      </c>
      <c r="G711">
        <v>7</v>
      </c>
      <c r="H711" s="7">
        <v>224.2</v>
      </c>
      <c r="I711" t="s">
        <v>46</v>
      </c>
      <c r="J711" t="s">
        <v>28</v>
      </c>
      <c r="K711">
        <v>0</v>
      </c>
      <c r="L711" s="7">
        <f t="shared" si="34"/>
        <v>1569.3999999999999</v>
      </c>
      <c r="M711" s="7"/>
      <c r="O711">
        <f t="shared" si="35"/>
        <v>2</v>
      </c>
      <c r="Q711" t="s">
        <v>47</v>
      </c>
    </row>
    <row r="712" spans="1:17" x14ac:dyDescent="0.3">
      <c r="A712" t="s">
        <v>1436</v>
      </c>
      <c r="B712" s="6">
        <v>45054</v>
      </c>
      <c r="C712" s="6" t="str">
        <f t="shared" si="33"/>
        <v>May</v>
      </c>
      <c r="D712" t="s">
        <v>1437</v>
      </c>
      <c r="E712" t="s">
        <v>40</v>
      </c>
      <c r="F712" t="s">
        <v>325</v>
      </c>
      <c r="G712">
        <v>9</v>
      </c>
      <c r="H712" s="7">
        <v>424.4</v>
      </c>
      <c r="I712" t="s">
        <v>64</v>
      </c>
      <c r="J712" t="s">
        <v>19</v>
      </c>
      <c r="K712">
        <v>0</v>
      </c>
      <c r="L712" s="7">
        <f t="shared" si="34"/>
        <v>3819.6</v>
      </c>
      <c r="M712" s="7"/>
      <c r="O712">
        <f t="shared" si="35"/>
        <v>5</v>
      </c>
      <c r="Q712" t="s">
        <v>65</v>
      </c>
    </row>
    <row r="713" spans="1:17" x14ac:dyDescent="0.3">
      <c r="A713" t="s">
        <v>1438</v>
      </c>
      <c r="B713" s="6">
        <v>45209</v>
      </c>
      <c r="C713" s="6" t="str">
        <f t="shared" si="33"/>
        <v>Oct</v>
      </c>
      <c r="D713" t="s">
        <v>527</v>
      </c>
      <c r="E713" t="s">
        <v>26</v>
      </c>
      <c r="F713" t="s">
        <v>366</v>
      </c>
      <c r="G713">
        <v>5</v>
      </c>
      <c r="H713" s="7">
        <v>106.97</v>
      </c>
      <c r="I713" t="s">
        <v>46</v>
      </c>
      <c r="J713" t="s">
        <v>28</v>
      </c>
      <c r="K713">
        <v>20</v>
      </c>
      <c r="L713" s="7">
        <f t="shared" si="34"/>
        <v>534.85</v>
      </c>
      <c r="M713" s="7"/>
      <c r="O713">
        <f t="shared" si="35"/>
        <v>2</v>
      </c>
      <c r="Q713" t="s">
        <v>47</v>
      </c>
    </row>
    <row r="714" spans="1:17" x14ac:dyDescent="0.3">
      <c r="A714" t="s">
        <v>1439</v>
      </c>
      <c r="B714" s="6">
        <v>44981</v>
      </c>
      <c r="C714" s="6" t="str">
        <f t="shared" si="33"/>
        <v>Feb</v>
      </c>
      <c r="D714" t="s">
        <v>291</v>
      </c>
      <c r="E714" t="s">
        <v>50</v>
      </c>
      <c r="F714" t="s">
        <v>480</v>
      </c>
      <c r="G714">
        <v>7</v>
      </c>
      <c r="H714" s="7">
        <v>476.29</v>
      </c>
      <c r="I714" t="s">
        <v>64</v>
      </c>
      <c r="J714" t="s">
        <v>72</v>
      </c>
      <c r="K714">
        <v>0</v>
      </c>
      <c r="L714" s="7">
        <f t="shared" si="34"/>
        <v>3334.03</v>
      </c>
      <c r="M714" s="7"/>
      <c r="O714">
        <f t="shared" si="35"/>
        <v>4</v>
      </c>
      <c r="Q714" t="s">
        <v>65</v>
      </c>
    </row>
    <row r="715" spans="1:17" x14ac:dyDescent="0.3">
      <c r="A715" t="s">
        <v>1440</v>
      </c>
      <c r="B715" s="6">
        <v>45056</v>
      </c>
      <c r="C715" s="6" t="str">
        <f t="shared" si="33"/>
        <v>May</v>
      </c>
      <c r="D715" t="s">
        <v>1383</v>
      </c>
      <c r="E715" t="s">
        <v>36</v>
      </c>
      <c r="F715" t="s">
        <v>549</v>
      </c>
      <c r="G715">
        <v>6</v>
      </c>
      <c r="H715" s="7">
        <v>174.22</v>
      </c>
      <c r="I715" t="s">
        <v>64</v>
      </c>
      <c r="J715" t="s">
        <v>87</v>
      </c>
      <c r="K715">
        <v>5</v>
      </c>
      <c r="L715" s="7">
        <f t="shared" si="34"/>
        <v>1045.32</v>
      </c>
      <c r="M715" s="7"/>
      <c r="O715">
        <f t="shared" si="35"/>
        <v>2</v>
      </c>
      <c r="Q715" t="s">
        <v>65</v>
      </c>
    </row>
    <row r="716" spans="1:17" x14ac:dyDescent="0.3">
      <c r="A716" t="s">
        <v>1441</v>
      </c>
      <c r="B716" s="6">
        <v>44964</v>
      </c>
      <c r="C716" s="6" t="str">
        <f t="shared" si="33"/>
        <v>Feb</v>
      </c>
      <c r="D716" t="s">
        <v>1442</v>
      </c>
      <c r="E716" t="s">
        <v>50</v>
      </c>
      <c r="F716" t="s">
        <v>281</v>
      </c>
      <c r="G716">
        <v>9</v>
      </c>
      <c r="H716" s="7">
        <v>492.97</v>
      </c>
      <c r="I716" t="s">
        <v>103</v>
      </c>
      <c r="J716" t="s">
        <v>22</v>
      </c>
      <c r="K716">
        <v>10</v>
      </c>
      <c r="L716" s="7">
        <f t="shared" si="34"/>
        <v>4436.7300000000005</v>
      </c>
      <c r="M716" s="7"/>
      <c r="O716">
        <f t="shared" si="35"/>
        <v>5</v>
      </c>
      <c r="Q716" t="s">
        <v>104</v>
      </c>
    </row>
    <row r="717" spans="1:17" x14ac:dyDescent="0.3">
      <c r="A717" t="s">
        <v>1443</v>
      </c>
      <c r="B717" s="6">
        <v>45040</v>
      </c>
      <c r="C717" s="6" t="str">
        <f t="shared" si="33"/>
        <v>Apr</v>
      </c>
      <c r="D717" t="s">
        <v>1444</v>
      </c>
      <c r="E717" t="s">
        <v>19</v>
      </c>
      <c r="F717" t="s">
        <v>363</v>
      </c>
      <c r="G717">
        <v>1</v>
      </c>
      <c r="H717" s="7">
        <v>420.11</v>
      </c>
      <c r="I717" t="s">
        <v>46</v>
      </c>
      <c r="J717" t="s">
        <v>22</v>
      </c>
      <c r="K717">
        <v>10</v>
      </c>
      <c r="L717" s="7">
        <f t="shared" si="34"/>
        <v>420.11</v>
      </c>
      <c r="M717" s="7"/>
      <c r="O717">
        <f t="shared" si="35"/>
        <v>2</v>
      </c>
      <c r="Q717" t="s">
        <v>47</v>
      </c>
    </row>
    <row r="718" spans="1:17" x14ac:dyDescent="0.3">
      <c r="A718" t="s">
        <v>1445</v>
      </c>
      <c r="B718" s="6">
        <v>45201</v>
      </c>
      <c r="C718" s="6" t="str">
        <f t="shared" si="33"/>
        <v>Oct</v>
      </c>
      <c r="D718" t="s">
        <v>1446</v>
      </c>
      <c r="E718" t="s">
        <v>26</v>
      </c>
      <c r="F718" t="s">
        <v>693</v>
      </c>
      <c r="G718">
        <v>4</v>
      </c>
      <c r="H718" s="7">
        <v>405.24</v>
      </c>
      <c r="I718" t="s">
        <v>32</v>
      </c>
      <c r="J718" t="s">
        <v>22</v>
      </c>
      <c r="K718">
        <v>15</v>
      </c>
      <c r="L718" s="7">
        <f t="shared" si="34"/>
        <v>1620.96</v>
      </c>
      <c r="M718" s="7"/>
      <c r="O718">
        <f t="shared" si="35"/>
        <v>2</v>
      </c>
      <c r="Q718" t="s">
        <v>33</v>
      </c>
    </row>
    <row r="719" spans="1:17" x14ac:dyDescent="0.3">
      <c r="A719" t="s">
        <v>1447</v>
      </c>
      <c r="B719" s="6">
        <v>45009</v>
      </c>
      <c r="C719" s="6" t="str">
        <f t="shared" si="33"/>
        <v>Mar</v>
      </c>
      <c r="D719" t="s">
        <v>1087</v>
      </c>
      <c r="E719" t="s">
        <v>62</v>
      </c>
      <c r="F719" t="s">
        <v>281</v>
      </c>
      <c r="G719">
        <v>9</v>
      </c>
      <c r="H719" s="7">
        <v>162.36000000000001</v>
      </c>
      <c r="I719" t="s">
        <v>32</v>
      </c>
      <c r="J719" t="s">
        <v>87</v>
      </c>
      <c r="K719">
        <v>5</v>
      </c>
      <c r="L719" s="7">
        <f t="shared" si="34"/>
        <v>1461.2400000000002</v>
      </c>
      <c r="M719" s="7"/>
      <c r="O719">
        <f t="shared" si="35"/>
        <v>2</v>
      </c>
      <c r="Q719" t="s">
        <v>33</v>
      </c>
    </row>
    <row r="720" spans="1:17" x14ac:dyDescent="0.3">
      <c r="A720" t="s">
        <v>1448</v>
      </c>
      <c r="B720" s="6">
        <v>45034</v>
      </c>
      <c r="C720" s="6" t="str">
        <f t="shared" si="33"/>
        <v>Apr</v>
      </c>
      <c r="D720" t="s">
        <v>1449</v>
      </c>
      <c r="E720" t="s">
        <v>62</v>
      </c>
      <c r="F720" t="s">
        <v>472</v>
      </c>
      <c r="G720">
        <v>4</v>
      </c>
      <c r="H720" s="7">
        <v>9.34</v>
      </c>
      <c r="I720" t="s">
        <v>103</v>
      </c>
      <c r="J720" t="s">
        <v>72</v>
      </c>
      <c r="K720">
        <v>0</v>
      </c>
      <c r="L720" s="7">
        <f t="shared" si="34"/>
        <v>37.36</v>
      </c>
      <c r="M720" s="7"/>
      <c r="O720">
        <f t="shared" si="35"/>
        <v>2</v>
      </c>
      <c r="Q720" t="s">
        <v>104</v>
      </c>
    </row>
    <row r="721" spans="1:17" x14ac:dyDescent="0.3">
      <c r="A721" t="s">
        <v>1450</v>
      </c>
      <c r="B721" s="6">
        <v>45105</v>
      </c>
      <c r="C721" s="6" t="str">
        <f t="shared" si="33"/>
        <v>Jun</v>
      </c>
      <c r="D721" t="s">
        <v>1451</v>
      </c>
      <c r="E721" t="s">
        <v>26</v>
      </c>
      <c r="F721" t="s">
        <v>687</v>
      </c>
      <c r="G721">
        <v>3</v>
      </c>
      <c r="H721" s="7">
        <v>194.16</v>
      </c>
      <c r="I721" t="s">
        <v>64</v>
      </c>
      <c r="J721" t="s">
        <v>72</v>
      </c>
      <c r="K721">
        <v>0</v>
      </c>
      <c r="L721" s="7">
        <f t="shared" si="34"/>
        <v>582.48</v>
      </c>
      <c r="M721" s="7"/>
      <c r="O721">
        <f t="shared" si="35"/>
        <v>2</v>
      </c>
      <c r="Q721" t="s">
        <v>65</v>
      </c>
    </row>
    <row r="722" spans="1:17" x14ac:dyDescent="0.3">
      <c r="A722" t="s">
        <v>1452</v>
      </c>
      <c r="B722" s="6">
        <v>45009</v>
      </c>
      <c r="C722" s="6" t="str">
        <f t="shared" si="33"/>
        <v>Mar</v>
      </c>
      <c r="D722" t="s">
        <v>1453</v>
      </c>
      <c r="E722" t="s">
        <v>62</v>
      </c>
      <c r="F722" t="s">
        <v>313</v>
      </c>
      <c r="G722">
        <v>9</v>
      </c>
      <c r="H722" s="7">
        <v>154.4</v>
      </c>
      <c r="I722" t="s">
        <v>46</v>
      </c>
      <c r="J722" t="s">
        <v>42</v>
      </c>
      <c r="K722">
        <v>15</v>
      </c>
      <c r="L722" s="7">
        <f t="shared" si="34"/>
        <v>1389.6000000000001</v>
      </c>
      <c r="M722" s="7"/>
      <c r="O722">
        <f t="shared" si="35"/>
        <v>2</v>
      </c>
      <c r="Q722" t="s">
        <v>47</v>
      </c>
    </row>
    <row r="723" spans="1:17" x14ac:dyDescent="0.3">
      <c r="A723" t="s">
        <v>1454</v>
      </c>
      <c r="B723" s="6">
        <v>45203</v>
      </c>
      <c r="C723" s="6" t="str">
        <f t="shared" si="33"/>
        <v>Oct</v>
      </c>
      <c r="D723" t="s">
        <v>819</v>
      </c>
      <c r="E723" t="s">
        <v>62</v>
      </c>
      <c r="F723" t="s">
        <v>328</v>
      </c>
      <c r="G723">
        <v>2</v>
      </c>
      <c r="H723" s="7">
        <v>23.51</v>
      </c>
      <c r="I723" t="s">
        <v>46</v>
      </c>
      <c r="J723" t="s">
        <v>28</v>
      </c>
      <c r="K723">
        <v>15</v>
      </c>
      <c r="L723" s="7">
        <f t="shared" si="34"/>
        <v>47.02</v>
      </c>
      <c r="M723" s="7"/>
      <c r="O723">
        <f t="shared" si="35"/>
        <v>2</v>
      </c>
      <c r="Q723" t="s">
        <v>47</v>
      </c>
    </row>
    <row r="724" spans="1:17" x14ac:dyDescent="0.3">
      <c r="A724" t="s">
        <v>1455</v>
      </c>
      <c r="B724" s="6">
        <v>45226</v>
      </c>
      <c r="C724" s="6" t="str">
        <f t="shared" si="33"/>
        <v>Oct</v>
      </c>
      <c r="D724" t="s">
        <v>1293</v>
      </c>
      <c r="E724" t="s">
        <v>40</v>
      </c>
      <c r="F724" t="s">
        <v>662</v>
      </c>
      <c r="G724">
        <v>4</v>
      </c>
      <c r="H724" s="7">
        <v>255.16</v>
      </c>
      <c r="I724" t="s">
        <v>21</v>
      </c>
      <c r="J724" t="s">
        <v>22</v>
      </c>
      <c r="K724">
        <v>0</v>
      </c>
      <c r="L724" s="7">
        <f t="shared" si="34"/>
        <v>1020.64</v>
      </c>
      <c r="M724" s="7"/>
      <c r="O724">
        <f t="shared" si="35"/>
        <v>2</v>
      </c>
      <c r="Q724" t="s">
        <v>23</v>
      </c>
    </row>
    <row r="725" spans="1:17" x14ac:dyDescent="0.3">
      <c r="A725" t="s">
        <v>1456</v>
      </c>
      <c r="B725" s="6">
        <v>44976</v>
      </c>
      <c r="C725" s="6" t="str">
        <f t="shared" si="33"/>
        <v>Feb</v>
      </c>
      <c r="D725" t="s">
        <v>860</v>
      </c>
      <c r="E725" t="s">
        <v>26</v>
      </c>
      <c r="F725" t="s">
        <v>248</v>
      </c>
      <c r="G725">
        <v>6</v>
      </c>
      <c r="H725" s="7">
        <v>204.5</v>
      </c>
      <c r="I725" t="s">
        <v>21</v>
      </c>
      <c r="J725" t="s">
        <v>28</v>
      </c>
      <c r="K725">
        <v>0</v>
      </c>
      <c r="L725" s="7">
        <f t="shared" si="34"/>
        <v>1227</v>
      </c>
      <c r="M725" s="7"/>
      <c r="O725">
        <f t="shared" si="35"/>
        <v>2</v>
      </c>
      <c r="Q725" t="s">
        <v>23</v>
      </c>
    </row>
    <row r="726" spans="1:17" x14ac:dyDescent="0.3">
      <c r="A726" t="s">
        <v>1457</v>
      </c>
      <c r="B726" s="6">
        <v>45110</v>
      </c>
      <c r="C726" s="6" t="str">
        <f t="shared" si="33"/>
        <v>Jul</v>
      </c>
      <c r="D726" t="s">
        <v>1458</v>
      </c>
      <c r="E726" t="s">
        <v>19</v>
      </c>
      <c r="F726" t="s">
        <v>389</v>
      </c>
      <c r="G726">
        <v>2</v>
      </c>
      <c r="H726" s="7">
        <v>319.11</v>
      </c>
      <c r="I726" t="s">
        <v>46</v>
      </c>
      <c r="J726" t="s">
        <v>72</v>
      </c>
      <c r="K726">
        <v>5</v>
      </c>
      <c r="L726" s="7">
        <f t="shared" si="34"/>
        <v>638.22</v>
      </c>
      <c r="M726" s="7"/>
      <c r="O726">
        <f t="shared" si="35"/>
        <v>2</v>
      </c>
      <c r="Q726" t="s">
        <v>47</v>
      </c>
    </row>
    <row r="727" spans="1:17" x14ac:dyDescent="0.3">
      <c r="A727" t="s">
        <v>1459</v>
      </c>
      <c r="B727" s="6">
        <v>45164</v>
      </c>
      <c r="C727" s="6" t="str">
        <f t="shared" si="33"/>
        <v>Aug</v>
      </c>
      <c r="D727" t="s">
        <v>1460</v>
      </c>
      <c r="E727" t="s">
        <v>19</v>
      </c>
      <c r="F727" t="s">
        <v>1461</v>
      </c>
      <c r="G727">
        <v>8</v>
      </c>
      <c r="H727" s="7">
        <v>312.49</v>
      </c>
      <c r="I727" t="s">
        <v>64</v>
      </c>
      <c r="J727" t="s">
        <v>42</v>
      </c>
      <c r="K727">
        <v>15</v>
      </c>
      <c r="L727" s="7">
        <f t="shared" si="34"/>
        <v>2499.92</v>
      </c>
      <c r="M727" s="7"/>
      <c r="O727">
        <f t="shared" si="35"/>
        <v>2</v>
      </c>
      <c r="Q727" t="s">
        <v>65</v>
      </c>
    </row>
    <row r="728" spans="1:17" x14ac:dyDescent="0.3">
      <c r="A728" t="s">
        <v>1462</v>
      </c>
      <c r="B728" s="6">
        <v>45286</v>
      </c>
      <c r="C728" s="6" t="str">
        <f t="shared" si="33"/>
        <v>Dec</v>
      </c>
      <c r="D728" t="s">
        <v>197</v>
      </c>
      <c r="E728" t="s">
        <v>31</v>
      </c>
      <c r="F728" t="s">
        <v>909</v>
      </c>
      <c r="G728">
        <v>8</v>
      </c>
      <c r="H728" s="7">
        <v>64.77</v>
      </c>
      <c r="I728" t="s">
        <v>19</v>
      </c>
      <c r="J728" t="s">
        <v>28</v>
      </c>
      <c r="K728">
        <v>5</v>
      </c>
      <c r="L728" s="7">
        <f t="shared" si="34"/>
        <v>518.16</v>
      </c>
      <c r="M728" s="7"/>
      <c r="O728">
        <f t="shared" si="35"/>
        <v>2</v>
      </c>
      <c r="Q728" t="s">
        <v>19</v>
      </c>
    </row>
    <row r="729" spans="1:17" x14ac:dyDescent="0.3">
      <c r="A729" t="s">
        <v>1463</v>
      </c>
      <c r="B729" s="6">
        <v>44944</v>
      </c>
      <c r="C729" s="6" t="str">
        <f t="shared" si="33"/>
        <v>Jan</v>
      </c>
      <c r="D729" t="s">
        <v>1464</v>
      </c>
      <c r="E729" t="s">
        <v>40</v>
      </c>
      <c r="F729" t="s">
        <v>201</v>
      </c>
      <c r="G729">
        <v>1</v>
      </c>
      <c r="H729" s="7">
        <v>488.6</v>
      </c>
      <c r="I729" t="s">
        <v>64</v>
      </c>
      <c r="J729" t="s">
        <v>22</v>
      </c>
      <c r="K729">
        <v>10</v>
      </c>
      <c r="L729" s="7">
        <f t="shared" si="34"/>
        <v>488.6</v>
      </c>
      <c r="M729" s="7"/>
      <c r="O729">
        <f t="shared" si="35"/>
        <v>2</v>
      </c>
      <c r="Q729" t="s">
        <v>65</v>
      </c>
    </row>
    <row r="730" spans="1:17" x14ac:dyDescent="0.3">
      <c r="A730" t="s">
        <v>1465</v>
      </c>
      <c r="B730" s="6">
        <v>44953</v>
      </c>
      <c r="C730" s="6" t="str">
        <f t="shared" si="33"/>
        <v>Jan</v>
      </c>
      <c r="D730" t="s">
        <v>1466</v>
      </c>
      <c r="E730" t="s">
        <v>19</v>
      </c>
      <c r="F730" t="s">
        <v>1194</v>
      </c>
      <c r="G730">
        <v>3</v>
      </c>
      <c r="H730" s="7">
        <v>97.53</v>
      </c>
      <c r="I730" t="s">
        <v>46</v>
      </c>
      <c r="J730" t="s">
        <v>72</v>
      </c>
      <c r="K730">
        <v>0</v>
      </c>
      <c r="L730" s="7">
        <f t="shared" si="34"/>
        <v>292.59000000000003</v>
      </c>
      <c r="M730" s="7"/>
      <c r="O730">
        <f t="shared" si="35"/>
        <v>2</v>
      </c>
      <c r="Q730" t="s">
        <v>47</v>
      </c>
    </row>
    <row r="731" spans="1:17" x14ac:dyDescent="0.3">
      <c r="A731" t="s">
        <v>1467</v>
      </c>
      <c r="B731" s="6">
        <v>44963</v>
      </c>
      <c r="C731" s="6" t="str">
        <f t="shared" si="33"/>
        <v>Feb</v>
      </c>
      <c r="D731" t="s">
        <v>288</v>
      </c>
      <c r="E731" t="s">
        <v>36</v>
      </c>
      <c r="F731" t="s">
        <v>575</v>
      </c>
      <c r="G731">
        <v>9</v>
      </c>
      <c r="H731" s="7">
        <v>225.41</v>
      </c>
      <c r="I731" t="s">
        <v>19</v>
      </c>
      <c r="J731" t="s">
        <v>19</v>
      </c>
      <c r="K731">
        <v>20</v>
      </c>
      <c r="L731" s="7">
        <f t="shared" si="34"/>
        <v>2028.69</v>
      </c>
      <c r="M731" s="7"/>
      <c r="O731">
        <f t="shared" si="35"/>
        <v>2</v>
      </c>
      <c r="Q731" t="s">
        <v>19</v>
      </c>
    </row>
    <row r="732" spans="1:17" x14ac:dyDescent="0.3">
      <c r="A732" t="s">
        <v>1468</v>
      </c>
      <c r="B732" s="6">
        <v>45198</v>
      </c>
      <c r="C732" s="6" t="str">
        <f t="shared" si="33"/>
        <v>Sep</v>
      </c>
      <c r="D732" t="s">
        <v>915</v>
      </c>
      <c r="E732" t="s">
        <v>19</v>
      </c>
      <c r="F732" t="s">
        <v>693</v>
      </c>
      <c r="G732">
        <v>5</v>
      </c>
      <c r="H732" s="7">
        <v>246.62</v>
      </c>
      <c r="I732" t="s">
        <v>21</v>
      </c>
      <c r="J732" t="s">
        <v>28</v>
      </c>
      <c r="K732">
        <v>20</v>
      </c>
      <c r="L732" s="7">
        <f t="shared" si="34"/>
        <v>1233.0999999999999</v>
      </c>
      <c r="M732" s="7"/>
      <c r="O732">
        <f t="shared" si="35"/>
        <v>2</v>
      </c>
      <c r="Q732" t="s">
        <v>23</v>
      </c>
    </row>
    <row r="733" spans="1:17" x14ac:dyDescent="0.3">
      <c r="A733" t="s">
        <v>1469</v>
      </c>
      <c r="B733" s="6">
        <v>44985</v>
      </c>
      <c r="C733" s="6" t="str">
        <f t="shared" si="33"/>
        <v>Feb</v>
      </c>
      <c r="D733" t="s">
        <v>492</v>
      </c>
      <c r="E733" t="s">
        <v>50</v>
      </c>
      <c r="F733" t="s">
        <v>1085</v>
      </c>
      <c r="G733">
        <v>6</v>
      </c>
      <c r="H733" s="7">
        <v>407.47</v>
      </c>
      <c r="I733" t="s">
        <v>46</v>
      </c>
      <c r="J733" t="s">
        <v>22</v>
      </c>
      <c r="K733">
        <v>10</v>
      </c>
      <c r="L733" s="7">
        <f t="shared" si="34"/>
        <v>2444.8200000000002</v>
      </c>
      <c r="M733" s="7"/>
      <c r="O733">
        <f t="shared" si="35"/>
        <v>2</v>
      </c>
      <c r="Q733" t="s">
        <v>47</v>
      </c>
    </row>
    <row r="734" spans="1:17" x14ac:dyDescent="0.3">
      <c r="A734" t="s">
        <v>1470</v>
      </c>
      <c r="B734" s="6">
        <v>45070</v>
      </c>
      <c r="C734" s="6" t="str">
        <f t="shared" si="33"/>
        <v>May</v>
      </c>
      <c r="D734" t="s">
        <v>1169</v>
      </c>
      <c r="E734" t="s">
        <v>31</v>
      </c>
      <c r="F734" t="s">
        <v>504</v>
      </c>
      <c r="G734">
        <v>4</v>
      </c>
      <c r="H734" s="7">
        <v>54.12</v>
      </c>
      <c r="I734" t="s">
        <v>64</v>
      </c>
      <c r="J734" t="s">
        <v>19</v>
      </c>
      <c r="K734">
        <v>0</v>
      </c>
      <c r="L734" s="7">
        <f t="shared" si="34"/>
        <v>216.48</v>
      </c>
      <c r="M734" s="7"/>
      <c r="O734">
        <f t="shared" si="35"/>
        <v>2</v>
      </c>
      <c r="Q734" t="s">
        <v>65</v>
      </c>
    </row>
    <row r="735" spans="1:17" x14ac:dyDescent="0.3">
      <c r="A735" t="s">
        <v>1471</v>
      </c>
      <c r="B735" s="6">
        <v>45285</v>
      </c>
      <c r="C735" s="6" t="str">
        <f t="shared" si="33"/>
        <v>Dec</v>
      </c>
      <c r="D735" t="s">
        <v>548</v>
      </c>
      <c r="E735" t="s">
        <v>19</v>
      </c>
      <c r="F735" t="s">
        <v>369</v>
      </c>
      <c r="G735">
        <v>2</v>
      </c>
      <c r="H735" s="7">
        <v>217.18</v>
      </c>
      <c r="I735" t="s">
        <v>19</v>
      </c>
      <c r="J735" t="s">
        <v>22</v>
      </c>
      <c r="K735">
        <v>15</v>
      </c>
      <c r="L735" s="7">
        <f t="shared" si="34"/>
        <v>434.36</v>
      </c>
      <c r="M735" s="7"/>
      <c r="O735">
        <f t="shared" si="35"/>
        <v>2</v>
      </c>
      <c r="Q735" t="s">
        <v>19</v>
      </c>
    </row>
    <row r="736" spans="1:17" x14ac:dyDescent="0.3">
      <c r="A736" t="s">
        <v>1472</v>
      </c>
      <c r="B736" s="6">
        <v>45003</v>
      </c>
      <c r="C736" s="6" t="str">
        <f t="shared" si="33"/>
        <v>Mar</v>
      </c>
      <c r="D736" t="s">
        <v>1473</v>
      </c>
      <c r="E736" t="s">
        <v>26</v>
      </c>
      <c r="F736" t="s">
        <v>822</v>
      </c>
      <c r="G736">
        <v>8</v>
      </c>
      <c r="H736" s="7">
        <v>316.11</v>
      </c>
      <c r="I736" t="s">
        <v>64</v>
      </c>
      <c r="J736" t="s">
        <v>28</v>
      </c>
      <c r="K736">
        <v>20</v>
      </c>
      <c r="L736" s="7">
        <f t="shared" si="34"/>
        <v>2528.88</v>
      </c>
      <c r="M736" s="7"/>
      <c r="O736">
        <f t="shared" si="35"/>
        <v>3</v>
      </c>
      <c r="Q736" t="s">
        <v>65</v>
      </c>
    </row>
    <row r="737" spans="1:17" x14ac:dyDescent="0.3">
      <c r="A737" t="s">
        <v>1474</v>
      </c>
      <c r="B737" s="6">
        <v>45012</v>
      </c>
      <c r="C737" s="6" t="str">
        <f t="shared" si="33"/>
        <v>Mar</v>
      </c>
      <c r="D737" t="s">
        <v>1475</v>
      </c>
      <c r="E737" t="s">
        <v>62</v>
      </c>
      <c r="F737" t="s">
        <v>378</v>
      </c>
      <c r="G737">
        <v>6</v>
      </c>
      <c r="H737" s="7">
        <v>111.5</v>
      </c>
      <c r="I737" t="s">
        <v>21</v>
      </c>
      <c r="J737" t="s">
        <v>72</v>
      </c>
      <c r="K737">
        <v>15</v>
      </c>
      <c r="L737" s="7">
        <f t="shared" si="34"/>
        <v>669</v>
      </c>
      <c r="M737" s="7"/>
      <c r="O737">
        <f t="shared" si="35"/>
        <v>2</v>
      </c>
      <c r="Q737" t="s">
        <v>23</v>
      </c>
    </row>
    <row r="738" spans="1:17" x14ac:dyDescent="0.3">
      <c r="A738" t="s">
        <v>1476</v>
      </c>
      <c r="B738" s="6">
        <v>45046</v>
      </c>
      <c r="C738" s="6" t="str">
        <f t="shared" si="33"/>
        <v>Apr</v>
      </c>
      <c r="D738" t="s">
        <v>1065</v>
      </c>
      <c r="E738" t="s">
        <v>40</v>
      </c>
      <c r="F738" t="s">
        <v>417</v>
      </c>
      <c r="G738">
        <v>5</v>
      </c>
      <c r="H738" s="7">
        <v>315.60000000000002</v>
      </c>
      <c r="I738" t="s">
        <v>46</v>
      </c>
      <c r="J738" t="s">
        <v>19</v>
      </c>
      <c r="K738">
        <v>20</v>
      </c>
      <c r="L738" s="7">
        <f t="shared" si="34"/>
        <v>1578</v>
      </c>
      <c r="M738" s="7"/>
      <c r="O738">
        <f t="shared" si="35"/>
        <v>2</v>
      </c>
      <c r="Q738" t="s">
        <v>47</v>
      </c>
    </row>
    <row r="739" spans="1:17" x14ac:dyDescent="0.3">
      <c r="A739" t="s">
        <v>1477</v>
      </c>
      <c r="B739" s="6">
        <v>44957</v>
      </c>
      <c r="C739" s="6" t="str">
        <f t="shared" si="33"/>
        <v>Jan</v>
      </c>
      <c r="D739" t="s">
        <v>1478</v>
      </c>
      <c r="E739" t="s">
        <v>62</v>
      </c>
      <c r="F739" t="s">
        <v>807</v>
      </c>
      <c r="G739">
        <v>9</v>
      </c>
      <c r="H739" s="7">
        <v>462.21</v>
      </c>
      <c r="I739" t="s">
        <v>46</v>
      </c>
      <c r="J739" t="s">
        <v>28</v>
      </c>
      <c r="K739">
        <v>15</v>
      </c>
      <c r="L739" s="7">
        <f t="shared" si="34"/>
        <v>4159.8899999999994</v>
      </c>
      <c r="M739" s="7"/>
      <c r="O739">
        <f t="shared" si="35"/>
        <v>5</v>
      </c>
      <c r="Q739" t="s">
        <v>47</v>
      </c>
    </row>
    <row r="740" spans="1:17" x14ac:dyDescent="0.3">
      <c r="A740" t="s">
        <v>1479</v>
      </c>
      <c r="B740" s="6">
        <v>44984</v>
      </c>
      <c r="C740" s="6" t="str">
        <f t="shared" si="33"/>
        <v>Feb</v>
      </c>
      <c r="D740" t="s">
        <v>1480</v>
      </c>
      <c r="E740" t="s">
        <v>31</v>
      </c>
      <c r="F740" t="s">
        <v>856</v>
      </c>
      <c r="G740">
        <v>1</v>
      </c>
      <c r="H740" s="7">
        <v>498.77</v>
      </c>
      <c r="I740" t="s">
        <v>103</v>
      </c>
      <c r="J740" t="s">
        <v>28</v>
      </c>
      <c r="K740">
        <v>20</v>
      </c>
      <c r="L740" s="7">
        <f t="shared" si="34"/>
        <v>498.77</v>
      </c>
      <c r="M740" s="7"/>
      <c r="O740">
        <f t="shared" si="35"/>
        <v>2</v>
      </c>
      <c r="Q740" t="s">
        <v>104</v>
      </c>
    </row>
    <row r="741" spans="1:17" x14ac:dyDescent="0.3">
      <c r="A741" t="s">
        <v>1481</v>
      </c>
      <c r="B741" s="6">
        <v>45107</v>
      </c>
      <c r="C741" s="6" t="str">
        <f t="shared" si="33"/>
        <v>Jun</v>
      </c>
      <c r="D741" t="s">
        <v>147</v>
      </c>
      <c r="E741" t="s">
        <v>19</v>
      </c>
      <c r="F741" t="s">
        <v>900</v>
      </c>
      <c r="G741">
        <v>5</v>
      </c>
      <c r="H741" s="7">
        <v>21.06</v>
      </c>
      <c r="I741" t="s">
        <v>46</v>
      </c>
      <c r="J741" t="s">
        <v>22</v>
      </c>
      <c r="K741">
        <v>15</v>
      </c>
      <c r="L741" s="7">
        <f t="shared" si="34"/>
        <v>105.3</v>
      </c>
      <c r="M741" s="7"/>
      <c r="O741">
        <f t="shared" si="35"/>
        <v>2</v>
      </c>
      <c r="Q741" t="s">
        <v>47</v>
      </c>
    </row>
    <row r="742" spans="1:17" x14ac:dyDescent="0.3">
      <c r="A742" t="s">
        <v>1482</v>
      </c>
      <c r="B742" s="6">
        <v>45167</v>
      </c>
      <c r="C742" s="6" t="str">
        <f t="shared" si="33"/>
        <v>Aug</v>
      </c>
      <c r="D742" t="s">
        <v>1483</v>
      </c>
      <c r="E742" t="s">
        <v>26</v>
      </c>
      <c r="F742" t="s">
        <v>538</v>
      </c>
      <c r="G742">
        <v>6</v>
      </c>
      <c r="H742" s="7">
        <v>121.62</v>
      </c>
      <c r="I742" t="s">
        <v>21</v>
      </c>
      <c r="J742" t="s">
        <v>72</v>
      </c>
      <c r="K742">
        <v>10</v>
      </c>
      <c r="L742" s="7">
        <f t="shared" si="34"/>
        <v>729.72</v>
      </c>
      <c r="M742" s="7"/>
      <c r="O742">
        <f t="shared" si="35"/>
        <v>2</v>
      </c>
      <c r="Q742" t="s">
        <v>23</v>
      </c>
    </row>
    <row r="743" spans="1:17" x14ac:dyDescent="0.3">
      <c r="A743" t="s">
        <v>1484</v>
      </c>
      <c r="B743" s="6">
        <v>45246</v>
      </c>
      <c r="C743" s="6" t="str">
        <f t="shared" si="33"/>
        <v>Nov</v>
      </c>
      <c r="D743" t="s">
        <v>1485</v>
      </c>
      <c r="E743" t="s">
        <v>50</v>
      </c>
      <c r="F743" t="s">
        <v>246</v>
      </c>
      <c r="G743">
        <v>5</v>
      </c>
      <c r="H743" s="7">
        <v>158.6</v>
      </c>
      <c r="I743" t="s">
        <v>19</v>
      </c>
      <c r="J743" t="s">
        <v>87</v>
      </c>
      <c r="K743">
        <v>5</v>
      </c>
      <c r="L743" s="7">
        <f t="shared" si="34"/>
        <v>793</v>
      </c>
      <c r="M743" s="7"/>
      <c r="O743">
        <f t="shared" si="35"/>
        <v>2</v>
      </c>
      <c r="Q743" t="s">
        <v>19</v>
      </c>
    </row>
    <row r="744" spans="1:17" x14ac:dyDescent="0.3">
      <c r="A744" t="s">
        <v>1486</v>
      </c>
      <c r="B744" s="6">
        <v>45118</v>
      </c>
      <c r="C744" s="6" t="str">
        <f t="shared" si="33"/>
        <v>Jul</v>
      </c>
      <c r="D744" t="s">
        <v>109</v>
      </c>
      <c r="E744" t="s">
        <v>19</v>
      </c>
      <c r="F744" t="s">
        <v>696</v>
      </c>
      <c r="G744">
        <v>6</v>
      </c>
      <c r="H744" s="7">
        <v>202.57</v>
      </c>
      <c r="I744" t="s">
        <v>103</v>
      </c>
      <c r="J744" t="s">
        <v>72</v>
      </c>
      <c r="K744">
        <v>15</v>
      </c>
      <c r="L744" s="7">
        <f t="shared" si="34"/>
        <v>1215.42</v>
      </c>
      <c r="M744" s="7"/>
      <c r="O744">
        <f t="shared" si="35"/>
        <v>2</v>
      </c>
      <c r="Q744" t="s">
        <v>104</v>
      </c>
    </row>
    <row r="745" spans="1:17" x14ac:dyDescent="0.3">
      <c r="A745" t="s">
        <v>1487</v>
      </c>
      <c r="B745" s="6">
        <v>45159</v>
      </c>
      <c r="C745" s="6" t="str">
        <f t="shared" si="33"/>
        <v>Aug</v>
      </c>
      <c r="D745" t="s">
        <v>866</v>
      </c>
      <c r="E745" t="s">
        <v>36</v>
      </c>
      <c r="F745" t="s">
        <v>331</v>
      </c>
      <c r="G745">
        <v>6</v>
      </c>
      <c r="H745" s="7">
        <v>124.92</v>
      </c>
      <c r="I745" t="s">
        <v>21</v>
      </c>
      <c r="J745" t="s">
        <v>42</v>
      </c>
      <c r="K745">
        <v>5</v>
      </c>
      <c r="L745" s="7">
        <f t="shared" si="34"/>
        <v>749.52</v>
      </c>
      <c r="M745" s="7"/>
      <c r="O745">
        <f t="shared" si="35"/>
        <v>2</v>
      </c>
      <c r="Q745" t="s">
        <v>23</v>
      </c>
    </row>
    <row r="746" spans="1:17" x14ac:dyDescent="0.3">
      <c r="A746" t="s">
        <v>1488</v>
      </c>
      <c r="B746" s="6">
        <v>45247</v>
      </c>
      <c r="C746" s="6" t="str">
        <f t="shared" si="33"/>
        <v>Nov</v>
      </c>
      <c r="D746" t="s">
        <v>537</v>
      </c>
      <c r="E746" t="s">
        <v>31</v>
      </c>
      <c r="F746" t="s">
        <v>334</v>
      </c>
      <c r="G746">
        <v>7</v>
      </c>
      <c r="H746" s="7">
        <v>105.73</v>
      </c>
      <c r="I746" t="s">
        <v>32</v>
      </c>
      <c r="J746" t="s">
        <v>87</v>
      </c>
      <c r="K746">
        <v>5</v>
      </c>
      <c r="L746" s="7">
        <f t="shared" si="34"/>
        <v>740.11</v>
      </c>
      <c r="M746" s="7"/>
      <c r="O746">
        <f t="shared" si="35"/>
        <v>2</v>
      </c>
      <c r="Q746" t="s">
        <v>33</v>
      </c>
    </row>
    <row r="747" spans="1:17" x14ac:dyDescent="0.3">
      <c r="A747" t="s">
        <v>1489</v>
      </c>
      <c r="B747" s="6">
        <v>45110</v>
      </c>
      <c r="C747" s="6" t="str">
        <f t="shared" si="33"/>
        <v>Jul</v>
      </c>
      <c r="D747" t="s">
        <v>609</v>
      </c>
      <c r="E747" t="s">
        <v>62</v>
      </c>
      <c r="F747" t="s">
        <v>523</v>
      </c>
      <c r="G747">
        <v>4</v>
      </c>
      <c r="H747" s="7">
        <v>477.5</v>
      </c>
      <c r="I747" t="s">
        <v>103</v>
      </c>
      <c r="J747" t="s">
        <v>19</v>
      </c>
      <c r="K747">
        <v>0</v>
      </c>
      <c r="L747" s="7">
        <f t="shared" si="34"/>
        <v>1910</v>
      </c>
      <c r="M747" s="7"/>
      <c r="O747">
        <f t="shared" si="35"/>
        <v>2</v>
      </c>
      <c r="Q747" t="s">
        <v>104</v>
      </c>
    </row>
    <row r="748" spans="1:17" x14ac:dyDescent="0.3">
      <c r="A748" t="s">
        <v>1490</v>
      </c>
      <c r="B748" s="6">
        <v>44984</v>
      </c>
      <c r="C748" s="6" t="str">
        <f t="shared" si="33"/>
        <v>Feb</v>
      </c>
      <c r="D748" t="s">
        <v>1350</v>
      </c>
      <c r="E748" t="s">
        <v>62</v>
      </c>
      <c r="F748" t="s">
        <v>523</v>
      </c>
      <c r="G748">
        <v>8</v>
      </c>
      <c r="H748" s="7">
        <v>459.67</v>
      </c>
      <c r="I748" t="s">
        <v>32</v>
      </c>
      <c r="J748" t="s">
        <v>87</v>
      </c>
      <c r="K748">
        <v>10</v>
      </c>
      <c r="L748" s="7">
        <f t="shared" si="34"/>
        <v>3677.36</v>
      </c>
      <c r="M748" s="7"/>
      <c r="O748">
        <f t="shared" si="35"/>
        <v>5</v>
      </c>
      <c r="Q748" t="s">
        <v>33</v>
      </c>
    </row>
    <row r="749" spans="1:17" x14ac:dyDescent="0.3">
      <c r="A749" t="s">
        <v>1491</v>
      </c>
      <c r="B749" s="6">
        <v>45236</v>
      </c>
      <c r="C749" s="6" t="str">
        <f t="shared" si="33"/>
        <v>Nov</v>
      </c>
      <c r="D749" t="s">
        <v>1492</v>
      </c>
      <c r="E749" t="s">
        <v>19</v>
      </c>
      <c r="F749" t="s">
        <v>134</v>
      </c>
      <c r="G749">
        <v>7</v>
      </c>
      <c r="H749" s="7">
        <v>28.26</v>
      </c>
      <c r="I749" t="s">
        <v>19</v>
      </c>
      <c r="J749" t="s">
        <v>72</v>
      </c>
      <c r="K749">
        <v>5</v>
      </c>
      <c r="L749" s="7">
        <f t="shared" si="34"/>
        <v>197.82000000000002</v>
      </c>
      <c r="M749" s="7"/>
      <c r="O749">
        <f t="shared" si="35"/>
        <v>2</v>
      </c>
      <c r="Q749" t="s">
        <v>19</v>
      </c>
    </row>
    <row r="750" spans="1:17" x14ac:dyDescent="0.3">
      <c r="A750" t="s">
        <v>1493</v>
      </c>
      <c r="B750" s="6">
        <v>45203</v>
      </c>
      <c r="C750" s="6" t="str">
        <f t="shared" si="33"/>
        <v>Oct</v>
      </c>
      <c r="D750" t="s">
        <v>388</v>
      </c>
      <c r="E750" t="s">
        <v>40</v>
      </c>
      <c r="F750" t="s">
        <v>417</v>
      </c>
      <c r="G750">
        <v>9</v>
      </c>
      <c r="H750" s="7">
        <v>172.71</v>
      </c>
      <c r="I750" t="s">
        <v>103</v>
      </c>
      <c r="J750" t="s">
        <v>72</v>
      </c>
      <c r="K750">
        <v>10</v>
      </c>
      <c r="L750" s="7">
        <f t="shared" si="34"/>
        <v>1554.39</v>
      </c>
      <c r="M750" s="7"/>
      <c r="O750">
        <f t="shared" si="35"/>
        <v>2</v>
      </c>
      <c r="Q750" t="s">
        <v>104</v>
      </c>
    </row>
    <row r="751" spans="1:17" x14ac:dyDescent="0.3">
      <c r="A751" t="s">
        <v>1494</v>
      </c>
      <c r="B751" s="6">
        <v>45179</v>
      </c>
      <c r="C751" s="6" t="str">
        <f t="shared" si="33"/>
        <v>Sep</v>
      </c>
      <c r="D751" t="s">
        <v>1495</v>
      </c>
      <c r="E751" t="s">
        <v>19</v>
      </c>
      <c r="F751" t="s">
        <v>347</v>
      </c>
      <c r="G751">
        <v>7</v>
      </c>
      <c r="H751" s="7">
        <v>205.55</v>
      </c>
      <c r="I751" t="s">
        <v>32</v>
      </c>
      <c r="J751" t="s">
        <v>19</v>
      </c>
      <c r="K751">
        <v>5</v>
      </c>
      <c r="L751" s="7">
        <f t="shared" si="34"/>
        <v>1438.8500000000001</v>
      </c>
      <c r="M751" s="7"/>
      <c r="O751">
        <f t="shared" si="35"/>
        <v>2</v>
      </c>
      <c r="Q751" t="s">
        <v>33</v>
      </c>
    </row>
    <row r="752" spans="1:17" x14ac:dyDescent="0.3">
      <c r="A752" t="s">
        <v>1496</v>
      </c>
      <c r="B752" s="6">
        <v>45256</v>
      </c>
      <c r="C752" s="6" t="str">
        <f t="shared" si="33"/>
        <v>Nov</v>
      </c>
      <c r="D752" t="s">
        <v>1107</v>
      </c>
      <c r="E752" t="s">
        <v>26</v>
      </c>
      <c r="F752" t="s">
        <v>257</v>
      </c>
      <c r="G752">
        <v>3</v>
      </c>
      <c r="H752" s="7">
        <v>123.31</v>
      </c>
      <c r="I752" t="s">
        <v>64</v>
      </c>
      <c r="J752" t="s">
        <v>72</v>
      </c>
      <c r="K752">
        <v>15</v>
      </c>
      <c r="L752" s="7">
        <f t="shared" si="34"/>
        <v>369.93</v>
      </c>
      <c r="M752" s="7"/>
      <c r="O752">
        <f t="shared" si="35"/>
        <v>2</v>
      </c>
      <c r="Q752" t="s">
        <v>65</v>
      </c>
    </row>
    <row r="753" spans="1:17" x14ac:dyDescent="0.3">
      <c r="A753" t="s">
        <v>1497</v>
      </c>
      <c r="B753" s="6">
        <v>45117</v>
      </c>
      <c r="C753" s="6" t="str">
        <f t="shared" si="33"/>
        <v>Jul</v>
      </c>
      <c r="D753" t="s">
        <v>1498</v>
      </c>
      <c r="E753" t="s">
        <v>40</v>
      </c>
      <c r="F753" t="s">
        <v>488</v>
      </c>
      <c r="G753">
        <v>3</v>
      </c>
      <c r="H753" s="7">
        <v>316.29000000000002</v>
      </c>
      <c r="I753" t="s">
        <v>64</v>
      </c>
      <c r="J753" t="s">
        <v>19</v>
      </c>
      <c r="K753">
        <v>5</v>
      </c>
      <c r="L753" s="7">
        <f t="shared" si="34"/>
        <v>948.87000000000012</v>
      </c>
      <c r="M753" s="7"/>
      <c r="O753">
        <f t="shared" si="35"/>
        <v>2</v>
      </c>
      <c r="Q753" t="s">
        <v>65</v>
      </c>
    </row>
    <row r="754" spans="1:17" x14ac:dyDescent="0.3">
      <c r="A754" t="s">
        <v>1499</v>
      </c>
      <c r="B754" s="6">
        <v>45153</v>
      </c>
      <c r="C754" s="6" t="str">
        <f t="shared" si="33"/>
        <v>Aug</v>
      </c>
      <c r="D754" t="s">
        <v>25</v>
      </c>
      <c r="E754" t="s">
        <v>40</v>
      </c>
      <c r="F754" t="s">
        <v>1325</v>
      </c>
      <c r="G754">
        <v>8</v>
      </c>
      <c r="H754" s="7">
        <v>321.99</v>
      </c>
      <c r="I754" t="s">
        <v>19</v>
      </c>
      <c r="J754" t="s">
        <v>42</v>
      </c>
      <c r="K754">
        <v>15</v>
      </c>
      <c r="L754" s="7">
        <f t="shared" si="34"/>
        <v>2575.92</v>
      </c>
      <c r="M754" s="7"/>
      <c r="O754">
        <f t="shared" si="35"/>
        <v>3</v>
      </c>
      <c r="Q754" t="s">
        <v>19</v>
      </c>
    </row>
    <row r="755" spans="1:17" x14ac:dyDescent="0.3">
      <c r="A755" t="s">
        <v>1500</v>
      </c>
      <c r="B755" s="6">
        <v>45152</v>
      </c>
      <c r="C755" s="6" t="str">
        <f t="shared" si="33"/>
        <v>Aug</v>
      </c>
      <c r="D755" t="s">
        <v>1501</v>
      </c>
      <c r="E755" t="s">
        <v>26</v>
      </c>
      <c r="F755" t="s">
        <v>469</v>
      </c>
      <c r="G755">
        <v>5</v>
      </c>
      <c r="H755" s="7">
        <v>426</v>
      </c>
      <c r="I755" t="s">
        <v>103</v>
      </c>
      <c r="J755" t="s">
        <v>87</v>
      </c>
      <c r="K755">
        <v>15</v>
      </c>
      <c r="L755" s="7">
        <f t="shared" si="34"/>
        <v>2130</v>
      </c>
      <c r="M755" s="7"/>
      <c r="O755">
        <f t="shared" si="35"/>
        <v>2</v>
      </c>
      <c r="Q755" t="s">
        <v>104</v>
      </c>
    </row>
    <row r="756" spans="1:17" x14ac:dyDescent="0.3">
      <c r="A756" t="s">
        <v>1502</v>
      </c>
      <c r="B756" s="6">
        <v>45007</v>
      </c>
      <c r="C756" s="6" t="str">
        <f t="shared" si="33"/>
        <v>Mar</v>
      </c>
      <c r="D756" t="s">
        <v>1503</v>
      </c>
      <c r="E756" t="s">
        <v>40</v>
      </c>
      <c r="F756" t="s">
        <v>480</v>
      </c>
      <c r="G756">
        <v>4</v>
      </c>
      <c r="H756" s="7">
        <v>371.73</v>
      </c>
      <c r="I756" t="s">
        <v>19</v>
      </c>
      <c r="J756" t="s">
        <v>28</v>
      </c>
      <c r="K756">
        <v>10</v>
      </c>
      <c r="L756" s="7">
        <f t="shared" si="34"/>
        <v>1486.92</v>
      </c>
      <c r="M756" s="7"/>
      <c r="O756">
        <f t="shared" si="35"/>
        <v>2</v>
      </c>
      <c r="Q756" t="s">
        <v>19</v>
      </c>
    </row>
    <row r="757" spans="1:17" x14ac:dyDescent="0.3">
      <c r="A757" t="s">
        <v>1504</v>
      </c>
      <c r="B757" s="6">
        <v>45116</v>
      </c>
      <c r="C757" s="6" t="str">
        <f t="shared" si="33"/>
        <v>Jul</v>
      </c>
      <c r="D757" t="s">
        <v>1505</v>
      </c>
      <c r="E757" t="s">
        <v>50</v>
      </c>
      <c r="F757" t="s">
        <v>1328</v>
      </c>
      <c r="G757">
        <v>8</v>
      </c>
      <c r="H757" s="7">
        <v>273.57</v>
      </c>
      <c r="I757" t="s">
        <v>64</v>
      </c>
      <c r="J757" t="s">
        <v>19</v>
      </c>
      <c r="K757">
        <v>5</v>
      </c>
      <c r="L757" s="7">
        <f t="shared" si="34"/>
        <v>2188.56</v>
      </c>
      <c r="M757" s="7"/>
      <c r="O757">
        <f t="shared" si="35"/>
        <v>2</v>
      </c>
      <c r="Q757" t="s">
        <v>65</v>
      </c>
    </row>
    <row r="758" spans="1:17" x14ac:dyDescent="0.3">
      <c r="A758" t="s">
        <v>1506</v>
      </c>
      <c r="B758" s="6">
        <v>45152</v>
      </c>
      <c r="C758" s="6" t="str">
        <f t="shared" si="33"/>
        <v>Aug</v>
      </c>
      <c r="D758" t="s">
        <v>162</v>
      </c>
      <c r="E758" t="s">
        <v>62</v>
      </c>
      <c r="F758" t="s">
        <v>51</v>
      </c>
      <c r="G758">
        <v>5</v>
      </c>
      <c r="H758" s="7">
        <v>328.53</v>
      </c>
      <c r="I758" t="s">
        <v>21</v>
      </c>
      <c r="J758" t="s">
        <v>87</v>
      </c>
      <c r="K758">
        <v>5</v>
      </c>
      <c r="L758" s="7">
        <f t="shared" si="34"/>
        <v>1642.6499999999999</v>
      </c>
      <c r="M758" s="7"/>
      <c r="O758">
        <f t="shared" si="35"/>
        <v>2</v>
      </c>
      <c r="Q758" t="s">
        <v>23</v>
      </c>
    </row>
    <row r="759" spans="1:17" x14ac:dyDescent="0.3">
      <c r="A759" t="s">
        <v>1507</v>
      </c>
      <c r="B759" s="6">
        <v>44962</v>
      </c>
      <c r="C759" s="6" t="str">
        <f t="shared" si="33"/>
        <v>Feb</v>
      </c>
      <c r="D759" t="s">
        <v>471</v>
      </c>
      <c r="E759" t="s">
        <v>36</v>
      </c>
      <c r="F759" t="s">
        <v>983</v>
      </c>
      <c r="G759">
        <v>2</v>
      </c>
      <c r="H759" s="7">
        <v>140.62</v>
      </c>
      <c r="I759" t="s">
        <v>19</v>
      </c>
      <c r="J759" t="s">
        <v>22</v>
      </c>
      <c r="K759">
        <v>20</v>
      </c>
      <c r="L759" s="7">
        <f t="shared" si="34"/>
        <v>281.24</v>
      </c>
      <c r="M759" s="7"/>
      <c r="O759">
        <f t="shared" si="35"/>
        <v>2</v>
      </c>
      <c r="Q759" t="s">
        <v>19</v>
      </c>
    </row>
    <row r="760" spans="1:17" x14ac:dyDescent="0.3">
      <c r="A760" t="s">
        <v>1508</v>
      </c>
      <c r="B760" s="6">
        <v>45197</v>
      </c>
      <c r="C760" s="6" t="str">
        <f t="shared" si="33"/>
        <v>Sep</v>
      </c>
      <c r="D760" t="s">
        <v>1067</v>
      </c>
      <c r="E760" t="s">
        <v>31</v>
      </c>
      <c r="F760" t="s">
        <v>372</v>
      </c>
      <c r="G760">
        <v>4</v>
      </c>
      <c r="H760" s="7">
        <v>298.56</v>
      </c>
      <c r="I760" t="s">
        <v>32</v>
      </c>
      <c r="J760" t="s">
        <v>22</v>
      </c>
      <c r="K760">
        <v>20</v>
      </c>
      <c r="L760" s="7">
        <f t="shared" si="34"/>
        <v>1194.24</v>
      </c>
      <c r="M760" s="7"/>
      <c r="O760">
        <f t="shared" si="35"/>
        <v>2</v>
      </c>
      <c r="Q760" t="s">
        <v>33</v>
      </c>
    </row>
    <row r="761" spans="1:17" x14ac:dyDescent="0.3">
      <c r="A761" t="s">
        <v>1509</v>
      </c>
      <c r="B761" s="6">
        <v>45230</v>
      </c>
      <c r="C761" s="6" t="str">
        <f t="shared" si="33"/>
        <v>Oct</v>
      </c>
      <c r="D761" t="s">
        <v>30</v>
      </c>
      <c r="E761" t="s">
        <v>36</v>
      </c>
      <c r="F761" t="s">
        <v>549</v>
      </c>
      <c r="G761">
        <v>4</v>
      </c>
      <c r="H761" s="7">
        <v>247.17</v>
      </c>
      <c r="I761" t="s">
        <v>19</v>
      </c>
      <c r="J761" t="s">
        <v>19</v>
      </c>
      <c r="K761">
        <v>0</v>
      </c>
      <c r="L761" s="7">
        <f t="shared" si="34"/>
        <v>988.68</v>
      </c>
      <c r="M761" s="7"/>
      <c r="O761">
        <f t="shared" si="35"/>
        <v>2</v>
      </c>
      <c r="Q761" t="s">
        <v>19</v>
      </c>
    </row>
    <row r="762" spans="1:17" x14ac:dyDescent="0.3">
      <c r="A762" t="s">
        <v>1510</v>
      </c>
      <c r="B762" s="6">
        <v>45000</v>
      </c>
      <c r="C762" s="6" t="str">
        <f t="shared" si="33"/>
        <v>Mar</v>
      </c>
      <c r="D762" t="s">
        <v>1511</v>
      </c>
      <c r="E762" t="s">
        <v>19</v>
      </c>
      <c r="F762" t="s">
        <v>988</v>
      </c>
      <c r="G762">
        <v>6</v>
      </c>
      <c r="H762" s="7">
        <v>71.010000000000005</v>
      </c>
      <c r="I762" t="s">
        <v>21</v>
      </c>
      <c r="J762" t="s">
        <v>72</v>
      </c>
      <c r="K762">
        <v>15</v>
      </c>
      <c r="L762" s="7">
        <f t="shared" si="34"/>
        <v>426.06000000000006</v>
      </c>
      <c r="M762" s="7"/>
      <c r="O762">
        <f t="shared" si="35"/>
        <v>2</v>
      </c>
      <c r="Q762" t="s">
        <v>23</v>
      </c>
    </row>
    <row r="763" spans="1:17" x14ac:dyDescent="0.3">
      <c r="A763" t="s">
        <v>1512</v>
      </c>
      <c r="B763" s="6">
        <v>45066</v>
      </c>
      <c r="C763" s="6" t="str">
        <f t="shared" si="33"/>
        <v>May</v>
      </c>
      <c r="D763" t="s">
        <v>1513</v>
      </c>
      <c r="E763" t="s">
        <v>31</v>
      </c>
      <c r="F763" t="s">
        <v>646</v>
      </c>
      <c r="G763">
        <v>6</v>
      </c>
      <c r="H763" s="7">
        <v>125.06</v>
      </c>
      <c r="I763" t="s">
        <v>19</v>
      </c>
      <c r="J763" t="s">
        <v>42</v>
      </c>
      <c r="K763">
        <v>10</v>
      </c>
      <c r="L763" s="7">
        <f t="shared" si="34"/>
        <v>750.36</v>
      </c>
      <c r="M763" s="7"/>
      <c r="O763">
        <f t="shared" si="35"/>
        <v>2</v>
      </c>
      <c r="Q763" t="s">
        <v>19</v>
      </c>
    </row>
    <row r="764" spans="1:17" x14ac:dyDescent="0.3">
      <c r="A764" t="s">
        <v>1514</v>
      </c>
      <c r="B764" s="6">
        <v>45271</v>
      </c>
      <c r="C764" s="6" t="str">
        <f t="shared" si="33"/>
        <v>Dec</v>
      </c>
      <c r="D764" t="s">
        <v>277</v>
      </c>
      <c r="E764" t="s">
        <v>31</v>
      </c>
      <c r="F764" t="s">
        <v>1237</v>
      </c>
      <c r="G764">
        <v>1</v>
      </c>
      <c r="H764" s="7">
        <v>149.38999999999999</v>
      </c>
      <c r="I764" t="s">
        <v>32</v>
      </c>
      <c r="J764" t="s">
        <v>42</v>
      </c>
      <c r="K764">
        <v>20</v>
      </c>
      <c r="L764" s="7">
        <f t="shared" si="34"/>
        <v>149.38999999999999</v>
      </c>
      <c r="M764" s="7"/>
      <c r="O764">
        <f t="shared" si="35"/>
        <v>2</v>
      </c>
      <c r="Q764" t="s">
        <v>33</v>
      </c>
    </row>
    <row r="765" spans="1:17" x14ac:dyDescent="0.3">
      <c r="A765" t="s">
        <v>1515</v>
      </c>
      <c r="B765" s="6">
        <v>45258</v>
      </c>
      <c r="C765" s="6" t="str">
        <f t="shared" si="33"/>
        <v>Nov</v>
      </c>
      <c r="D765" t="s">
        <v>1516</v>
      </c>
      <c r="E765" t="s">
        <v>26</v>
      </c>
      <c r="F765" t="s">
        <v>303</v>
      </c>
      <c r="G765">
        <v>8</v>
      </c>
      <c r="H765" s="7">
        <v>462.53</v>
      </c>
      <c r="I765" t="s">
        <v>46</v>
      </c>
      <c r="J765" t="s">
        <v>19</v>
      </c>
      <c r="K765">
        <v>5</v>
      </c>
      <c r="L765" s="7">
        <f t="shared" si="34"/>
        <v>3700.24</v>
      </c>
      <c r="M765" s="7"/>
      <c r="O765">
        <f t="shared" si="35"/>
        <v>5</v>
      </c>
      <c r="Q765" t="s">
        <v>47</v>
      </c>
    </row>
    <row r="766" spans="1:17" x14ac:dyDescent="0.3">
      <c r="A766" t="s">
        <v>1517</v>
      </c>
      <c r="B766" s="6">
        <v>44963</v>
      </c>
      <c r="C766" s="6" t="str">
        <f t="shared" si="33"/>
        <v>Feb</v>
      </c>
      <c r="D766" t="s">
        <v>1518</v>
      </c>
      <c r="E766" t="s">
        <v>19</v>
      </c>
      <c r="F766" t="s">
        <v>151</v>
      </c>
      <c r="G766">
        <v>6</v>
      </c>
      <c r="H766" s="7">
        <v>119.04</v>
      </c>
      <c r="I766" t="s">
        <v>21</v>
      </c>
      <c r="J766" t="s">
        <v>42</v>
      </c>
      <c r="K766">
        <v>0</v>
      </c>
      <c r="L766" s="7">
        <f t="shared" si="34"/>
        <v>714.24</v>
      </c>
      <c r="M766" s="7"/>
      <c r="O766">
        <f t="shared" si="35"/>
        <v>2</v>
      </c>
      <c r="Q766" t="s">
        <v>23</v>
      </c>
    </row>
    <row r="767" spans="1:17" x14ac:dyDescent="0.3">
      <c r="A767" t="s">
        <v>1519</v>
      </c>
      <c r="B767" s="6">
        <v>45242</v>
      </c>
      <c r="C767" s="6" t="str">
        <f t="shared" si="33"/>
        <v>Nov</v>
      </c>
      <c r="D767" t="s">
        <v>1520</v>
      </c>
      <c r="E767" t="s">
        <v>19</v>
      </c>
      <c r="F767" t="s">
        <v>1251</v>
      </c>
      <c r="G767">
        <v>3</v>
      </c>
      <c r="H767" s="7">
        <v>148.18</v>
      </c>
      <c r="I767" t="s">
        <v>32</v>
      </c>
      <c r="J767" t="s">
        <v>28</v>
      </c>
      <c r="K767">
        <v>10</v>
      </c>
      <c r="L767" s="7">
        <f t="shared" si="34"/>
        <v>444.54</v>
      </c>
      <c r="M767" s="7"/>
      <c r="O767">
        <f t="shared" si="35"/>
        <v>2</v>
      </c>
      <c r="Q767" t="s">
        <v>33</v>
      </c>
    </row>
    <row r="768" spans="1:17" x14ac:dyDescent="0.3">
      <c r="A768" t="s">
        <v>1521</v>
      </c>
      <c r="B768" s="6">
        <v>45214</v>
      </c>
      <c r="C768" s="6" t="str">
        <f t="shared" si="33"/>
        <v>Oct</v>
      </c>
      <c r="D768" t="s">
        <v>106</v>
      </c>
      <c r="E768" t="s">
        <v>40</v>
      </c>
      <c r="F768" t="s">
        <v>198</v>
      </c>
      <c r="G768">
        <v>9</v>
      </c>
      <c r="H768" s="7">
        <v>187.83</v>
      </c>
      <c r="I768" t="s">
        <v>46</v>
      </c>
      <c r="J768" t="s">
        <v>87</v>
      </c>
      <c r="K768">
        <v>10</v>
      </c>
      <c r="L768" s="7">
        <f t="shared" si="34"/>
        <v>1690.47</v>
      </c>
      <c r="M768" s="7"/>
      <c r="O768">
        <f t="shared" si="35"/>
        <v>2</v>
      </c>
      <c r="Q768" t="s">
        <v>47</v>
      </c>
    </row>
    <row r="769" spans="1:17" x14ac:dyDescent="0.3">
      <c r="A769" t="s">
        <v>1522</v>
      </c>
      <c r="B769" s="6">
        <v>45056</v>
      </c>
      <c r="C769" s="6" t="str">
        <f t="shared" si="33"/>
        <v>May</v>
      </c>
      <c r="D769" t="s">
        <v>1523</v>
      </c>
      <c r="E769" t="s">
        <v>19</v>
      </c>
      <c r="F769" t="s">
        <v>586</v>
      </c>
      <c r="G769">
        <v>2</v>
      </c>
      <c r="H769" s="7">
        <v>333.55</v>
      </c>
      <c r="I769" t="s">
        <v>103</v>
      </c>
      <c r="J769" t="s">
        <v>72</v>
      </c>
      <c r="K769">
        <v>5</v>
      </c>
      <c r="L769" s="7">
        <f t="shared" si="34"/>
        <v>667.1</v>
      </c>
      <c r="M769" s="7"/>
      <c r="O769">
        <f t="shared" si="35"/>
        <v>2</v>
      </c>
      <c r="Q769" t="s">
        <v>104</v>
      </c>
    </row>
    <row r="770" spans="1:17" x14ac:dyDescent="0.3">
      <c r="A770" t="s">
        <v>1524</v>
      </c>
      <c r="B770" s="6">
        <v>45164</v>
      </c>
      <c r="C770" s="6" t="str">
        <f t="shared" si="33"/>
        <v>Aug</v>
      </c>
      <c r="D770" t="s">
        <v>1525</v>
      </c>
      <c r="E770" t="s">
        <v>50</v>
      </c>
      <c r="F770" t="s">
        <v>968</v>
      </c>
      <c r="G770">
        <v>8</v>
      </c>
      <c r="H770" s="7">
        <v>63.53</v>
      </c>
      <c r="I770" t="s">
        <v>64</v>
      </c>
      <c r="J770" t="s">
        <v>28</v>
      </c>
      <c r="K770">
        <v>5</v>
      </c>
      <c r="L770" s="7">
        <f t="shared" si="34"/>
        <v>508.24</v>
      </c>
      <c r="M770" s="7"/>
      <c r="O770">
        <f t="shared" si="35"/>
        <v>2</v>
      </c>
      <c r="Q770" t="s">
        <v>65</v>
      </c>
    </row>
    <row r="771" spans="1:17" x14ac:dyDescent="0.3">
      <c r="A771" t="s">
        <v>1526</v>
      </c>
      <c r="B771" s="6">
        <v>45206</v>
      </c>
      <c r="C771" s="6" t="str">
        <f t="shared" ref="C771:C834" si="36">TEXT(B771,"MMM")</f>
        <v>Oct</v>
      </c>
      <c r="D771" t="s">
        <v>1527</v>
      </c>
      <c r="E771" t="s">
        <v>50</v>
      </c>
      <c r="F771" t="s">
        <v>523</v>
      </c>
      <c r="G771">
        <v>3</v>
      </c>
      <c r="H771" s="7">
        <v>477.2</v>
      </c>
      <c r="I771" t="s">
        <v>21</v>
      </c>
      <c r="J771" t="s">
        <v>72</v>
      </c>
      <c r="K771">
        <v>10</v>
      </c>
      <c r="L771" s="7">
        <f t="shared" ref="L771:L834" si="37">G771*H771</f>
        <v>1431.6</v>
      </c>
      <c r="M771" s="7"/>
      <c r="O771">
        <f t="shared" si="35"/>
        <v>2</v>
      </c>
      <c r="Q771" t="s">
        <v>23</v>
      </c>
    </row>
    <row r="772" spans="1:17" x14ac:dyDescent="0.3">
      <c r="A772" t="s">
        <v>1528</v>
      </c>
      <c r="B772" s="6">
        <v>45173</v>
      </c>
      <c r="C772" s="6" t="str">
        <f t="shared" si="36"/>
        <v>Sep</v>
      </c>
      <c r="D772" t="s">
        <v>226</v>
      </c>
      <c r="E772" t="s">
        <v>36</v>
      </c>
      <c r="F772" t="s">
        <v>267</v>
      </c>
      <c r="G772">
        <v>5</v>
      </c>
      <c r="H772" s="7">
        <v>433.46</v>
      </c>
      <c r="I772" t="s">
        <v>21</v>
      </c>
      <c r="J772" t="s">
        <v>19</v>
      </c>
      <c r="K772">
        <v>15</v>
      </c>
      <c r="L772" s="7">
        <f t="shared" si="37"/>
        <v>2167.2999999999997</v>
      </c>
      <c r="M772" s="7"/>
      <c r="O772">
        <f t="shared" ref="O772:O835" si="38">IF(L772&gt;3500,5,IF(L772&gt;3000,4,IF(L772&gt;2500,3,IF(L772&gt;2000,2,IF(L772&gt;1000,2,2)))))</f>
        <v>2</v>
      </c>
      <c r="Q772" t="s">
        <v>23</v>
      </c>
    </row>
    <row r="773" spans="1:17" x14ac:dyDescent="0.3">
      <c r="A773" t="s">
        <v>1529</v>
      </c>
      <c r="B773" s="6">
        <v>44927</v>
      </c>
      <c r="C773" s="6" t="str">
        <f t="shared" si="36"/>
        <v>Jan</v>
      </c>
      <c r="D773" t="s">
        <v>203</v>
      </c>
      <c r="E773" t="s">
        <v>36</v>
      </c>
      <c r="F773" t="s">
        <v>239</v>
      </c>
      <c r="G773">
        <v>6</v>
      </c>
      <c r="H773" s="7">
        <v>290.72000000000003</v>
      </c>
      <c r="I773" t="s">
        <v>46</v>
      </c>
      <c r="J773" t="s">
        <v>22</v>
      </c>
      <c r="K773">
        <v>15</v>
      </c>
      <c r="L773" s="7">
        <f t="shared" si="37"/>
        <v>1744.3200000000002</v>
      </c>
      <c r="M773" s="7"/>
      <c r="O773">
        <f t="shared" si="38"/>
        <v>2</v>
      </c>
      <c r="Q773" t="s">
        <v>47</v>
      </c>
    </row>
    <row r="774" spans="1:17" x14ac:dyDescent="0.3">
      <c r="A774" t="s">
        <v>1530</v>
      </c>
      <c r="B774" s="6">
        <v>45146</v>
      </c>
      <c r="C774" s="6" t="str">
        <f t="shared" si="36"/>
        <v>Aug</v>
      </c>
      <c r="D774" t="s">
        <v>774</v>
      </c>
      <c r="E774" t="s">
        <v>40</v>
      </c>
      <c r="F774" t="s">
        <v>185</v>
      </c>
      <c r="G774">
        <v>6</v>
      </c>
      <c r="H774" s="7">
        <v>338.65</v>
      </c>
      <c r="I774" t="s">
        <v>46</v>
      </c>
      <c r="J774" t="s">
        <v>87</v>
      </c>
      <c r="K774">
        <v>20</v>
      </c>
      <c r="L774" s="7">
        <f t="shared" si="37"/>
        <v>2031.8999999999999</v>
      </c>
      <c r="M774" s="7"/>
      <c r="O774">
        <f t="shared" si="38"/>
        <v>2</v>
      </c>
      <c r="Q774" t="s">
        <v>47</v>
      </c>
    </row>
    <row r="775" spans="1:17" x14ac:dyDescent="0.3">
      <c r="A775" t="s">
        <v>1531</v>
      </c>
      <c r="B775" s="6">
        <v>45180</v>
      </c>
      <c r="C775" s="6" t="str">
        <f t="shared" si="36"/>
        <v>Sep</v>
      </c>
      <c r="D775" t="s">
        <v>1212</v>
      </c>
      <c r="E775" t="s">
        <v>19</v>
      </c>
      <c r="F775" t="s">
        <v>75</v>
      </c>
      <c r="G775">
        <v>4</v>
      </c>
      <c r="H775" s="7">
        <v>13.25</v>
      </c>
      <c r="I775" t="s">
        <v>21</v>
      </c>
      <c r="J775" t="s">
        <v>42</v>
      </c>
      <c r="K775">
        <v>20</v>
      </c>
      <c r="L775" s="7">
        <f t="shared" si="37"/>
        <v>53</v>
      </c>
      <c r="M775" s="7"/>
      <c r="O775">
        <f t="shared" si="38"/>
        <v>2</v>
      </c>
      <c r="Q775" t="s">
        <v>23</v>
      </c>
    </row>
    <row r="776" spans="1:17" x14ac:dyDescent="0.3">
      <c r="A776" t="s">
        <v>1532</v>
      </c>
      <c r="B776" s="6">
        <v>45106</v>
      </c>
      <c r="C776" s="6" t="str">
        <f t="shared" si="36"/>
        <v>Jun</v>
      </c>
      <c r="D776" t="s">
        <v>1533</v>
      </c>
      <c r="E776" t="s">
        <v>19</v>
      </c>
      <c r="F776" t="s">
        <v>445</v>
      </c>
      <c r="G776">
        <v>3</v>
      </c>
      <c r="H776" s="7">
        <v>172.78</v>
      </c>
      <c r="I776" t="s">
        <v>103</v>
      </c>
      <c r="J776" t="s">
        <v>42</v>
      </c>
      <c r="K776">
        <v>5</v>
      </c>
      <c r="L776" s="7">
        <f t="shared" si="37"/>
        <v>518.34</v>
      </c>
      <c r="M776" s="7"/>
      <c r="O776">
        <f t="shared" si="38"/>
        <v>2</v>
      </c>
      <c r="Q776" t="s">
        <v>104</v>
      </c>
    </row>
    <row r="777" spans="1:17" x14ac:dyDescent="0.3">
      <c r="A777" t="s">
        <v>1534</v>
      </c>
      <c r="B777" s="6">
        <v>45063</v>
      </c>
      <c r="C777" s="6" t="str">
        <f t="shared" si="36"/>
        <v>May</v>
      </c>
      <c r="D777" t="s">
        <v>1535</v>
      </c>
      <c r="E777" t="s">
        <v>36</v>
      </c>
      <c r="F777" t="s">
        <v>499</v>
      </c>
      <c r="G777">
        <v>4</v>
      </c>
      <c r="H777" s="7">
        <v>398.85</v>
      </c>
      <c r="I777" t="s">
        <v>64</v>
      </c>
      <c r="J777" t="s">
        <v>72</v>
      </c>
      <c r="K777">
        <v>5</v>
      </c>
      <c r="L777" s="7">
        <f t="shared" si="37"/>
        <v>1595.4</v>
      </c>
      <c r="M777" s="7"/>
      <c r="O777">
        <f t="shared" si="38"/>
        <v>2</v>
      </c>
      <c r="Q777" t="s">
        <v>65</v>
      </c>
    </row>
    <row r="778" spans="1:17" x14ac:dyDescent="0.3">
      <c r="A778" t="s">
        <v>1536</v>
      </c>
      <c r="B778" s="6">
        <v>45132</v>
      </c>
      <c r="C778" s="6" t="str">
        <f t="shared" si="36"/>
        <v>Jul</v>
      </c>
      <c r="D778" t="s">
        <v>1537</v>
      </c>
      <c r="E778" t="s">
        <v>40</v>
      </c>
      <c r="F778" t="s">
        <v>328</v>
      </c>
      <c r="G778">
        <v>1</v>
      </c>
      <c r="H778" s="7">
        <v>43.35</v>
      </c>
      <c r="I778" t="s">
        <v>19</v>
      </c>
      <c r="J778" t="s">
        <v>22</v>
      </c>
      <c r="K778">
        <v>20</v>
      </c>
      <c r="L778" s="7">
        <f t="shared" si="37"/>
        <v>43.35</v>
      </c>
      <c r="M778" s="7"/>
      <c r="O778">
        <f t="shared" si="38"/>
        <v>2</v>
      </c>
      <c r="Q778" t="s">
        <v>19</v>
      </c>
    </row>
    <row r="779" spans="1:17" x14ac:dyDescent="0.3">
      <c r="A779" t="s">
        <v>1538</v>
      </c>
      <c r="B779" s="6">
        <v>45135</v>
      </c>
      <c r="C779" s="6" t="str">
        <f t="shared" si="36"/>
        <v>Jul</v>
      </c>
      <c r="D779" t="s">
        <v>1495</v>
      </c>
      <c r="E779" t="s">
        <v>50</v>
      </c>
      <c r="F779" t="s">
        <v>1182</v>
      </c>
      <c r="G779">
        <v>4</v>
      </c>
      <c r="H779" s="7">
        <v>144.75</v>
      </c>
      <c r="I779" t="s">
        <v>19</v>
      </c>
      <c r="J779" t="s">
        <v>22</v>
      </c>
      <c r="K779">
        <v>10</v>
      </c>
      <c r="L779" s="7">
        <f t="shared" si="37"/>
        <v>579</v>
      </c>
      <c r="M779" s="7"/>
      <c r="O779">
        <f t="shared" si="38"/>
        <v>2</v>
      </c>
      <c r="Q779" t="s">
        <v>19</v>
      </c>
    </row>
    <row r="780" spans="1:17" x14ac:dyDescent="0.3">
      <c r="A780" t="s">
        <v>1539</v>
      </c>
      <c r="B780" s="6">
        <v>44978</v>
      </c>
      <c r="C780" s="6" t="str">
        <f t="shared" si="36"/>
        <v>Feb</v>
      </c>
      <c r="D780" t="s">
        <v>1460</v>
      </c>
      <c r="E780" t="s">
        <v>31</v>
      </c>
      <c r="F780" t="s">
        <v>722</v>
      </c>
      <c r="G780">
        <v>1</v>
      </c>
      <c r="H780" s="7">
        <v>294.72000000000003</v>
      </c>
      <c r="I780" t="s">
        <v>19</v>
      </c>
      <c r="J780" t="s">
        <v>42</v>
      </c>
      <c r="K780">
        <v>20</v>
      </c>
      <c r="L780" s="7">
        <f t="shared" si="37"/>
        <v>294.72000000000003</v>
      </c>
      <c r="M780" s="7"/>
      <c r="O780">
        <f t="shared" si="38"/>
        <v>2</v>
      </c>
      <c r="Q780" t="s">
        <v>19</v>
      </c>
    </row>
    <row r="781" spans="1:17" x14ac:dyDescent="0.3">
      <c r="A781" t="s">
        <v>1540</v>
      </c>
      <c r="B781" s="6">
        <v>45221</v>
      </c>
      <c r="C781" s="6" t="str">
        <f t="shared" si="36"/>
        <v>Oct</v>
      </c>
      <c r="D781" t="s">
        <v>623</v>
      </c>
      <c r="E781" t="s">
        <v>19</v>
      </c>
      <c r="F781" t="s">
        <v>732</v>
      </c>
      <c r="G781">
        <v>1</v>
      </c>
      <c r="H781" s="7">
        <v>131.91999999999999</v>
      </c>
      <c r="I781" t="s">
        <v>103</v>
      </c>
      <c r="J781" t="s">
        <v>22</v>
      </c>
      <c r="K781">
        <v>5</v>
      </c>
      <c r="L781" s="7">
        <f t="shared" si="37"/>
        <v>131.91999999999999</v>
      </c>
      <c r="M781" s="7"/>
      <c r="O781">
        <f t="shared" si="38"/>
        <v>2</v>
      </c>
      <c r="Q781" t="s">
        <v>104</v>
      </c>
    </row>
    <row r="782" spans="1:17" x14ac:dyDescent="0.3">
      <c r="A782" t="s">
        <v>1541</v>
      </c>
      <c r="B782" s="6">
        <v>45158</v>
      </c>
      <c r="C782" s="6" t="str">
        <f t="shared" si="36"/>
        <v>Aug</v>
      </c>
      <c r="D782" t="s">
        <v>245</v>
      </c>
      <c r="E782" t="s">
        <v>36</v>
      </c>
      <c r="F782" t="s">
        <v>1194</v>
      </c>
      <c r="G782">
        <v>6</v>
      </c>
      <c r="H782" s="7">
        <v>467.32</v>
      </c>
      <c r="I782" t="s">
        <v>32</v>
      </c>
      <c r="J782" t="s">
        <v>22</v>
      </c>
      <c r="K782">
        <v>10</v>
      </c>
      <c r="L782" s="7">
        <f t="shared" si="37"/>
        <v>2803.92</v>
      </c>
      <c r="M782" s="7"/>
      <c r="O782">
        <f t="shared" si="38"/>
        <v>3</v>
      </c>
      <c r="Q782" t="s">
        <v>33</v>
      </c>
    </row>
    <row r="783" spans="1:17" x14ac:dyDescent="0.3">
      <c r="A783" t="s">
        <v>1542</v>
      </c>
      <c r="B783" s="6">
        <v>45052</v>
      </c>
      <c r="C783" s="6" t="str">
        <f t="shared" si="36"/>
        <v>May</v>
      </c>
      <c r="D783" t="s">
        <v>1543</v>
      </c>
      <c r="E783" t="s">
        <v>31</v>
      </c>
      <c r="F783" t="s">
        <v>122</v>
      </c>
      <c r="G783">
        <v>5</v>
      </c>
      <c r="H783" s="7">
        <v>69.87</v>
      </c>
      <c r="I783" t="s">
        <v>19</v>
      </c>
      <c r="J783" t="s">
        <v>28</v>
      </c>
      <c r="K783">
        <v>5</v>
      </c>
      <c r="L783" s="7">
        <f t="shared" si="37"/>
        <v>349.35</v>
      </c>
      <c r="M783" s="7"/>
      <c r="O783">
        <f t="shared" si="38"/>
        <v>2</v>
      </c>
      <c r="Q783" t="s">
        <v>19</v>
      </c>
    </row>
    <row r="784" spans="1:17" x14ac:dyDescent="0.3">
      <c r="A784" t="s">
        <v>1544</v>
      </c>
      <c r="B784" s="6">
        <v>45241</v>
      </c>
      <c r="C784" s="6" t="str">
        <f t="shared" si="36"/>
        <v>Nov</v>
      </c>
      <c r="D784" t="s">
        <v>106</v>
      </c>
      <c r="E784" t="s">
        <v>19</v>
      </c>
      <c r="F784" t="s">
        <v>398</v>
      </c>
      <c r="G784">
        <v>4</v>
      </c>
      <c r="H784" s="7">
        <v>399.71</v>
      </c>
      <c r="I784" t="s">
        <v>64</v>
      </c>
      <c r="J784" t="s">
        <v>42</v>
      </c>
      <c r="K784">
        <v>10</v>
      </c>
      <c r="L784" s="7">
        <f t="shared" si="37"/>
        <v>1598.84</v>
      </c>
      <c r="M784" s="7"/>
      <c r="O784">
        <f t="shared" si="38"/>
        <v>2</v>
      </c>
      <c r="Q784" t="s">
        <v>65</v>
      </c>
    </row>
    <row r="785" spans="1:17" x14ac:dyDescent="0.3">
      <c r="A785" t="s">
        <v>1545</v>
      </c>
      <c r="B785" s="6">
        <v>45246</v>
      </c>
      <c r="C785" s="6" t="str">
        <f t="shared" si="36"/>
        <v>Nov</v>
      </c>
      <c r="D785" t="s">
        <v>1546</v>
      </c>
      <c r="E785" t="s">
        <v>19</v>
      </c>
      <c r="F785" t="s">
        <v>586</v>
      </c>
      <c r="G785">
        <v>3</v>
      </c>
      <c r="H785" s="7">
        <v>256.43</v>
      </c>
      <c r="I785" t="s">
        <v>19</v>
      </c>
      <c r="J785" t="s">
        <v>28</v>
      </c>
      <c r="K785">
        <v>10</v>
      </c>
      <c r="L785" s="7">
        <f t="shared" si="37"/>
        <v>769.29</v>
      </c>
      <c r="M785" s="7"/>
      <c r="O785">
        <f t="shared" si="38"/>
        <v>2</v>
      </c>
      <c r="Q785" t="s">
        <v>19</v>
      </c>
    </row>
    <row r="786" spans="1:17" x14ac:dyDescent="0.3">
      <c r="A786" t="s">
        <v>1547</v>
      </c>
      <c r="B786" s="6">
        <v>45130</v>
      </c>
      <c r="C786" s="6" t="str">
        <f t="shared" si="36"/>
        <v>Jul</v>
      </c>
      <c r="D786" t="s">
        <v>310</v>
      </c>
      <c r="E786" t="s">
        <v>31</v>
      </c>
      <c r="F786" t="s">
        <v>1206</v>
      </c>
      <c r="G786">
        <v>1</v>
      </c>
      <c r="H786" s="7">
        <v>376.41</v>
      </c>
      <c r="I786" t="s">
        <v>64</v>
      </c>
      <c r="J786" t="s">
        <v>22</v>
      </c>
      <c r="K786">
        <v>5</v>
      </c>
      <c r="L786" s="7">
        <f t="shared" si="37"/>
        <v>376.41</v>
      </c>
      <c r="M786" s="7"/>
      <c r="O786">
        <f t="shared" si="38"/>
        <v>2</v>
      </c>
      <c r="Q786" t="s">
        <v>65</v>
      </c>
    </row>
    <row r="787" spans="1:17" x14ac:dyDescent="0.3">
      <c r="A787" t="s">
        <v>1548</v>
      </c>
      <c r="B787" s="6">
        <v>45093</v>
      </c>
      <c r="C787" s="6" t="str">
        <f t="shared" si="36"/>
        <v>Jun</v>
      </c>
      <c r="D787" t="s">
        <v>1516</v>
      </c>
      <c r="E787" t="s">
        <v>40</v>
      </c>
      <c r="F787" t="s">
        <v>341</v>
      </c>
      <c r="G787">
        <v>5</v>
      </c>
      <c r="H787" s="7">
        <v>158.80000000000001</v>
      </c>
      <c r="I787" t="s">
        <v>103</v>
      </c>
      <c r="J787" t="s">
        <v>42</v>
      </c>
      <c r="K787">
        <v>0</v>
      </c>
      <c r="L787" s="7">
        <f t="shared" si="37"/>
        <v>794</v>
      </c>
      <c r="M787" s="7"/>
      <c r="O787">
        <f t="shared" si="38"/>
        <v>2</v>
      </c>
      <c r="Q787" t="s">
        <v>104</v>
      </c>
    </row>
    <row r="788" spans="1:17" x14ac:dyDescent="0.3">
      <c r="A788" t="s">
        <v>1549</v>
      </c>
      <c r="B788" s="6">
        <v>45273</v>
      </c>
      <c r="C788" s="6" t="str">
        <f t="shared" si="36"/>
        <v>Dec</v>
      </c>
      <c r="D788" t="s">
        <v>1296</v>
      </c>
      <c r="E788" t="s">
        <v>26</v>
      </c>
      <c r="F788" t="s">
        <v>128</v>
      </c>
      <c r="G788">
        <v>2</v>
      </c>
      <c r="H788" s="7">
        <v>259.67</v>
      </c>
      <c r="I788" t="s">
        <v>64</v>
      </c>
      <c r="J788" t="s">
        <v>19</v>
      </c>
      <c r="K788">
        <v>20</v>
      </c>
      <c r="L788" s="7">
        <f t="shared" si="37"/>
        <v>519.34</v>
      </c>
      <c r="M788" s="7"/>
      <c r="O788">
        <f t="shared" si="38"/>
        <v>2</v>
      </c>
      <c r="Q788" t="s">
        <v>65</v>
      </c>
    </row>
    <row r="789" spans="1:17" x14ac:dyDescent="0.3">
      <c r="A789" t="s">
        <v>1550</v>
      </c>
      <c r="B789" s="6">
        <v>44992</v>
      </c>
      <c r="C789" s="6" t="str">
        <f t="shared" si="36"/>
        <v>Mar</v>
      </c>
      <c r="D789" t="s">
        <v>530</v>
      </c>
      <c r="E789" t="s">
        <v>62</v>
      </c>
      <c r="F789" t="s">
        <v>861</v>
      </c>
      <c r="G789">
        <v>8</v>
      </c>
      <c r="H789" s="7">
        <v>429.13</v>
      </c>
      <c r="I789" t="s">
        <v>19</v>
      </c>
      <c r="J789" t="s">
        <v>42</v>
      </c>
      <c r="K789">
        <v>15</v>
      </c>
      <c r="L789" s="7">
        <f t="shared" si="37"/>
        <v>3433.04</v>
      </c>
      <c r="M789" s="7"/>
      <c r="O789">
        <f t="shared" si="38"/>
        <v>4</v>
      </c>
      <c r="Q789" t="s">
        <v>19</v>
      </c>
    </row>
    <row r="790" spans="1:17" x14ac:dyDescent="0.3">
      <c r="A790" t="s">
        <v>1551</v>
      </c>
      <c r="B790" s="6">
        <v>44948</v>
      </c>
      <c r="C790" s="6" t="str">
        <f t="shared" si="36"/>
        <v>Jan</v>
      </c>
      <c r="D790" t="s">
        <v>1552</v>
      </c>
      <c r="E790" t="s">
        <v>36</v>
      </c>
      <c r="F790" t="s">
        <v>68</v>
      </c>
      <c r="G790">
        <v>5</v>
      </c>
      <c r="H790" s="7">
        <v>236.1</v>
      </c>
      <c r="I790" t="s">
        <v>32</v>
      </c>
      <c r="J790" t="s">
        <v>28</v>
      </c>
      <c r="K790">
        <v>5</v>
      </c>
      <c r="L790" s="7">
        <f t="shared" si="37"/>
        <v>1180.5</v>
      </c>
      <c r="M790" s="7"/>
      <c r="O790">
        <f t="shared" si="38"/>
        <v>2</v>
      </c>
      <c r="Q790" t="s">
        <v>33</v>
      </c>
    </row>
    <row r="791" spans="1:17" x14ac:dyDescent="0.3">
      <c r="A791" t="s">
        <v>1553</v>
      </c>
      <c r="B791" s="6">
        <v>45074</v>
      </c>
      <c r="C791" s="6" t="str">
        <f t="shared" si="36"/>
        <v>May</v>
      </c>
      <c r="D791" t="s">
        <v>1408</v>
      </c>
      <c r="E791" t="s">
        <v>19</v>
      </c>
      <c r="F791" t="s">
        <v>1038</v>
      </c>
      <c r="G791">
        <v>7</v>
      </c>
      <c r="H791" s="7">
        <v>183.06</v>
      </c>
      <c r="I791" t="s">
        <v>19</v>
      </c>
      <c r="J791" t="s">
        <v>22</v>
      </c>
      <c r="K791">
        <v>10</v>
      </c>
      <c r="L791" s="7">
        <f t="shared" si="37"/>
        <v>1281.42</v>
      </c>
      <c r="M791" s="7"/>
      <c r="O791">
        <f t="shared" si="38"/>
        <v>2</v>
      </c>
      <c r="Q791" t="s">
        <v>19</v>
      </c>
    </row>
    <row r="792" spans="1:17" x14ac:dyDescent="0.3">
      <c r="A792" t="s">
        <v>1554</v>
      </c>
      <c r="B792" s="6">
        <v>44973</v>
      </c>
      <c r="C792" s="6" t="str">
        <f t="shared" si="36"/>
        <v>Feb</v>
      </c>
      <c r="D792" t="s">
        <v>1052</v>
      </c>
      <c r="E792" t="s">
        <v>50</v>
      </c>
      <c r="F792" t="s">
        <v>59</v>
      </c>
      <c r="G792">
        <v>2</v>
      </c>
      <c r="H792" s="7">
        <v>270.39999999999998</v>
      </c>
      <c r="I792" t="s">
        <v>46</v>
      </c>
      <c r="J792" t="s">
        <v>72</v>
      </c>
      <c r="K792">
        <v>5</v>
      </c>
      <c r="L792" s="7">
        <f t="shared" si="37"/>
        <v>540.79999999999995</v>
      </c>
      <c r="M792" s="7"/>
      <c r="O792">
        <f t="shared" si="38"/>
        <v>2</v>
      </c>
      <c r="Q792" t="s">
        <v>47</v>
      </c>
    </row>
    <row r="793" spans="1:17" x14ac:dyDescent="0.3">
      <c r="A793" t="s">
        <v>1555</v>
      </c>
      <c r="B793" s="6">
        <v>44983</v>
      </c>
      <c r="C793" s="6" t="str">
        <f t="shared" si="36"/>
        <v>Feb</v>
      </c>
      <c r="D793" t="s">
        <v>1556</v>
      </c>
      <c r="E793" t="s">
        <v>26</v>
      </c>
      <c r="F793" t="s">
        <v>363</v>
      </c>
      <c r="G793">
        <v>8</v>
      </c>
      <c r="H793" s="7">
        <v>360.09</v>
      </c>
      <c r="I793" t="s">
        <v>21</v>
      </c>
      <c r="J793" t="s">
        <v>28</v>
      </c>
      <c r="K793">
        <v>20</v>
      </c>
      <c r="L793" s="7">
        <f t="shared" si="37"/>
        <v>2880.72</v>
      </c>
      <c r="M793" s="7"/>
      <c r="O793">
        <f t="shared" si="38"/>
        <v>3</v>
      </c>
      <c r="Q793" t="s">
        <v>23</v>
      </c>
    </row>
    <row r="794" spans="1:17" x14ac:dyDescent="0.3">
      <c r="A794" t="s">
        <v>1557</v>
      </c>
      <c r="B794" s="6">
        <v>45003</v>
      </c>
      <c r="C794" s="6" t="str">
        <f t="shared" si="36"/>
        <v>Mar</v>
      </c>
      <c r="D794" t="s">
        <v>1558</v>
      </c>
      <c r="E794" t="s">
        <v>40</v>
      </c>
      <c r="F794" t="s">
        <v>154</v>
      </c>
      <c r="G794">
        <v>2</v>
      </c>
      <c r="H794" s="7">
        <v>224.56</v>
      </c>
      <c r="I794" t="s">
        <v>64</v>
      </c>
      <c r="J794" t="s">
        <v>87</v>
      </c>
      <c r="K794">
        <v>10</v>
      </c>
      <c r="L794" s="7">
        <f t="shared" si="37"/>
        <v>449.12</v>
      </c>
      <c r="M794" s="7"/>
      <c r="O794">
        <f t="shared" si="38"/>
        <v>2</v>
      </c>
      <c r="Q794" t="s">
        <v>65</v>
      </c>
    </row>
    <row r="795" spans="1:17" x14ac:dyDescent="0.3">
      <c r="A795" t="s">
        <v>1559</v>
      </c>
      <c r="B795" s="6">
        <v>45112</v>
      </c>
      <c r="C795" s="6" t="str">
        <f t="shared" si="36"/>
        <v>Jul</v>
      </c>
      <c r="D795" t="s">
        <v>1247</v>
      </c>
      <c r="E795" t="s">
        <v>19</v>
      </c>
      <c r="F795" t="s">
        <v>398</v>
      </c>
      <c r="G795">
        <v>4</v>
      </c>
      <c r="H795" s="7">
        <v>469.74</v>
      </c>
      <c r="I795" t="s">
        <v>21</v>
      </c>
      <c r="J795" t="s">
        <v>87</v>
      </c>
      <c r="K795">
        <v>10</v>
      </c>
      <c r="L795" s="7">
        <f t="shared" si="37"/>
        <v>1878.96</v>
      </c>
      <c r="M795" s="7"/>
      <c r="O795">
        <f t="shared" si="38"/>
        <v>2</v>
      </c>
      <c r="Q795" t="s">
        <v>23</v>
      </c>
    </row>
    <row r="796" spans="1:17" x14ac:dyDescent="0.3">
      <c r="A796" t="s">
        <v>1560</v>
      </c>
      <c r="B796" s="6">
        <v>45113</v>
      </c>
      <c r="C796" s="6" t="str">
        <f t="shared" si="36"/>
        <v>Jul</v>
      </c>
      <c r="D796" t="s">
        <v>1273</v>
      </c>
      <c r="E796" t="s">
        <v>26</v>
      </c>
      <c r="F796" t="s">
        <v>182</v>
      </c>
      <c r="G796">
        <v>1</v>
      </c>
      <c r="H796" s="7">
        <v>151</v>
      </c>
      <c r="I796" t="s">
        <v>103</v>
      </c>
      <c r="J796" t="s">
        <v>42</v>
      </c>
      <c r="K796">
        <v>15</v>
      </c>
      <c r="L796" s="7">
        <f t="shared" si="37"/>
        <v>151</v>
      </c>
      <c r="M796" s="7"/>
      <c r="O796">
        <f t="shared" si="38"/>
        <v>2</v>
      </c>
      <c r="Q796" t="s">
        <v>104</v>
      </c>
    </row>
    <row r="797" spans="1:17" x14ac:dyDescent="0.3">
      <c r="A797" t="s">
        <v>1561</v>
      </c>
      <c r="B797" s="6">
        <v>45111</v>
      </c>
      <c r="C797" s="6" t="str">
        <f t="shared" si="36"/>
        <v>Jul</v>
      </c>
      <c r="D797" t="s">
        <v>1562</v>
      </c>
      <c r="E797" t="s">
        <v>36</v>
      </c>
      <c r="F797" t="s">
        <v>242</v>
      </c>
      <c r="G797">
        <v>5</v>
      </c>
      <c r="H797" s="7">
        <v>240.35</v>
      </c>
      <c r="I797" t="s">
        <v>21</v>
      </c>
      <c r="J797" t="s">
        <v>87</v>
      </c>
      <c r="K797">
        <v>15</v>
      </c>
      <c r="L797" s="7">
        <f t="shared" si="37"/>
        <v>1201.75</v>
      </c>
      <c r="M797" s="7"/>
      <c r="O797">
        <f t="shared" si="38"/>
        <v>2</v>
      </c>
      <c r="Q797" t="s">
        <v>23</v>
      </c>
    </row>
    <row r="798" spans="1:17" x14ac:dyDescent="0.3">
      <c r="A798" t="s">
        <v>1563</v>
      </c>
      <c r="B798" s="6">
        <v>45179</v>
      </c>
      <c r="C798" s="6" t="str">
        <f t="shared" si="36"/>
        <v>Sep</v>
      </c>
      <c r="D798" t="s">
        <v>1564</v>
      </c>
      <c r="E798" t="s">
        <v>31</v>
      </c>
      <c r="F798" t="s">
        <v>474</v>
      </c>
      <c r="G798">
        <v>9</v>
      </c>
      <c r="H798" s="7">
        <v>379.68</v>
      </c>
      <c r="I798" t="s">
        <v>21</v>
      </c>
      <c r="J798" t="s">
        <v>87</v>
      </c>
      <c r="K798">
        <v>15</v>
      </c>
      <c r="L798" s="7">
        <f t="shared" si="37"/>
        <v>3417.12</v>
      </c>
      <c r="M798" s="7"/>
      <c r="O798">
        <f t="shared" si="38"/>
        <v>4</v>
      </c>
      <c r="Q798" t="s">
        <v>23</v>
      </c>
    </row>
    <row r="799" spans="1:17" x14ac:dyDescent="0.3">
      <c r="A799" t="s">
        <v>1565</v>
      </c>
      <c r="B799" s="6">
        <v>45012</v>
      </c>
      <c r="C799" s="6" t="str">
        <f t="shared" si="36"/>
        <v>Mar</v>
      </c>
      <c r="D799" t="s">
        <v>1087</v>
      </c>
      <c r="E799" t="s">
        <v>36</v>
      </c>
      <c r="F799" t="s">
        <v>134</v>
      </c>
      <c r="G799">
        <v>5</v>
      </c>
      <c r="H799" s="7">
        <v>346.11</v>
      </c>
      <c r="I799" t="s">
        <v>46</v>
      </c>
      <c r="J799" t="s">
        <v>42</v>
      </c>
      <c r="K799">
        <v>10</v>
      </c>
      <c r="L799" s="7">
        <f t="shared" si="37"/>
        <v>1730.5500000000002</v>
      </c>
      <c r="M799" s="7"/>
      <c r="O799">
        <f t="shared" si="38"/>
        <v>2</v>
      </c>
      <c r="Q799" t="s">
        <v>47</v>
      </c>
    </row>
    <row r="800" spans="1:17" x14ac:dyDescent="0.3">
      <c r="A800" t="s">
        <v>1566</v>
      </c>
      <c r="B800" s="6">
        <v>44931</v>
      </c>
      <c r="C800" s="6" t="str">
        <f t="shared" si="36"/>
        <v>Jan</v>
      </c>
      <c r="D800" t="s">
        <v>1567</v>
      </c>
      <c r="E800" t="s">
        <v>19</v>
      </c>
      <c r="F800" t="s">
        <v>1568</v>
      </c>
      <c r="G800">
        <v>9</v>
      </c>
      <c r="H800" s="7">
        <v>432.5</v>
      </c>
      <c r="I800" t="s">
        <v>32</v>
      </c>
      <c r="J800" t="s">
        <v>22</v>
      </c>
      <c r="K800">
        <v>0</v>
      </c>
      <c r="L800" s="7">
        <f t="shared" si="37"/>
        <v>3892.5</v>
      </c>
      <c r="M800" s="7"/>
      <c r="O800">
        <f t="shared" si="38"/>
        <v>5</v>
      </c>
      <c r="Q800" t="s">
        <v>33</v>
      </c>
    </row>
    <row r="801" spans="1:17" x14ac:dyDescent="0.3">
      <c r="A801" t="s">
        <v>1569</v>
      </c>
      <c r="B801" s="6">
        <v>45254</v>
      </c>
      <c r="C801" s="6" t="str">
        <f t="shared" si="36"/>
        <v>Nov</v>
      </c>
      <c r="D801" t="s">
        <v>1408</v>
      </c>
      <c r="E801" t="s">
        <v>36</v>
      </c>
      <c r="F801" t="s">
        <v>450</v>
      </c>
      <c r="G801">
        <v>8</v>
      </c>
      <c r="H801" s="7">
        <v>498.42</v>
      </c>
      <c r="I801" t="s">
        <v>32</v>
      </c>
      <c r="J801" t="s">
        <v>28</v>
      </c>
      <c r="K801">
        <v>10</v>
      </c>
      <c r="L801" s="7">
        <f t="shared" si="37"/>
        <v>3987.36</v>
      </c>
      <c r="M801" s="7"/>
      <c r="O801">
        <f t="shared" si="38"/>
        <v>5</v>
      </c>
      <c r="Q801" t="s">
        <v>33</v>
      </c>
    </row>
    <row r="802" spans="1:17" x14ac:dyDescent="0.3">
      <c r="A802" t="s">
        <v>1570</v>
      </c>
      <c r="B802" s="6">
        <v>45228</v>
      </c>
      <c r="C802" s="6" t="str">
        <f t="shared" si="36"/>
        <v>Oct</v>
      </c>
      <c r="D802" t="s">
        <v>1567</v>
      </c>
      <c r="E802" t="s">
        <v>36</v>
      </c>
      <c r="F802" t="s">
        <v>665</v>
      </c>
      <c r="G802">
        <v>6</v>
      </c>
      <c r="H802" s="7">
        <v>216.29</v>
      </c>
      <c r="I802" t="s">
        <v>46</v>
      </c>
      <c r="J802" t="s">
        <v>42</v>
      </c>
      <c r="K802">
        <v>10</v>
      </c>
      <c r="L802" s="7">
        <f t="shared" si="37"/>
        <v>1297.74</v>
      </c>
      <c r="M802" s="7"/>
      <c r="O802">
        <f t="shared" si="38"/>
        <v>2</v>
      </c>
      <c r="Q802" t="s">
        <v>47</v>
      </c>
    </row>
    <row r="803" spans="1:17" x14ac:dyDescent="0.3">
      <c r="A803" t="s">
        <v>1571</v>
      </c>
      <c r="B803" s="6">
        <v>44941</v>
      </c>
      <c r="C803" s="6" t="str">
        <f t="shared" si="36"/>
        <v>Jan</v>
      </c>
      <c r="D803" t="s">
        <v>510</v>
      </c>
      <c r="E803" t="s">
        <v>40</v>
      </c>
      <c r="F803" t="s">
        <v>1117</v>
      </c>
      <c r="G803">
        <v>7</v>
      </c>
      <c r="H803" s="7">
        <v>60.02</v>
      </c>
      <c r="I803" t="s">
        <v>19</v>
      </c>
      <c r="J803" t="s">
        <v>28</v>
      </c>
      <c r="K803">
        <v>10</v>
      </c>
      <c r="L803" s="7">
        <f t="shared" si="37"/>
        <v>420.14000000000004</v>
      </c>
      <c r="M803" s="7"/>
      <c r="O803">
        <f t="shared" si="38"/>
        <v>2</v>
      </c>
      <c r="Q803" t="s">
        <v>19</v>
      </c>
    </row>
    <row r="804" spans="1:17" x14ac:dyDescent="0.3">
      <c r="A804" t="s">
        <v>1572</v>
      </c>
      <c r="B804" s="6">
        <v>45170</v>
      </c>
      <c r="C804" s="6" t="str">
        <f t="shared" si="36"/>
        <v>Sep</v>
      </c>
      <c r="D804" t="s">
        <v>195</v>
      </c>
      <c r="E804" t="s">
        <v>19</v>
      </c>
      <c r="F804" t="s">
        <v>353</v>
      </c>
      <c r="G804">
        <v>3</v>
      </c>
      <c r="H804" s="7">
        <v>20.059999999999999</v>
      </c>
      <c r="I804" t="s">
        <v>21</v>
      </c>
      <c r="J804" t="s">
        <v>72</v>
      </c>
      <c r="K804">
        <v>10</v>
      </c>
      <c r="L804" s="7">
        <f t="shared" si="37"/>
        <v>60.179999999999993</v>
      </c>
      <c r="M804" s="7"/>
      <c r="O804">
        <f t="shared" si="38"/>
        <v>2</v>
      </c>
      <c r="Q804" t="s">
        <v>23</v>
      </c>
    </row>
    <row r="805" spans="1:17" x14ac:dyDescent="0.3">
      <c r="A805" t="s">
        <v>1573</v>
      </c>
      <c r="B805" s="6">
        <v>44970</v>
      </c>
      <c r="C805" s="6" t="str">
        <f t="shared" si="36"/>
        <v>Feb</v>
      </c>
      <c r="D805" t="s">
        <v>809</v>
      </c>
      <c r="E805" t="s">
        <v>19</v>
      </c>
      <c r="F805" t="s">
        <v>173</v>
      </c>
      <c r="G805">
        <v>1</v>
      </c>
      <c r="H805" s="7">
        <v>364.8</v>
      </c>
      <c r="I805" t="s">
        <v>103</v>
      </c>
      <c r="J805" t="s">
        <v>28</v>
      </c>
      <c r="K805">
        <v>10</v>
      </c>
      <c r="L805" s="7">
        <f t="shared" si="37"/>
        <v>364.8</v>
      </c>
      <c r="M805" s="7"/>
      <c r="O805">
        <f t="shared" si="38"/>
        <v>2</v>
      </c>
      <c r="Q805" t="s">
        <v>104</v>
      </c>
    </row>
    <row r="806" spans="1:17" x14ac:dyDescent="0.3">
      <c r="A806" t="s">
        <v>1574</v>
      </c>
      <c r="B806" s="6">
        <v>45289</v>
      </c>
      <c r="C806" s="6" t="str">
        <f t="shared" si="36"/>
        <v>Dec</v>
      </c>
      <c r="D806" t="s">
        <v>1418</v>
      </c>
      <c r="E806" t="s">
        <v>36</v>
      </c>
      <c r="F806" t="s">
        <v>684</v>
      </c>
      <c r="G806">
        <v>5</v>
      </c>
      <c r="H806" s="7">
        <v>437.64</v>
      </c>
      <c r="I806" t="s">
        <v>32</v>
      </c>
      <c r="J806" t="s">
        <v>72</v>
      </c>
      <c r="K806">
        <v>0</v>
      </c>
      <c r="L806" s="7">
        <f t="shared" si="37"/>
        <v>2188.1999999999998</v>
      </c>
      <c r="M806" s="7"/>
      <c r="O806">
        <f t="shared" si="38"/>
        <v>2</v>
      </c>
      <c r="Q806" t="s">
        <v>33</v>
      </c>
    </row>
    <row r="807" spans="1:17" x14ac:dyDescent="0.3">
      <c r="A807" t="s">
        <v>1575</v>
      </c>
      <c r="B807" s="6">
        <v>45015</v>
      </c>
      <c r="C807" s="6" t="str">
        <f t="shared" si="36"/>
        <v>Mar</v>
      </c>
      <c r="D807" t="s">
        <v>1231</v>
      </c>
      <c r="E807" t="s">
        <v>19</v>
      </c>
      <c r="F807" t="s">
        <v>549</v>
      </c>
      <c r="G807">
        <v>2</v>
      </c>
      <c r="H807" s="7">
        <v>114.25</v>
      </c>
      <c r="I807" t="s">
        <v>21</v>
      </c>
      <c r="J807" t="s">
        <v>87</v>
      </c>
      <c r="K807">
        <v>10</v>
      </c>
      <c r="L807" s="7">
        <f t="shared" si="37"/>
        <v>228.5</v>
      </c>
      <c r="M807" s="7"/>
      <c r="O807">
        <f t="shared" si="38"/>
        <v>2</v>
      </c>
      <c r="Q807" t="s">
        <v>23</v>
      </c>
    </row>
    <row r="808" spans="1:17" x14ac:dyDescent="0.3">
      <c r="A808" t="s">
        <v>1576</v>
      </c>
      <c r="B808" s="6">
        <v>45106</v>
      </c>
      <c r="C808" s="6" t="str">
        <f t="shared" si="36"/>
        <v>Jun</v>
      </c>
      <c r="D808" t="s">
        <v>440</v>
      </c>
      <c r="E808" t="s">
        <v>26</v>
      </c>
      <c r="F808" t="s">
        <v>1568</v>
      </c>
      <c r="G808">
        <v>5</v>
      </c>
      <c r="H808" s="7">
        <v>83.43</v>
      </c>
      <c r="I808" t="s">
        <v>103</v>
      </c>
      <c r="J808" t="s">
        <v>72</v>
      </c>
      <c r="K808">
        <v>10</v>
      </c>
      <c r="L808" s="7">
        <f t="shared" si="37"/>
        <v>417.15000000000003</v>
      </c>
      <c r="M808" s="7"/>
      <c r="O808">
        <f t="shared" si="38"/>
        <v>2</v>
      </c>
      <c r="Q808" t="s">
        <v>104</v>
      </c>
    </row>
    <row r="809" spans="1:17" x14ac:dyDescent="0.3">
      <c r="A809" t="s">
        <v>1577</v>
      </c>
      <c r="B809" s="6">
        <v>44939</v>
      </c>
      <c r="C809" s="6" t="str">
        <f t="shared" si="36"/>
        <v>Jan</v>
      </c>
      <c r="D809" t="s">
        <v>1578</v>
      </c>
      <c r="E809" t="s">
        <v>26</v>
      </c>
      <c r="F809" t="s">
        <v>224</v>
      </c>
      <c r="G809">
        <v>8</v>
      </c>
      <c r="H809" s="7">
        <v>35.79</v>
      </c>
      <c r="I809" t="s">
        <v>64</v>
      </c>
      <c r="J809" t="s">
        <v>22</v>
      </c>
      <c r="K809">
        <v>0</v>
      </c>
      <c r="L809" s="7">
        <f t="shared" si="37"/>
        <v>286.32</v>
      </c>
      <c r="M809" s="7"/>
      <c r="O809">
        <f t="shared" si="38"/>
        <v>2</v>
      </c>
      <c r="Q809" t="s">
        <v>65</v>
      </c>
    </row>
    <row r="810" spans="1:17" x14ac:dyDescent="0.3">
      <c r="A810" t="s">
        <v>1579</v>
      </c>
      <c r="B810" s="6">
        <v>45178</v>
      </c>
      <c r="C810" s="6" t="str">
        <f t="shared" si="36"/>
        <v>Sep</v>
      </c>
      <c r="D810" t="s">
        <v>1580</v>
      </c>
      <c r="E810" t="s">
        <v>19</v>
      </c>
      <c r="F810" t="s">
        <v>151</v>
      </c>
      <c r="G810">
        <v>9</v>
      </c>
      <c r="H810" s="7">
        <v>412.24</v>
      </c>
      <c r="I810" t="s">
        <v>46</v>
      </c>
      <c r="J810" t="s">
        <v>22</v>
      </c>
      <c r="K810">
        <v>5</v>
      </c>
      <c r="L810" s="7">
        <f t="shared" si="37"/>
        <v>3710.16</v>
      </c>
      <c r="M810" s="7"/>
      <c r="O810">
        <f t="shared" si="38"/>
        <v>5</v>
      </c>
      <c r="Q810" t="s">
        <v>47</v>
      </c>
    </row>
    <row r="811" spans="1:17" x14ac:dyDescent="0.3">
      <c r="A811" t="s">
        <v>1581</v>
      </c>
      <c r="B811" s="6">
        <v>45023</v>
      </c>
      <c r="C811" s="6" t="str">
        <f t="shared" si="36"/>
        <v>Apr</v>
      </c>
      <c r="D811" t="s">
        <v>1582</v>
      </c>
      <c r="E811" t="s">
        <v>19</v>
      </c>
      <c r="F811" t="s">
        <v>856</v>
      </c>
      <c r="G811">
        <v>2</v>
      </c>
      <c r="H811" s="7">
        <v>159.13</v>
      </c>
      <c r="I811" t="s">
        <v>32</v>
      </c>
      <c r="J811" t="s">
        <v>28</v>
      </c>
      <c r="K811">
        <v>20</v>
      </c>
      <c r="L811" s="7">
        <f t="shared" si="37"/>
        <v>318.26</v>
      </c>
      <c r="M811" s="7"/>
      <c r="O811">
        <f t="shared" si="38"/>
        <v>2</v>
      </c>
      <c r="Q811" t="s">
        <v>33</v>
      </c>
    </row>
    <row r="812" spans="1:17" x14ac:dyDescent="0.3">
      <c r="A812" t="s">
        <v>1583</v>
      </c>
      <c r="B812" s="6">
        <v>44979</v>
      </c>
      <c r="C812" s="6" t="str">
        <f t="shared" si="36"/>
        <v>Feb</v>
      </c>
      <c r="D812" t="s">
        <v>830</v>
      </c>
      <c r="E812" t="s">
        <v>50</v>
      </c>
      <c r="F812" t="s">
        <v>436</v>
      </c>
      <c r="G812">
        <v>3</v>
      </c>
      <c r="H812" s="7">
        <v>203.84</v>
      </c>
      <c r="I812" t="s">
        <v>19</v>
      </c>
      <c r="J812" t="s">
        <v>28</v>
      </c>
      <c r="K812">
        <v>10</v>
      </c>
      <c r="L812" s="7">
        <f t="shared" si="37"/>
        <v>611.52</v>
      </c>
      <c r="M812" s="7"/>
      <c r="O812">
        <f t="shared" si="38"/>
        <v>2</v>
      </c>
      <c r="Q812" t="s">
        <v>19</v>
      </c>
    </row>
    <row r="813" spans="1:17" x14ac:dyDescent="0.3">
      <c r="A813" t="s">
        <v>1584</v>
      </c>
      <c r="B813" s="6">
        <v>45186</v>
      </c>
      <c r="C813" s="6" t="str">
        <f t="shared" si="36"/>
        <v>Sep</v>
      </c>
      <c r="D813" t="s">
        <v>793</v>
      </c>
      <c r="E813" t="s">
        <v>31</v>
      </c>
      <c r="F813" t="s">
        <v>488</v>
      </c>
      <c r="G813">
        <v>3</v>
      </c>
      <c r="H813" s="7">
        <v>253.86</v>
      </c>
      <c r="I813" t="s">
        <v>64</v>
      </c>
      <c r="J813" t="s">
        <v>28</v>
      </c>
      <c r="K813">
        <v>15</v>
      </c>
      <c r="L813" s="7">
        <f t="shared" si="37"/>
        <v>761.58</v>
      </c>
      <c r="M813" s="7"/>
      <c r="O813">
        <f t="shared" si="38"/>
        <v>2</v>
      </c>
      <c r="Q813" t="s">
        <v>65</v>
      </c>
    </row>
    <row r="814" spans="1:17" x14ac:dyDescent="0.3">
      <c r="A814" t="s">
        <v>1585</v>
      </c>
      <c r="B814" s="6">
        <v>44948</v>
      </c>
      <c r="C814" s="6" t="str">
        <f t="shared" si="36"/>
        <v>Jan</v>
      </c>
      <c r="D814" t="s">
        <v>1586</v>
      </c>
      <c r="E814" t="s">
        <v>31</v>
      </c>
      <c r="F814" t="s">
        <v>1180</v>
      </c>
      <c r="G814">
        <v>1</v>
      </c>
      <c r="H814" s="7">
        <v>420.53</v>
      </c>
      <c r="I814" t="s">
        <v>103</v>
      </c>
      <c r="J814" t="s">
        <v>22</v>
      </c>
      <c r="K814">
        <v>0</v>
      </c>
      <c r="L814" s="7">
        <f t="shared" si="37"/>
        <v>420.53</v>
      </c>
      <c r="M814" s="7"/>
      <c r="O814">
        <f t="shared" si="38"/>
        <v>2</v>
      </c>
      <c r="Q814" t="s">
        <v>104</v>
      </c>
    </row>
    <row r="815" spans="1:17" x14ac:dyDescent="0.3">
      <c r="A815" t="s">
        <v>1587</v>
      </c>
      <c r="B815" s="6">
        <v>45249</v>
      </c>
      <c r="C815" s="6" t="str">
        <f t="shared" si="36"/>
        <v>Nov</v>
      </c>
      <c r="D815" t="s">
        <v>1588</v>
      </c>
      <c r="E815" t="s">
        <v>19</v>
      </c>
      <c r="F815" t="s">
        <v>466</v>
      </c>
      <c r="G815">
        <v>8</v>
      </c>
      <c r="H815" s="7">
        <v>327.16000000000003</v>
      </c>
      <c r="I815" t="s">
        <v>103</v>
      </c>
      <c r="J815" t="s">
        <v>42</v>
      </c>
      <c r="K815">
        <v>0</v>
      </c>
      <c r="L815" s="7">
        <f t="shared" si="37"/>
        <v>2617.2800000000002</v>
      </c>
      <c r="M815" s="7"/>
      <c r="O815">
        <f t="shared" si="38"/>
        <v>3</v>
      </c>
      <c r="Q815" t="s">
        <v>104</v>
      </c>
    </row>
    <row r="816" spans="1:17" x14ac:dyDescent="0.3">
      <c r="A816" t="s">
        <v>1589</v>
      </c>
      <c r="B816" s="6">
        <v>45153</v>
      </c>
      <c r="C816" s="6" t="str">
        <f t="shared" si="36"/>
        <v>Aug</v>
      </c>
      <c r="D816" t="s">
        <v>297</v>
      </c>
      <c r="E816" t="s">
        <v>19</v>
      </c>
      <c r="F816" t="s">
        <v>188</v>
      </c>
      <c r="G816">
        <v>6</v>
      </c>
      <c r="H816" s="7">
        <v>309.45999999999998</v>
      </c>
      <c r="I816" t="s">
        <v>64</v>
      </c>
      <c r="J816" t="s">
        <v>19</v>
      </c>
      <c r="K816">
        <v>10</v>
      </c>
      <c r="L816" s="7">
        <f t="shared" si="37"/>
        <v>1856.7599999999998</v>
      </c>
      <c r="M816" s="7"/>
      <c r="O816">
        <f t="shared" si="38"/>
        <v>2</v>
      </c>
      <c r="Q816" t="s">
        <v>65</v>
      </c>
    </row>
    <row r="817" spans="1:17" x14ac:dyDescent="0.3">
      <c r="A817" t="s">
        <v>1590</v>
      </c>
      <c r="B817" s="6">
        <v>45022</v>
      </c>
      <c r="C817" s="6" t="str">
        <f t="shared" si="36"/>
        <v>Apr</v>
      </c>
      <c r="D817" t="s">
        <v>1591</v>
      </c>
      <c r="E817" t="s">
        <v>26</v>
      </c>
      <c r="F817" t="s">
        <v>627</v>
      </c>
      <c r="G817">
        <v>8</v>
      </c>
      <c r="H817" s="7">
        <v>91.96</v>
      </c>
      <c r="I817" t="s">
        <v>19</v>
      </c>
      <c r="J817" t="s">
        <v>42</v>
      </c>
      <c r="K817">
        <v>0</v>
      </c>
      <c r="L817" s="7">
        <f t="shared" si="37"/>
        <v>735.68</v>
      </c>
      <c r="M817" s="7"/>
      <c r="O817">
        <f t="shared" si="38"/>
        <v>2</v>
      </c>
      <c r="Q817" t="s">
        <v>19</v>
      </c>
    </row>
    <row r="818" spans="1:17" x14ac:dyDescent="0.3">
      <c r="A818" t="s">
        <v>1592</v>
      </c>
      <c r="B818" s="6">
        <v>45021</v>
      </c>
      <c r="C818" s="6" t="str">
        <f t="shared" si="36"/>
        <v>Apr</v>
      </c>
      <c r="D818" t="s">
        <v>1525</v>
      </c>
      <c r="E818" t="s">
        <v>26</v>
      </c>
      <c r="F818" t="s">
        <v>160</v>
      </c>
      <c r="G818">
        <v>9</v>
      </c>
      <c r="H818" s="7">
        <v>259.02999999999997</v>
      </c>
      <c r="I818" t="s">
        <v>103</v>
      </c>
      <c r="J818" t="s">
        <v>87</v>
      </c>
      <c r="K818">
        <v>5</v>
      </c>
      <c r="L818" s="7">
        <f t="shared" si="37"/>
        <v>2331.2699999999995</v>
      </c>
      <c r="M818" s="7"/>
      <c r="O818">
        <f t="shared" si="38"/>
        <v>2</v>
      </c>
      <c r="Q818" t="s">
        <v>104</v>
      </c>
    </row>
    <row r="819" spans="1:17" x14ac:dyDescent="0.3">
      <c r="A819" t="s">
        <v>1593</v>
      </c>
      <c r="B819" s="6">
        <v>45056</v>
      </c>
      <c r="C819" s="6" t="str">
        <f t="shared" si="36"/>
        <v>May</v>
      </c>
      <c r="D819" t="s">
        <v>1594</v>
      </c>
      <c r="E819" t="s">
        <v>26</v>
      </c>
      <c r="F819" t="s">
        <v>359</v>
      </c>
      <c r="G819">
        <v>5</v>
      </c>
      <c r="H819" s="7">
        <v>359.11</v>
      </c>
      <c r="I819" t="s">
        <v>46</v>
      </c>
      <c r="J819" t="s">
        <v>22</v>
      </c>
      <c r="K819">
        <v>0</v>
      </c>
      <c r="L819" s="7">
        <f t="shared" si="37"/>
        <v>1795.5500000000002</v>
      </c>
      <c r="M819" s="7"/>
      <c r="O819">
        <f t="shared" si="38"/>
        <v>2</v>
      </c>
      <c r="Q819" t="s">
        <v>47</v>
      </c>
    </row>
    <row r="820" spans="1:17" x14ac:dyDescent="0.3">
      <c r="A820" t="s">
        <v>1595</v>
      </c>
      <c r="B820" s="6">
        <v>44995</v>
      </c>
      <c r="C820" s="6" t="str">
        <f t="shared" si="36"/>
        <v>Mar</v>
      </c>
      <c r="D820" t="s">
        <v>1596</v>
      </c>
      <c r="E820" t="s">
        <v>19</v>
      </c>
      <c r="F820" t="s">
        <v>713</v>
      </c>
      <c r="G820">
        <v>3</v>
      </c>
      <c r="H820" s="7">
        <v>486.76</v>
      </c>
      <c r="I820" t="s">
        <v>103</v>
      </c>
      <c r="J820" t="s">
        <v>22</v>
      </c>
      <c r="K820">
        <v>20</v>
      </c>
      <c r="L820" s="7">
        <f t="shared" si="37"/>
        <v>1460.28</v>
      </c>
      <c r="M820" s="7"/>
      <c r="O820">
        <f t="shared" si="38"/>
        <v>2</v>
      </c>
      <c r="Q820" t="s">
        <v>104</v>
      </c>
    </row>
    <row r="821" spans="1:17" x14ac:dyDescent="0.3">
      <c r="A821" t="s">
        <v>1597</v>
      </c>
      <c r="B821" s="6">
        <v>44989</v>
      </c>
      <c r="C821" s="6" t="str">
        <f t="shared" si="36"/>
        <v>Mar</v>
      </c>
      <c r="D821" t="s">
        <v>408</v>
      </c>
      <c r="E821" t="s">
        <v>19</v>
      </c>
      <c r="F821" t="s">
        <v>1568</v>
      </c>
      <c r="G821">
        <v>5</v>
      </c>
      <c r="H821" s="7">
        <v>104.7</v>
      </c>
      <c r="I821" t="s">
        <v>103</v>
      </c>
      <c r="J821" t="s">
        <v>19</v>
      </c>
      <c r="K821">
        <v>20</v>
      </c>
      <c r="L821" s="7">
        <f t="shared" si="37"/>
        <v>523.5</v>
      </c>
      <c r="M821" s="7"/>
      <c r="O821">
        <f t="shared" si="38"/>
        <v>2</v>
      </c>
      <c r="Q821" t="s">
        <v>104</v>
      </c>
    </row>
    <row r="822" spans="1:17" x14ac:dyDescent="0.3">
      <c r="A822" t="s">
        <v>1598</v>
      </c>
      <c r="B822" s="6">
        <v>45123</v>
      </c>
      <c r="C822" s="6" t="str">
        <f t="shared" si="36"/>
        <v>Jul</v>
      </c>
      <c r="D822" t="s">
        <v>343</v>
      </c>
      <c r="E822" t="s">
        <v>19</v>
      </c>
      <c r="F822" t="s">
        <v>420</v>
      </c>
      <c r="G822">
        <v>5</v>
      </c>
      <c r="H822" s="7">
        <v>9.7200000000000006</v>
      </c>
      <c r="I822" t="s">
        <v>64</v>
      </c>
      <c r="J822" t="s">
        <v>72</v>
      </c>
      <c r="K822">
        <v>15</v>
      </c>
      <c r="L822" s="7">
        <f t="shared" si="37"/>
        <v>48.6</v>
      </c>
      <c r="M822" s="7"/>
      <c r="O822">
        <f t="shared" si="38"/>
        <v>2</v>
      </c>
      <c r="Q822" t="s">
        <v>65</v>
      </c>
    </row>
    <row r="823" spans="1:17" x14ac:dyDescent="0.3">
      <c r="A823" t="s">
        <v>1599</v>
      </c>
      <c r="B823" s="6">
        <v>45200</v>
      </c>
      <c r="C823" s="6" t="str">
        <f t="shared" si="36"/>
        <v>Oct</v>
      </c>
      <c r="D823" t="s">
        <v>1600</v>
      </c>
      <c r="E823" t="s">
        <v>31</v>
      </c>
      <c r="F823" t="s">
        <v>242</v>
      </c>
      <c r="G823">
        <v>5</v>
      </c>
      <c r="H823" s="7">
        <v>252.16</v>
      </c>
      <c r="I823" t="s">
        <v>46</v>
      </c>
      <c r="J823" t="s">
        <v>72</v>
      </c>
      <c r="K823">
        <v>5</v>
      </c>
      <c r="L823" s="7">
        <f t="shared" si="37"/>
        <v>1260.8</v>
      </c>
      <c r="M823" s="7"/>
      <c r="O823">
        <f t="shared" si="38"/>
        <v>2</v>
      </c>
      <c r="Q823" t="s">
        <v>47</v>
      </c>
    </row>
    <row r="824" spans="1:17" x14ac:dyDescent="0.3">
      <c r="A824" t="s">
        <v>1601</v>
      </c>
      <c r="B824" s="6">
        <v>44928</v>
      </c>
      <c r="C824" s="6" t="str">
        <f t="shared" si="36"/>
        <v>Jan</v>
      </c>
      <c r="D824" t="s">
        <v>826</v>
      </c>
      <c r="E824" t="s">
        <v>50</v>
      </c>
      <c r="F824" t="s">
        <v>356</v>
      </c>
      <c r="G824">
        <v>3</v>
      </c>
      <c r="H824" s="7">
        <v>191.05</v>
      </c>
      <c r="I824" t="s">
        <v>21</v>
      </c>
      <c r="J824" t="s">
        <v>22</v>
      </c>
      <c r="K824">
        <v>20</v>
      </c>
      <c r="L824" s="7">
        <f t="shared" si="37"/>
        <v>573.15000000000009</v>
      </c>
      <c r="M824" s="7"/>
      <c r="O824">
        <f t="shared" si="38"/>
        <v>2</v>
      </c>
      <c r="Q824" t="s">
        <v>23</v>
      </c>
    </row>
    <row r="825" spans="1:17" x14ac:dyDescent="0.3">
      <c r="A825" t="s">
        <v>1602</v>
      </c>
      <c r="B825" s="6">
        <v>45079</v>
      </c>
      <c r="C825" s="6" t="str">
        <f t="shared" si="36"/>
        <v>Jun</v>
      </c>
      <c r="D825" t="s">
        <v>1603</v>
      </c>
      <c r="E825" t="s">
        <v>50</v>
      </c>
      <c r="F825" t="s">
        <v>51</v>
      </c>
      <c r="G825">
        <v>4</v>
      </c>
      <c r="H825" s="7">
        <v>252.16</v>
      </c>
      <c r="I825" t="s">
        <v>64</v>
      </c>
      <c r="J825" t="s">
        <v>28</v>
      </c>
      <c r="K825">
        <v>10</v>
      </c>
      <c r="L825" s="7">
        <f t="shared" si="37"/>
        <v>1008.64</v>
      </c>
      <c r="M825" s="7"/>
      <c r="O825">
        <f t="shared" si="38"/>
        <v>2</v>
      </c>
      <c r="Q825" t="s">
        <v>65</v>
      </c>
    </row>
    <row r="826" spans="1:17" x14ac:dyDescent="0.3">
      <c r="A826" t="s">
        <v>1604</v>
      </c>
      <c r="B826" s="6">
        <v>45002</v>
      </c>
      <c r="C826" s="6" t="str">
        <f t="shared" si="36"/>
        <v>Mar</v>
      </c>
      <c r="D826" t="s">
        <v>1605</v>
      </c>
      <c r="E826" t="s">
        <v>36</v>
      </c>
      <c r="F826" t="s">
        <v>409</v>
      </c>
      <c r="G826">
        <v>9</v>
      </c>
      <c r="H826" s="7">
        <v>8.5399999999999991</v>
      </c>
      <c r="I826" t="s">
        <v>21</v>
      </c>
      <c r="J826" t="s">
        <v>72</v>
      </c>
      <c r="K826">
        <v>10</v>
      </c>
      <c r="L826" s="7">
        <f t="shared" si="37"/>
        <v>76.859999999999985</v>
      </c>
      <c r="M826" s="7"/>
      <c r="O826">
        <f t="shared" si="38"/>
        <v>2</v>
      </c>
      <c r="Q826" t="s">
        <v>23</v>
      </c>
    </row>
    <row r="827" spans="1:17" x14ac:dyDescent="0.3">
      <c r="A827" t="s">
        <v>1606</v>
      </c>
      <c r="B827" s="6">
        <v>44964</v>
      </c>
      <c r="C827" s="6" t="str">
        <f t="shared" si="36"/>
        <v>Feb</v>
      </c>
      <c r="D827" t="s">
        <v>1175</v>
      </c>
      <c r="E827" t="s">
        <v>36</v>
      </c>
      <c r="F827" t="s">
        <v>281</v>
      </c>
      <c r="G827">
        <v>9</v>
      </c>
      <c r="H827" s="7">
        <v>231.08</v>
      </c>
      <c r="I827" t="s">
        <v>46</v>
      </c>
      <c r="J827" t="s">
        <v>19</v>
      </c>
      <c r="K827">
        <v>10</v>
      </c>
      <c r="L827" s="7">
        <f t="shared" si="37"/>
        <v>2079.7200000000003</v>
      </c>
      <c r="M827" s="7"/>
      <c r="O827">
        <f t="shared" si="38"/>
        <v>2</v>
      </c>
      <c r="Q827" t="s">
        <v>47</v>
      </c>
    </row>
    <row r="828" spans="1:17" x14ac:dyDescent="0.3">
      <c r="A828" t="s">
        <v>1607</v>
      </c>
      <c r="B828" s="6">
        <v>45172</v>
      </c>
      <c r="C828" s="6" t="str">
        <f t="shared" si="36"/>
        <v>Sep</v>
      </c>
      <c r="D828" t="s">
        <v>1093</v>
      </c>
      <c r="E828" t="s">
        <v>62</v>
      </c>
      <c r="F828" t="s">
        <v>325</v>
      </c>
      <c r="G828">
        <v>2</v>
      </c>
      <c r="H828" s="7">
        <v>167.97</v>
      </c>
      <c r="I828" t="s">
        <v>19</v>
      </c>
      <c r="J828" t="s">
        <v>22</v>
      </c>
      <c r="K828">
        <v>10</v>
      </c>
      <c r="L828" s="7">
        <f t="shared" si="37"/>
        <v>335.94</v>
      </c>
      <c r="M828" s="7"/>
      <c r="O828">
        <f t="shared" si="38"/>
        <v>2</v>
      </c>
      <c r="Q828" t="s">
        <v>19</v>
      </c>
    </row>
    <row r="829" spans="1:17" x14ac:dyDescent="0.3">
      <c r="A829" t="s">
        <v>1608</v>
      </c>
      <c r="B829" s="6">
        <v>45085</v>
      </c>
      <c r="C829" s="6" t="str">
        <f t="shared" si="36"/>
        <v>Jun</v>
      </c>
      <c r="D829" t="s">
        <v>1398</v>
      </c>
      <c r="E829" t="s">
        <v>62</v>
      </c>
      <c r="F829" t="s">
        <v>517</v>
      </c>
      <c r="G829">
        <v>8</v>
      </c>
      <c r="H829" s="7">
        <v>30.98</v>
      </c>
      <c r="I829" t="s">
        <v>21</v>
      </c>
      <c r="J829" t="s">
        <v>19</v>
      </c>
      <c r="K829">
        <v>10</v>
      </c>
      <c r="L829" s="7">
        <f t="shared" si="37"/>
        <v>247.84</v>
      </c>
      <c r="M829" s="7"/>
      <c r="O829">
        <f t="shared" si="38"/>
        <v>2</v>
      </c>
      <c r="Q829" t="s">
        <v>23</v>
      </c>
    </row>
    <row r="830" spans="1:17" x14ac:dyDescent="0.3">
      <c r="A830" t="s">
        <v>1609</v>
      </c>
      <c r="B830" s="6">
        <v>45098</v>
      </c>
      <c r="C830" s="6" t="str">
        <f t="shared" si="36"/>
        <v>Jun</v>
      </c>
      <c r="D830" t="s">
        <v>92</v>
      </c>
      <c r="E830" t="s">
        <v>40</v>
      </c>
      <c r="F830" t="s">
        <v>222</v>
      </c>
      <c r="G830">
        <v>8</v>
      </c>
      <c r="H830" s="7">
        <v>227.87</v>
      </c>
      <c r="I830" t="s">
        <v>103</v>
      </c>
      <c r="J830" t="s">
        <v>42</v>
      </c>
      <c r="K830">
        <v>0</v>
      </c>
      <c r="L830" s="7">
        <f t="shared" si="37"/>
        <v>1822.96</v>
      </c>
      <c r="M830" s="7"/>
      <c r="O830">
        <f t="shared" si="38"/>
        <v>2</v>
      </c>
      <c r="Q830" t="s">
        <v>104</v>
      </c>
    </row>
    <row r="831" spans="1:17" x14ac:dyDescent="0.3">
      <c r="A831" t="s">
        <v>1610</v>
      </c>
      <c r="B831" s="6">
        <v>44962</v>
      </c>
      <c r="C831" s="6" t="str">
        <f t="shared" si="36"/>
        <v>Feb</v>
      </c>
      <c r="D831" t="s">
        <v>1177</v>
      </c>
      <c r="E831" t="s">
        <v>50</v>
      </c>
      <c r="F831" t="s">
        <v>488</v>
      </c>
      <c r="G831">
        <v>7</v>
      </c>
      <c r="H831" s="7">
        <v>131.1</v>
      </c>
      <c r="I831" t="s">
        <v>21</v>
      </c>
      <c r="J831" t="s">
        <v>28</v>
      </c>
      <c r="K831">
        <v>10</v>
      </c>
      <c r="L831" s="7">
        <f t="shared" si="37"/>
        <v>917.69999999999993</v>
      </c>
      <c r="M831" s="7"/>
      <c r="O831">
        <f t="shared" si="38"/>
        <v>2</v>
      </c>
      <c r="Q831" t="s">
        <v>23</v>
      </c>
    </row>
    <row r="832" spans="1:17" x14ac:dyDescent="0.3">
      <c r="A832" t="s">
        <v>1611</v>
      </c>
      <c r="B832" s="6">
        <v>45181</v>
      </c>
      <c r="C832" s="6" t="str">
        <f t="shared" si="36"/>
        <v>Sep</v>
      </c>
      <c r="D832" t="s">
        <v>1083</v>
      </c>
      <c r="E832" t="s">
        <v>19</v>
      </c>
      <c r="F832" t="s">
        <v>154</v>
      </c>
      <c r="G832">
        <v>8</v>
      </c>
      <c r="H832" s="7">
        <v>179.18</v>
      </c>
      <c r="I832" t="s">
        <v>64</v>
      </c>
      <c r="J832" t="s">
        <v>42</v>
      </c>
      <c r="K832">
        <v>0</v>
      </c>
      <c r="L832" s="7">
        <f t="shared" si="37"/>
        <v>1433.44</v>
      </c>
      <c r="M832" s="7"/>
      <c r="O832">
        <f t="shared" si="38"/>
        <v>2</v>
      </c>
      <c r="Q832" t="s">
        <v>65</v>
      </c>
    </row>
    <row r="833" spans="1:17" x14ac:dyDescent="0.3">
      <c r="A833" t="s">
        <v>1612</v>
      </c>
      <c r="B833" s="6">
        <v>45008</v>
      </c>
      <c r="C833" s="6" t="str">
        <f t="shared" si="36"/>
        <v>Mar</v>
      </c>
      <c r="D833" t="s">
        <v>1613</v>
      </c>
      <c r="E833" t="s">
        <v>19</v>
      </c>
      <c r="F833" t="s">
        <v>316</v>
      </c>
      <c r="G833">
        <v>3</v>
      </c>
      <c r="H833" s="7">
        <v>354.28</v>
      </c>
      <c r="I833" t="s">
        <v>19</v>
      </c>
      <c r="J833" t="s">
        <v>19</v>
      </c>
      <c r="K833">
        <v>10</v>
      </c>
      <c r="L833" s="7">
        <f t="shared" si="37"/>
        <v>1062.8399999999999</v>
      </c>
      <c r="M833" s="7"/>
      <c r="O833">
        <f t="shared" si="38"/>
        <v>2</v>
      </c>
      <c r="Q833" t="s">
        <v>19</v>
      </c>
    </row>
    <row r="834" spans="1:17" x14ac:dyDescent="0.3">
      <c r="A834" t="s">
        <v>1614</v>
      </c>
      <c r="B834" s="6">
        <v>45114</v>
      </c>
      <c r="C834" s="6" t="str">
        <f t="shared" si="36"/>
        <v>Jul</v>
      </c>
      <c r="D834" t="s">
        <v>468</v>
      </c>
      <c r="E834" t="s">
        <v>19</v>
      </c>
      <c r="F834" t="s">
        <v>466</v>
      </c>
      <c r="G834">
        <v>6</v>
      </c>
      <c r="H834" s="7">
        <v>263.17</v>
      </c>
      <c r="I834" t="s">
        <v>32</v>
      </c>
      <c r="J834" t="s">
        <v>22</v>
      </c>
      <c r="K834">
        <v>15</v>
      </c>
      <c r="L834" s="7">
        <f t="shared" si="37"/>
        <v>1579.02</v>
      </c>
      <c r="M834" s="7"/>
      <c r="O834">
        <f t="shared" si="38"/>
        <v>2</v>
      </c>
      <c r="Q834" t="s">
        <v>33</v>
      </c>
    </row>
    <row r="835" spans="1:17" x14ac:dyDescent="0.3">
      <c r="A835" t="s">
        <v>1615</v>
      </c>
      <c r="B835" s="6">
        <v>44963</v>
      </c>
      <c r="C835" s="6" t="str">
        <f t="shared" ref="C835:C898" si="39">TEXT(B835,"MMM")</f>
        <v>Feb</v>
      </c>
      <c r="D835" t="s">
        <v>1137</v>
      </c>
      <c r="E835" t="s">
        <v>62</v>
      </c>
      <c r="F835" t="s">
        <v>78</v>
      </c>
      <c r="G835">
        <v>1</v>
      </c>
      <c r="H835" s="7">
        <v>66.7</v>
      </c>
      <c r="I835" t="s">
        <v>46</v>
      </c>
      <c r="J835" t="s">
        <v>87</v>
      </c>
      <c r="K835">
        <v>15</v>
      </c>
      <c r="L835" s="7">
        <f t="shared" ref="L835:L898" si="40">G835*H835</f>
        <v>66.7</v>
      </c>
      <c r="M835" s="7"/>
      <c r="O835">
        <f t="shared" si="38"/>
        <v>2</v>
      </c>
      <c r="Q835" t="s">
        <v>47</v>
      </c>
    </row>
    <row r="836" spans="1:17" x14ac:dyDescent="0.3">
      <c r="A836" t="s">
        <v>1616</v>
      </c>
      <c r="B836" s="6">
        <v>45033</v>
      </c>
      <c r="C836" s="6" t="str">
        <f t="shared" si="39"/>
        <v>Apr</v>
      </c>
      <c r="D836" t="s">
        <v>908</v>
      </c>
      <c r="E836" t="s">
        <v>36</v>
      </c>
      <c r="F836" t="s">
        <v>344</v>
      </c>
      <c r="G836">
        <v>5</v>
      </c>
      <c r="H836" s="7">
        <v>480.9</v>
      </c>
      <c r="I836" t="s">
        <v>64</v>
      </c>
      <c r="J836" t="s">
        <v>28</v>
      </c>
      <c r="K836">
        <v>0</v>
      </c>
      <c r="L836" s="7">
        <f t="shared" si="40"/>
        <v>2404.5</v>
      </c>
      <c r="M836" s="7"/>
      <c r="O836">
        <f t="shared" ref="O836:O899" si="41">IF(L836&gt;3500,5,IF(L836&gt;3000,4,IF(L836&gt;2500,3,IF(L836&gt;2000,2,IF(L836&gt;1000,2,2)))))</f>
        <v>2</v>
      </c>
      <c r="Q836" t="s">
        <v>65</v>
      </c>
    </row>
    <row r="837" spans="1:17" x14ac:dyDescent="0.3">
      <c r="A837" t="s">
        <v>1617</v>
      </c>
      <c r="B837" s="6">
        <v>45084</v>
      </c>
      <c r="C837" s="6" t="str">
        <f t="shared" si="39"/>
        <v>Jun</v>
      </c>
      <c r="D837" t="s">
        <v>645</v>
      </c>
      <c r="E837" t="s">
        <v>40</v>
      </c>
      <c r="F837" t="s">
        <v>1618</v>
      </c>
      <c r="G837">
        <v>1</v>
      </c>
      <c r="H837" s="7">
        <v>319.77999999999997</v>
      </c>
      <c r="I837" t="s">
        <v>32</v>
      </c>
      <c r="J837" t="s">
        <v>42</v>
      </c>
      <c r="K837">
        <v>10</v>
      </c>
      <c r="L837" s="7">
        <f t="shared" si="40"/>
        <v>319.77999999999997</v>
      </c>
      <c r="M837" s="7"/>
      <c r="O837">
        <f t="shared" si="41"/>
        <v>2</v>
      </c>
      <c r="Q837" t="s">
        <v>33</v>
      </c>
    </row>
    <row r="838" spans="1:17" x14ac:dyDescent="0.3">
      <c r="A838" t="s">
        <v>1619</v>
      </c>
      <c r="B838" s="6">
        <v>44955</v>
      </c>
      <c r="C838" s="6" t="str">
        <f t="shared" si="39"/>
        <v>Jan</v>
      </c>
      <c r="D838" t="s">
        <v>1620</v>
      </c>
      <c r="E838" t="s">
        <v>26</v>
      </c>
      <c r="F838" t="s">
        <v>313</v>
      </c>
      <c r="G838">
        <v>9</v>
      </c>
      <c r="H838" s="7">
        <v>384.1</v>
      </c>
      <c r="I838" t="s">
        <v>21</v>
      </c>
      <c r="J838" t="s">
        <v>42</v>
      </c>
      <c r="K838">
        <v>10</v>
      </c>
      <c r="L838" s="7">
        <f t="shared" si="40"/>
        <v>3456.9</v>
      </c>
      <c r="M838" s="7"/>
      <c r="O838">
        <f t="shared" si="41"/>
        <v>4</v>
      </c>
      <c r="Q838" t="s">
        <v>23</v>
      </c>
    </row>
    <row r="839" spans="1:17" x14ac:dyDescent="0.3">
      <c r="A839" t="s">
        <v>1621</v>
      </c>
      <c r="B839" s="6">
        <v>44986</v>
      </c>
      <c r="C839" s="6" t="str">
        <f t="shared" si="39"/>
        <v>Mar</v>
      </c>
      <c r="D839" t="s">
        <v>546</v>
      </c>
      <c r="E839" t="s">
        <v>40</v>
      </c>
      <c r="F839" t="s">
        <v>331</v>
      </c>
      <c r="G839">
        <v>1</v>
      </c>
      <c r="H839" s="7">
        <v>44.21</v>
      </c>
      <c r="I839" t="s">
        <v>21</v>
      </c>
      <c r="J839" t="s">
        <v>19</v>
      </c>
      <c r="K839">
        <v>15</v>
      </c>
      <c r="L839" s="7">
        <f t="shared" si="40"/>
        <v>44.21</v>
      </c>
      <c r="M839" s="7"/>
      <c r="O839">
        <f t="shared" si="41"/>
        <v>2</v>
      </c>
      <c r="Q839" t="s">
        <v>23</v>
      </c>
    </row>
    <row r="840" spans="1:17" x14ac:dyDescent="0.3">
      <c r="A840" t="s">
        <v>1622</v>
      </c>
      <c r="B840" s="6">
        <v>45264</v>
      </c>
      <c r="C840" s="6" t="str">
        <f t="shared" si="39"/>
        <v>Dec</v>
      </c>
      <c r="D840" t="s">
        <v>1285</v>
      </c>
      <c r="E840" t="s">
        <v>40</v>
      </c>
      <c r="F840" t="s">
        <v>139</v>
      </c>
      <c r="G840">
        <v>1</v>
      </c>
      <c r="H840" s="7">
        <v>28.29</v>
      </c>
      <c r="I840" t="s">
        <v>46</v>
      </c>
      <c r="J840" t="s">
        <v>28</v>
      </c>
      <c r="K840">
        <v>0</v>
      </c>
      <c r="L840" s="7">
        <f t="shared" si="40"/>
        <v>28.29</v>
      </c>
      <c r="M840" s="7"/>
      <c r="O840">
        <f t="shared" si="41"/>
        <v>2</v>
      </c>
      <c r="Q840" t="s">
        <v>47</v>
      </c>
    </row>
    <row r="841" spans="1:17" x14ac:dyDescent="0.3">
      <c r="A841" t="s">
        <v>1623</v>
      </c>
      <c r="B841" s="6">
        <v>45104</v>
      </c>
      <c r="C841" s="6" t="str">
        <f t="shared" si="39"/>
        <v>Jun</v>
      </c>
      <c r="D841" t="s">
        <v>408</v>
      </c>
      <c r="E841" t="s">
        <v>50</v>
      </c>
      <c r="F841" t="s">
        <v>1568</v>
      </c>
      <c r="G841">
        <v>7</v>
      </c>
      <c r="H841" s="7">
        <v>14.63</v>
      </c>
      <c r="I841" t="s">
        <v>21</v>
      </c>
      <c r="J841" t="s">
        <v>87</v>
      </c>
      <c r="K841">
        <v>10</v>
      </c>
      <c r="L841" s="7">
        <f t="shared" si="40"/>
        <v>102.41000000000001</v>
      </c>
      <c r="M841" s="7"/>
      <c r="O841">
        <f t="shared" si="41"/>
        <v>2</v>
      </c>
      <c r="Q841" t="s">
        <v>23</v>
      </c>
    </row>
    <row r="842" spans="1:17" x14ac:dyDescent="0.3">
      <c r="A842" t="s">
        <v>1624</v>
      </c>
      <c r="B842" s="6">
        <v>45192</v>
      </c>
      <c r="C842" s="6" t="str">
        <f t="shared" si="39"/>
        <v>Sep</v>
      </c>
      <c r="D842" t="s">
        <v>1625</v>
      </c>
      <c r="E842" t="s">
        <v>50</v>
      </c>
      <c r="F842" t="s">
        <v>556</v>
      </c>
      <c r="G842">
        <v>2</v>
      </c>
      <c r="H842" s="7">
        <v>98.45</v>
      </c>
      <c r="I842" t="s">
        <v>46</v>
      </c>
      <c r="J842" t="s">
        <v>28</v>
      </c>
      <c r="K842">
        <v>10</v>
      </c>
      <c r="L842" s="7">
        <f t="shared" si="40"/>
        <v>196.9</v>
      </c>
      <c r="M842" s="7"/>
      <c r="O842">
        <f t="shared" si="41"/>
        <v>2</v>
      </c>
      <c r="Q842" t="s">
        <v>47</v>
      </c>
    </row>
    <row r="843" spans="1:17" x14ac:dyDescent="0.3">
      <c r="A843" t="s">
        <v>1626</v>
      </c>
      <c r="B843" s="6">
        <v>45018</v>
      </c>
      <c r="C843" s="6" t="str">
        <f t="shared" si="39"/>
        <v>Apr</v>
      </c>
      <c r="D843" t="s">
        <v>661</v>
      </c>
      <c r="E843" t="s">
        <v>31</v>
      </c>
      <c r="F843" t="s">
        <v>81</v>
      </c>
      <c r="G843">
        <v>5</v>
      </c>
      <c r="H843" s="7">
        <v>210.13</v>
      </c>
      <c r="I843" t="s">
        <v>103</v>
      </c>
      <c r="J843" t="s">
        <v>28</v>
      </c>
      <c r="K843">
        <v>5</v>
      </c>
      <c r="L843" s="7">
        <f t="shared" si="40"/>
        <v>1050.6500000000001</v>
      </c>
      <c r="M843" s="7"/>
      <c r="O843">
        <f t="shared" si="41"/>
        <v>2</v>
      </c>
      <c r="Q843" t="s">
        <v>104</v>
      </c>
    </row>
    <row r="844" spans="1:17" x14ac:dyDescent="0.3">
      <c r="A844" t="s">
        <v>1627</v>
      </c>
      <c r="B844" s="6">
        <v>45120</v>
      </c>
      <c r="C844" s="6" t="str">
        <f t="shared" si="39"/>
        <v>Jul</v>
      </c>
      <c r="D844" t="s">
        <v>1628</v>
      </c>
      <c r="E844" t="s">
        <v>40</v>
      </c>
      <c r="F844" t="s">
        <v>242</v>
      </c>
      <c r="G844">
        <v>8</v>
      </c>
      <c r="H844" s="7">
        <v>252.16</v>
      </c>
      <c r="I844" t="s">
        <v>103</v>
      </c>
      <c r="J844" t="s">
        <v>22</v>
      </c>
      <c r="K844">
        <v>10</v>
      </c>
      <c r="L844" s="7">
        <f t="shared" si="40"/>
        <v>2017.28</v>
      </c>
      <c r="M844" s="7"/>
      <c r="O844">
        <f t="shared" si="41"/>
        <v>2</v>
      </c>
      <c r="Q844" t="s">
        <v>104</v>
      </c>
    </row>
    <row r="845" spans="1:17" x14ac:dyDescent="0.3">
      <c r="A845" t="s">
        <v>1629</v>
      </c>
      <c r="B845" s="6">
        <v>45220</v>
      </c>
      <c r="C845" s="6" t="str">
        <f t="shared" si="39"/>
        <v>Oct</v>
      </c>
      <c r="D845" t="s">
        <v>1630</v>
      </c>
      <c r="E845" t="s">
        <v>19</v>
      </c>
      <c r="F845" t="s">
        <v>179</v>
      </c>
      <c r="G845">
        <v>8</v>
      </c>
      <c r="H845" s="7">
        <v>231.24</v>
      </c>
      <c r="I845" t="s">
        <v>64</v>
      </c>
      <c r="J845" t="s">
        <v>28</v>
      </c>
      <c r="K845">
        <v>10</v>
      </c>
      <c r="L845" s="7">
        <f t="shared" si="40"/>
        <v>1849.92</v>
      </c>
      <c r="M845" s="7"/>
      <c r="O845">
        <f t="shared" si="41"/>
        <v>2</v>
      </c>
      <c r="Q845" t="s">
        <v>65</v>
      </c>
    </row>
    <row r="846" spans="1:17" x14ac:dyDescent="0.3">
      <c r="A846" t="s">
        <v>1631</v>
      </c>
      <c r="B846" s="6">
        <v>45271</v>
      </c>
      <c r="C846" s="6" t="str">
        <f t="shared" si="39"/>
        <v>Dec</v>
      </c>
      <c r="D846" t="s">
        <v>1632</v>
      </c>
      <c r="E846" t="s">
        <v>50</v>
      </c>
      <c r="F846" t="s">
        <v>182</v>
      </c>
      <c r="G846">
        <v>3</v>
      </c>
      <c r="H846" s="7">
        <v>148.68</v>
      </c>
      <c r="I846" t="s">
        <v>46</v>
      </c>
      <c r="J846" t="s">
        <v>22</v>
      </c>
      <c r="K846">
        <v>10</v>
      </c>
      <c r="L846" s="7">
        <f t="shared" si="40"/>
        <v>446.04</v>
      </c>
      <c r="M846" s="7"/>
      <c r="O846">
        <f t="shared" si="41"/>
        <v>2</v>
      </c>
      <c r="Q846" t="s">
        <v>47</v>
      </c>
    </row>
    <row r="847" spans="1:17" x14ac:dyDescent="0.3">
      <c r="A847" t="s">
        <v>1633</v>
      </c>
      <c r="B847" s="6">
        <v>45199</v>
      </c>
      <c r="C847" s="6" t="str">
        <f t="shared" si="39"/>
        <v>Sep</v>
      </c>
      <c r="D847" t="s">
        <v>689</v>
      </c>
      <c r="E847" t="s">
        <v>62</v>
      </c>
      <c r="F847" t="s">
        <v>469</v>
      </c>
      <c r="G847">
        <v>5</v>
      </c>
      <c r="H847" s="7">
        <v>283.16000000000003</v>
      </c>
      <c r="I847" t="s">
        <v>21</v>
      </c>
      <c r="J847" t="s">
        <v>19</v>
      </c>
      <c r="K847">
        <v>10</v>
      </c>
      <c r="L847" s="7">
        <f t="shared" si="40"/>
        <v>1415.8000000000002</v>
      </c>
      <c r="M847" s="7"/>
      <c r="O847">
        <f t="shared" si="41"/>
        <v>2</v>
      </c>
      <c r="Q847" t="s">
        <v>23</v>
      </c>
    </row>
    <row r="848" spans="1:17" x14ac:dyDescent="0.3">
      <c r="A848" t="s">
        <v>1634</v>
      </c>
      <c r="B848" s="6">
        <v>45272</v>
      </c>
      <c r="C848" s="6" t="str">
        <f t="shared" si="39"/>
        <v>Dec</v>
      </c>
      <c r="D848" t="s">
        <v>1635</v>
      </c>
      <c r="E848" t="s">
        <v>26</v>
      </c>
      <c r="F848" t="s">
        <v>214</v>
      </c>
      <c r="G848">
        <v>3</v>
      </c>
      <c r="H848" s="7">
        <v>60.41</v>
      </c>
      <c r="I848" t="s">
        <v>64</v>
      </c>
      <c r="J848" t="s">
        <v>72</v>
      </c>
      <c r="K848">
        <v>20</v>
      </c>
      <c r="L848" s="7">
        <f t="shared" si="40"/>
        <v>181.23</v>
      </c>
      <c r="M848" s="7"/>
      <c r="O848">
        <f t="shared" si="41"/>
        <v>2</v>
      </c>
      <c r="Q848" t="s">
        <v>65</v>
      </c>
    </row>
    <row r="849" spans="1:17" x14ac:dyDescent="0.3">
      <c r="A849" t="s">
        <v>1636</v>
      </c>
      <c r="B849" s="6">
        <v>45233</v>
      </c>
      <c r="C849" s="6" t="str">
        <f t="shared" si="39"/>
        <v>Nov</v>
      </c>
      <c r="D849" t="s">
        <v>1516</v>
      </c>
      <c r="E849" t="s">
        <v>62</v>
      </c>
      <c r="F849" t="s">
        <v>359</v>
      </c>
      <c r="G849">
        <v>6</v>
      </c>
      <c r="H849" s="7">
        <v>306.70999999999998</v>
      </c>
      <c r="I849" t="s">
        <v>32</v>
      </c>
      <c r="J849" t="s">
        <v>22</v>
      </c>
      <c r="K849">
        <v>20</v>
      </c>
      <c r="L849" s="7">
        <f t="shared" si="40"/>
        <v>1840.2599999999998</v>
      </c>
      <c r="M849" s="7"/>
      <c r="O849">
        <f t="shared" si="41"/>
        <v>2</v>
      </c>
      <c r="Q849" t="s">
        <v>33</v>
      </c>
    </row>
    <row r="850" spans="1:17" x14ac:dyDescent="0.3">
      <c r="A850" t="s">
        <v>1637</v>
      </c>
      <c r="B850" s="6">
        <v>45200</v>
      </c>
      <c r="C850" s="6" t="str">
        <f t="shared" si="39"/>
        <v>Oct</v>
      </c>
      <c r="D850" t="s">
        <v>1638</v>
      </c>
      <c r="E850" t="s">
        <v>50</v>
      </c>
      <c r="F850" t="s">
        <v>504</v>
      </c>
      <c r="G850">
        <v>6</v>
      </c>
      <c r="H850" s="7">
        <v>286.37</v>
      </c>
      <c r="I850" t="s">
        <v>46</v>
      </c>
      <c r="J850" t="s">
        <v>87</v>
      </c>
      <c r="K850">
        <v>10</v>
      </c>
      <c r="L850" s="7">
        <f t="shared" si="40"/>
        <v>1718.22</v>
      </c>
      <c r="M850" s="7"/>
      <c r="O850">
        <f t="shared" si="41"/>
        <v>2</v>
      </c>
      <c r="Q850" t="s">
        <v>47</v>
      </c>
    </row>
    <row r="851" spans="1:17" x14ac:dyDescent="0.3">
      <c r="A851" t="s">
        <v>1639</v>
      </c>
      <c r="B851" s="6">
        <v>45104</v>
      </c>
      <c r="C851" s="6" t="str">
        <f t="shared" si="39"/>
        <v>Jun</v>
      </c>
      <c r="D851" t="s">
        <v>1442</v>
      </c>
      <c r="E851" t="s">
        <v>26</v>
      </c>
      <c r="F851" t="s">
        <v>417</v>
      </c>
      <c r="G851">
        <v>3</v>
      </c>
      <c r="H851" s="7">
        <v>397.04</v>
      </c>
      <c r="I851" t="s">
        <v>19</v>
      </c>
      <c r="J851" t="s">
        <v>87</v>
      </c>
      <c r="K851">
        <v>10</v>
      </c>
      <c r="L851" s="7">
        <f t="shared" si="40"/>
        <v>1191.1200000000001</v>
      </c>
      <c r="M851" s="7"/>
      <c r="O851">
        <f t="shared" si="41"/>
        <v>2</v>
      </c>
      <c r="Q851" t="s">
        <v>19</v>
      </c>
    </row>
    <row r="852" spans="1:17" x14ac:dyDescent="0.3">
      <c r="A852" t="s">
        <v>1640</v>
      </c>
      <c r="B852" s="6">
        <v>45119</v>
      </c>
      <c r="C852" s="6" t="str">
        <f t="shared" si="39"/>
        <v>Jul</v>
      </c>
      <c r="D852" t="s">
        <v>863</v>
      </c>
      <c r="E852" t="s">
        <v>62</v>
      </c>
      <c r="F852" t="s">
        <v>198</v>
      </c>
      <c r="G852">
        <v>7</v>
      </c>
      <c r="H852" s="7">
        <v>493.41</v>
      </c>
      <c r="I852" t="s">
        <v>19</v>
      </c>
      <c r="J852" t="s">
        <v>72</v>
      </c>
      <c r="K852">
        <v>5</v>
      </c>
      <c r="L852" s="7">
        <f t="shared" si="40"/>
        <v>3453.8700000000003</v>
      </c>
      <c r="M852" s="7"/>
      <c r="O852">
        <f t="shared" si="41"/>
        <v>4</v>
      </c>
      <c r="Q852" t="s">
        <v>19</v>
      </c>
    </row>
    <row r="853" spans="1:17" x14ac:dyDescent="0.3">
      <c r="A853" t="s">
        <v>1641</v>
      </c>
      <c r="B853" s="6">
        <v>44989</v>
      </c>
      <c r="C853" s="6" t="str">
        <f t="shared" si="39"/>
        <v>Mar</v>
      </c>
      <c r="D853" t="s">
        <v>253</v>
      </c>
      <c r="E853" t="s">
        <v>36</v>
      </c>
      <c r="F853" t="s">
        <v>71</v>
      </c>
      <c r="G853">
        <v>3</v>
      </c>
      <c r="H853" s="7">
        <v>129.18</v>
      </c>
      <c r="I853" t="s">
        <v>32</v>
      </c>
      <c r="J853" t="s">
        <v>72</v>
      </c>
      <c r="K853">
        <v>5</v>
      </c>
      <c r="L853" s="7">
        <f t="shared" si="40"/>
        <v>387.54</v>
      </c>
      <c r="M853" s="7"/>
      <c r="O853">
        <f t="shared" si="41"/>
        <v>2</v>
      </c>
      <c r="Q853" t="s">
        <v>33</v>
      </c>
    </row>
    <row r="854" spans="1:17" x14ac:dyDescent="0.3">
      <c r="A854" t="s">
        <v>1642</v>
      </c>
      <c r="B854" s="6">
        <v>44975</v>
      </c>
      <c r="C854" s="6" t="str">
        <f t="shared" si="39"/>
        <v>Feb</v>
      </c>
      <c r="D854" t="s">
        <v>230</v>
      </c>
      <c r="E854" t="s">
        <v>62</v>
      </c>
      <c r="F854" t="s">
        <v>722</v>
      </c>
      <c r="G854">
        <v>8</v>
      </c>
      <c r="H854" s="7">
        <v>257.27999999999997</v>
      </c>
      <c r="I854" t="s">
        <v>32</v>
      </c>
      <c r="J854" t="s">
        <v>28</v>
      </c>
      <c r="K854">
        <v>10</v>
      </c>
      <c r="L854" s="7">
        <f t="shared" si="40"/>
        <v>2058.2399999999998</v>
      </c>
      <c r="M854" s="7"/>
      <c r="O854">
        <f t="shared" si="41"/>
        <v>2</v>
      </c>
      <c r="Q854" t="s">
        <v>33</v>
      </c>
    </row>
    <row r="855" spans="1:17" x14ac:dyDescent="0.3">
      <c r="A855" t="s">
        <v>1643</v>
      </c>
      <c r="B855" s="6">
        <v>45271</v>
      </c>
      <c r="C855" s="6" t="str">
        <f t="shared" si="39"/>
        <v>Dec</v>
      </c>
      <c r="D855" t="s">
        <v>1346</v>
      </c>
      <c r="E855" t="s">
        <v>50</v>
      </c>
      <c r="F855" t="s">
        <v>520</v>
      </c>
      <c r="G855">
        <v>4</v>
      </c>
      <c r="H855" s="7">
        <v>454.89</v>
      </c>
      <c r="I855" t="s">
        <v>64</v>
      </c>
      <c r="J855" t="s">
        <v>28</v>
      </c>
      <c r="K855">
        <v>15</v>
      </c>
      <c r="L855" s="7">
        <f t="shared" si="40"/>
        <v>1819.56</v>
      </c>
      <c r="M855" s="7"/>
      <c r="O855">
        <f t="shared" si="41"/>
        <v>2</v>
      </c>
      <c r="Q855" t="s">
        <v>65</v>
      </c>
    </row>
    <row r="856" spans="1:17" x14ac:dyDescent="0.3">
      <c r="A856" t="s">
        <v>1644</v>
      </c>
      <c r="B856" s="6">
        <v>44947</v>
      </c>
      <c r="C856" s="6" t="str">
        <f t="shared" si="39"/>
        <v>Jan</v>
      </c>
      <c r="D856" t="s">
        <v>605</v>
      </c>
      <c r="E856" t="s">
        <v>62</v>
      </c>
      <c r="F856" t="s">
        <v>988</v>
      </c>
      <c r="G856">
        <v>1</v>
      </c>
      <c r="H856" s="7">
        <v>393.67</v>
      </c>
      <c r="I856" t="s">
        <v>32</v>
      </c>
      <c r="J856" t="s">
        <v>72</v>
      </c>
      <c r="K856">
        <v>5</v>
      </c>
      <c r="L856" s="7">
        <f t="shared" si="40"/>
        <v>393.67</v>
      </c>
      <c r="M856" s="7"/>
      <c r="O856">
        <f t="shared" si="41"/>
        <v>2</v>
      </c>
      <c r="Q856" t="s">
        <v>33</v>
      </c>
    </row>
    <row r="857" spans="1:17" x14ac:dyDescent="0.3">
      <c r="A857" t="s">
        <v>1645</v>
      </c>
      <c r="B857" s="6">
        <v>44961</v>
      </c>
      <c r="C857" s="6" t="str">
        <f t="shared" si="39"/>
        <v>Feb</v>
      </c>
      <c r="D857" t="s">
        <v>1594</v>
      </c>
      <c r="E857" t="s">
        <v>31</v>
      </c>
      <c r="F857" t="s">
        <v>75</v>
      </c>
      <c r="G857">
        <v>4</v>
      </c>
      <c r="H857" s="7">
        <v>252.16</v>
      </c>
      <c r="I857" t="s">
        <v>64</v>
      </c>
      <c r="J857" t="s">
        <v>19</v>
      </c>
      <c r="K857">
        <v>10</v>
      </c>
      <c r="L857" s="7">
        <f t="shared" si="40"/>
        <v>1008.64</v>
      </c>
      <c r="M857" s="7"/>
      <c r="O857">
        <f t="shared" si="41"/>
        <v>2</v>
      </c>
      <c r="Q857" t="s">
        <v>65</v>
      </c>
    </row>
    <row r="858" spans="1:17" x14ac:dyDescent="0.3">
      <c r="A858" t="s">
        <v>1646</v>
      </c>
      <c r="B858" s="6">
        <v>45211</v>
      </c>
      <c r="C858" s="6" t="str">
        <f t="shared" si="39"/>
        <v>Oct</v>
      </c>
      <c r="D858" t="s">
        <v>1647</v>
      </c>
      <c r="E858" t="s">
        <v>40</v>
      </c>
      <c r="F858" t="s">
        <v>119</v>
      </c>
      <c r="G858">
        <v>7</v>
      </c>
      <c r="H858" s="7">
        <v>472.96</v>
      </c>
      <c r="I858" t="s">
        <v>103</v>
      </c>
      <c r="J858" t="s">
        <v>87</v>
      </c>
      <c r="K858">
        <v>0</v>
      </c>
      <c r="L858" s="7">
        <f t="shared" si="40"/>
        <v>3310.72</v>
      </c>
      <c r="M858" s="7"/>
      <c r="O858">
        <f t="shared" si="41"/>
        <v>4</v>
      </c>
      <c r="Q858" t="s">
        <v>104</v>
      </c>
    </row>
    <row r="859" spans="1:17" x14ac:dyDescent="0.3">
      <c r="A859" t="s">
        <v>1648</v>
      </c>
      <c r="B859" s="6">
        <v>45216</v>
      </c>
      <c r="C859" s="6" t="str">
        <f t="shared" si="39"/>
        <v>Oct</v>
      </c>
      <c r="D859" t="s">
        <v>618</v>
      </c>
      <c r="E859" t="s">
        <v>36</v>
      </c>
      <c r="F859" t="s">
        <v>322</v>
      </c>
      <c r="G859">
        <v>4</v>
      </c>
      <c r="H859" s="7">
        <v>33.33</v>
      </c>
      <c r="I859" t="s">
        <v>19</v>
      </c>
      <c r="J859" t="s">
        <v>28</v>
      </c>
      <c r="K859">
        <v>20</v>
      </c>
      <c r="L859" s="7">
        <f t="shared" si="40"/>
        <v>133.32</v>
      </c>
      <c r="M859" s="7"/>
      <c r="O859">
        <f t="shared" si="41"/>
        <v>2</v>
      </c>
      <c r="Q859" t="s">
        <v>19</v>
      </c>
    </row>
    <row r="860" spans="1:17" x14ac:dyDescent="0.3">
      <c r="A860" t="s">
        <v>1649</v>
      </c>
      <c r="B860" s="6">
        <v>45282</v>
      </c>
      <c r="C860" s="6" t="str">
        <f t="shared" si="39"/>
        <v>Dec</v>
      </c>
      <c r="D860" t="s">
        <v>1520</v>
      </c>
      <c r="E860" t="s">
        <v>31</v>
      </c>
      <c r="F860" t="s">
        <v>193</v>
      </c>
      <c r="G860">
        <v>5</v>
      </c>
      <c r="H860" s="7">
        <v>465.84</v>
      </c>
      <c r="I860" t="s">
        <v>21</v>
      </c>
      <c r="J860" t="s">
        <v>19</v>
      </c>
      <c r="K860">
        <v>15</v>
      </c>
      <c r="L860" s="7">
        <f t="shared" si="40"/>
        <v>2329.1999999999998</v>
      </c>
      <c r="M860" s="7"/>
      <c r="O860">
        <f t="shared" si="41"/>
        <v>2</v>
      </c>
      <c r="Q860" t="s">
        <v>23</v>
      </c>
    </row>
    <row r="861" spans="1:17" x14ac:dyDescent="0.3">
      <c r="A861" t="s">
        <v>1650</v>
      </c>
      <c r="B861" s="6">
        <v>45210</v>
      </c>
      <c r="C861" s="6" t="str">
        <f t="shared" si="39"/>
        <v>Oct</v>
      </c>
      <c r="D861" t="s">
        <v>735</v>
      </c>
      <c r="E861" t="s">
        <v>19</v>
      </c>
      <c r="F861" t="s">
        <v>538</v>
      </c>
      <c r="G861">
        <v>9</v>
      </c>
      <c r="H861" s="7">
        <v>30</v>
      </c>
      <c r="I861" t="s">
        <v>103</v>
      </c>
      <c r="J861" t="s">
        <v>87</v>
      </c>
      <c r="K861">
        <v>10</v>
      </c>
      <c r="L861" s="7">
        <f t="shared" si="40"/>
        <v>270</v>
      </c>
      <c r="M861" s="7"/>
      <c r="O861">
        <f t="shared" si="41"/>
        <v>2</v>
      </c>
      <c r="Q861" t="s">
        <v>104</v>
      </c>
    </row>
    <row r="862" spans="1:17" x14ac:dyDescent="0.3">
      <c r="A862" t="s">
        <v>1651</v>
      </c>
      <c r="B862" s="6">
        <v>45047</v>
      </c>
      <c r="C862" s="6" t="str">
        <f t="shared" si="39"/>
        <v>May</v>
      </c>
      <c r="D862" t="s">
        <v>397</v>
      </c>
      <c r="E862" t="s">
        <v>19</v>
      </c>
      <c r="F862" t="s">
        <v>1194</v>
      </c>
      <c r="G862">
        <v>1</v>
      </c>
      <c r="H862" s="7">
        <v>275.92</v>
      </c>
      <c r="I862" t="s">
        <v>46</v>
      </c>
      <c r="J862" t="s">
        <v>42</v>
      </c>
      <c r="K862">
        <v>10</v>
      </c>
      <c r="L862" s="7">
        <f t="shared" si="40"/>
        <v>275.92</v>
      </c>
      <c r="M862" s="7"/>
      <c r="O862">
        <f t="shared" si="41"/>
        <v>2</v>
      </c>
      <c r="Q862" t="s">
        <v>47</v>
      </c>
    </row>
    <row r="863" spans="1:17" x14ac:dyDescent="0.3">
      <c r="A863" t="s">
        <v>1652</v>
      </c>
      <c r="B863" s="6">
        <v>45251</v>
      </c>
      <c r="C863" s="6" t="str">
        <f t="shared" si="39"/>
        <v>Nov</v>
      </c>
      <c r="D863" t="s">
        <v>1247</v>
      </c>
      <c r="E863" t="s">
        <v>40</v>
      </c>
      <c r="F863" t="s">
        <v>706</v>
      </c>
      <c r="G863">
        <v>5</v>
      </c>
      <c r="H863" s="7">
        <v>445.77</v>
      </c>
      <c r="I863" t="s">
        <v>19</v>
      </c>
      <c r="J863" t="s">
        <v>28</v>
      </c>
      <c r="K863">
        <v>0</v>
      </c>
      <c r="L863" s="7">
        <f t="shared" si="40"/>
        <v>2228.85</v>
      </c>
      <c r="M863" s="7"/>
      <c r="O863">
        <f t="shared" si="41"/>
        <v>2</v>
      </c>
      <c r="Q863" t="s">
        <v>19</v>
      </c>
    </row>
    <row r="864" spans="1:17" x14ac:dyDescent="0.3">
      <c r="A864" t="s">
        <v>1653</v>
      </c>
      <c r="B864" s="6">
        <v>44949</v>
      </c>
      <c r="C864" s="6" t="str">
        <f t="shared" si="39"/>
        <v>Jan</v>
      </c>
      <c r="D864" t="s">
        <v>1290</v>
      </c>
      <c r="E864" t="s">
        <v>36</v>
      </c>
      <c r="F864" t="s">
        <v>499</v>
      </c>
      <c r="G864">
        <v>7</v>
      </c>
      <c r="H864" s="7">
        <v>135.05000000000001</v>
      </c>
      <c r="I864" t="s">
        <v>46</v>
      </c>
      <c r="J864" t="s">
        <v>87</v>
      </c>
      <c r="K864">
        <v>20</v>
      </c>
      <c r="L864" s="7">
        <f t="shared" si="40"/>
        <v>945.35000000000014</v>
      </c>
      <c r="M864" s="7"/>
      <c r="O864">
        <f t="shared" si="41"/>
        <v>2</v>
      </c>
      <c r="Q864" t="s">
        <v>47</v>
      </c>
    </row>
    <row r="865" spans="1:17" x14ac:dyDescent="0.3">
      <c r="A865" t="s">
        <v>1654</v>
      </c>
      <c r="B865" s="6">
        <v>45137</v>
      </c>
      <c r="C865" s="6" t="str">
        <f t="shared" si="39"/>
        <v>Jul</v>
      </c>
      <c r="D865" t="s">
        <v>1655</v>
      </c>
      <c r="E865" t="s">
        <v>19</v>
      </c>
      <c r="F865" t="s">
        <v>988</v>
      </c>
      <c r="G865">
        <v>1</v>
      </c>
      <c r="H865" s="7">
        <v>238.76</v>
      </c>
      <c r="I865" t="s">
        <v>21</v>
      </c>
      <c r="J865" t="s">
        <v>28</v>
      </c>
      <c r="K865">
        <v>0</v>
      </c>
      <c r="L865" s="7">
        <f t="shared" si="40"/>
        <v>238.76</v>
      </c>
      <c r="M865" s="7"/>
      <c r="O865">
        <f t="shared" si="41"/>
        <v>2</v>
      </c>
      <c r="Q865" t="s">
        <v>23</v>
      </c>
    </row>
    <row r="866" spans="1:17" x14ac:dyDescent="0.3">
      <c r="A866" t="s">
        <v>1656</v>
      </c>
      <c r="B866" s="6">
        <v>45223</v>
      </c>
      <c r="C866" s="6" t="str">
        <f t="shared" si="39"/>
        <v>Oct</v>
      </c>
      <c r="D866" t="s">
        <v>1657</v>
      </c>
      <c r="E866" t="s">
        <v>31</v>
      </c>
      <c r="F866" t="s">
        <v>466</v>
      </c>
      <c r="G866">
        <v>4</v>
      </c>
      <c r="H866" s="7">
        <v>165.54</v>
      </c>
      <c r="I866" t="s">
        <v>19</v>
      </c>
      <c r="J866" t="s">
        <v>28</v>
      </c>
      <c r="K866">
        <v>10</v>
      </c>
      <c r="L866" s="7">
        <f t="shared" si="40"/>
        <v>662.16</v>
      </c>
      <c r="M866" s="7"/>
      <c r="O866">
        <f t="shared" si="41"/>
        <v>2</v>
      </c>
      <c r="Q866" t="s">
        <v>19</v>
      </c>
    </row>
    <row r="867" spans="1:17" x14ac:dyDescent="0.3">
      <c r="A867" t="s">
        <v>1658</v>
      </c>
      <c r="B867" s="6">
        <v>45052</v>
      </c>
      <c r="C867" s="6" t="str">
        <f t="shared" si="39"/>
        <v>May</v>
      </c>
      <c r="D867" t="s">
        <v>671</v>
      </c>
      <c r="E867" t="s">
        <v>50</v>
      </c>
      <c r="F867" t="s">
        <v>211</v>
      </c>
      <c r="G867">
        <v>6</v>
      </c>
      <c r="H867" s="7">
        <v>476.31</v>
      </c>
      <c r="I867" t="s">
        <v>32</v>
      </c>
      <c r="J867" t="s">
        <v>42</v>
      </c>
      <c r="K867">
        <v>5</v>
      </c>
      <c r="L867" s="7">
        <f t="shared" si="40"/>
        <v>2857.86</v>
      </c>
      <c r="M867" s="7"/>
      <c r="O867">
        <f t="shared" si="41"/>
        <v>3</v>
      </c>
      <c r="Q867" t="s">
        <v>33</v>
      </c>
    </row>
    <row r="868" spans="1:17" x14ac:dyDescent="0.3">
      <c r="A868" t="s">
        <v>1659</v>
      </c>
      <c r="B868" s="6">
        <v>45194</v>
      </c>
      <c r="C868" s="6" t="str">
        <f t="shared" si="39"/>
        <v>Sep</v>
      </c>
      <c r="D868" t="s">
        <v>1660</v>
      </c>
      <c r="E868" t="s">
        <v>26</v>
      </c>
      <c r="F868" t="s">
        <v>523</v>
      </c>
      <c r="G868">
        <v>2</v>
      </c>
      <c r="H868" s="7">
        <v>412.7</v>
      </c>
      <c r="I868" t="s">
        <v>103</v>
      </c>
      <c r="J868" t="s">
        <v>22</v>
      </c>
      <c r="K868">
        <v>20</v>
      </c>
      <c r="L868" s="7">
        <f t="shared" si="40"/>
        <v>825.4</v>
      </c>
      <c r="M868" s="7"/>
      <c r="O868">
        <f t="shared" si="41"/>
        <v>2</v>
      </c>
      <c r="Q868" t="s">
        <v>104</v>
      </c>
    </row>
    <row r="869" spans="1:17" x14ac:dyDescent="0.3">
      <c r="A869" t="s">
        <v>1661</v>
      </c>
      <c r="B869" s="6">
        <v>45109</v>
      </c>
      <c r="C869" s="6" t="str">
        <f t="shared" si="39"/>
        <v>Jul</v>
      </c>
      <c r="D869" t="s">
        <v>1662</v>
      </c>
      <c r="E869" t="s">
        <v>31</v>
      </c>
      <c r="F869" t="s">
        <v>389</v>
      </c>
      <c r="G869">
        <v>5</v>
      </c>
      <c r="H869" s="7">
        <v>355.96</v>
      </c>
      <c r="I869" t="s">
        <v>103</v>
      </c>
      <c r="J869" t="s">
        <v>19</v>
      </c>
      <c r="K869">
        <v>0</v>
      </c>
      <c r="L869" s="7">
        <f t="shared" si="40"/>
        <v>1779.8</v>
      </c>
      <c r="M869" s="7"/>
      <c r="O869">
        <f t="shared" si="41"/>
        <v>2</v>
      </c>
      <c r="Q869" t="s">
        <v>104</v>
      </c>
    </row>
    <row r="870" spans="1:17" x14ac:dyDescent="0.3">
      <c r="A870" t="s">
        <v>1663</v>
      </c>
      <c r="B870" s="6">
        <v>45063</v>
      </c>
      <c r="C870" s="6" t="str">
        <f t="shared" si="39"/>
        <v>May</v>
      </c>
      <c r="D870" t="s">
        <v>1664</v>
      </c>
      <c r="E870" t="s">
        <v>50</v>
      </c>
      <c r="F870" t="s">
        <v>1063</v>
      </c>
      <c r="G870">
        <v>1</v>
      </c>
      <c r="H870" s="7">
        <v>295.88</v>
      </c>
      <c r="I870" t="s">
        <v>46</v>
      </c>
      <c r="J870" t="s">
        <v>22</v>
      </c>
      <c r="K870">
        <v>5</v>
      </c>
      <c r="L870" s="7">
        <f t="shared" si="40"/>
        <v>295.88</v>
      </c>
      <c r="M870" s="7"/>
      <c r="O870">
        <f t="shared" si="41"/>
        <v>2</v>
      </c>
      <c r="Q870" t="s">
        <v>47</v>
      </c>
    </row>
    <row r="871" spans="1:17" x14ac:dyDescent="0.3">
      <c r="A871" t="s">
        <v>1665</v>
      </c>
      <c r="B871" s="6">
        <v>45205</v>
      </c>
      <c r="C871" s="6" t="str">
        <f t="shared" si="39"/>
        <v>Oct</v>
      </c>
      <c r="D871" t="s">
        <v>766</v>
      </c>
      <c r="E871" t="s">
        <v>40</v>
      </c>
      <c r="F871" t="s">
        <v>575</v>
      </c>
      <c r="G871">
        <v>6</v>
      </c>
      <c r="H871" s="7">
        <v>411.19</v>
      </c>
      <c r="I871" t="s">
        <v>32</v>
      </c>
      <c r="J871" t="s">
        <v>22</v>
      </c>
      <c r="K871">
        <v>15</v>
      </c>
      <c r="L871" s="7">
        <f t="shared" si="40"/>
        <v>2467.14</v>
      </c>
      <c r="M871" s="7"/>
      <c r="O871">
        <f t="shared" si="41"/>
        <v>2</v>
      </c>
      <c r="Q871" t="s">
        <v>33</v>
      </c>
    </row>
    <row r="872" spans="1:17" x14ac:dyDescent="0.3">
      <c r="A872" t="s">
        <v>1666</v>
      </c>
      <c r="B872" s="6">
        <v>45172</v>
      </c>
      <c r="C872" s="6" t="str">
        <f t="shared" si="39"/>
        <v>Sep</v>
      </c>
      <c r="D872" t="s">
        <v>1269</v>
      </c>
      <c r="E872" t="s">
        <v>40</v>
      </c>
      <c r="F872" t="s">
        <v>179</v>
      </c>
      <c r="G872">
        <v>6</v>
      </c>
      <c r="H872" s="7">
        <v>199.17</v>
      </c>
      <c r="I872" t="s">
        <v>19</v>
      </c>
      <c r="J872" t="s">
        <v>28</v>
      </c>
      <c r="K872">
        <v>10</v>
      </c>
      <c r="L872" s="7">
        <f t="shared" si="40"/>
        <v>1195.02</v>
      </c>
      <c r="M872" s="7"/>
      <c r="O872">
        <f t="shared" si="41"/>
        <v>2</v>
      </c>
      <c r="Q872" t="s">
        <v>19</v>
      </c>
    </row>
    <row r="873" spans="1:17" x14ac:dyDescent="0.3">
      <c r="A873" t="s">
        <v>1667</v>
      </c>
      <c r="B873" s="6">
        <v>44963</v>
      </c>
      <c r="C873" s="6" t="str">
        <f t="shared" si="39"/>
        <v>Feb</v>
      </c>
      <c r="D873" t="s">
        <v>1398</v>
      </c>
      <c r="E873" t="s">
        <v>19</v>
      </c>
      <c r="F873" t="s">
        <v>182</v>
      </c>
      <c r="G873">
        <v>4</v>
      </c>
      <c r="H873" s="7">
        <v>226.54</v>
      </c>
      <c r="I873" t="s">
        <v>103</v>
      </c>
      <c r="J873" t="s">
        <v>19</v>
      </c>
      <c r="K873">
        <v>10</v>
      </c>
      <c r="L873" s="7">
        <f t="shared" si="40"/>
        <v>906.16</v>
      </c>
      <c r="M873" s="7"/>
      <c r="O873">
        <f t="shared" si="41"/>
        <v>2</v>
      </c>
      <c r="Q873" t="s">
        <v>104</v>
      </c>
    </row>
    <row r="874" spans="1:17" x14ac:dyDescent="0.3">
      <c r="A874" t="s">
        <v>1668</v>
      </c>
      <c r="B874" s="6">
        <v>45156</v>
      </c>
      <c r="C874" s="6" t="str">
        <f t="shared" si="39"/>
        <v>Aug</v>
      </c>
      <c r="D874" t="s">
        <v>121</v>
      </c>
      <c r="E874" t="s">
        <v>31</v>
      </c>
      <c r="F874" t="s">
        <v>198</v>
      </c>
      <c r="G874">
        <v>8</v>
      </c>
      <c r="H874" s="7">
        <v>366.35</v>
      </c>
      <c r="I874" t="s">
        <v>103</v>
      </c>
      <c r="J874" t="s">
        <v>72</v>
      </c>
      <c r="K874">
        <v>20</v>
      </c>
      <c r="L874" s="7">
        <f t="shared" si="40"/>
        <v>2930.8</v>
      </c>
      <c r="M874" s="7"/>
      <c r="O874">
        <f t="shared" si="41"/>
        <v>3</v>
      </c>
      <c r="Q874" t="s">
        <v>104</v>
      </c>
    </row>
    <row r="875" spans="1:17" x14ac:dyDescent="0.3">
      <c r="A875" t="s">
        <v>1669</v>
      </c>
      <c r="B875" s="6">
        <v>45054</v>
      </c>
      <c r="C875" s="6" t="str">
        <f t="shared" si="39"/>
        <v>May</v>
      </c>
      <c r="D875" t="s">
        <v>1670</v>
      </c>
      <c r="E875" t="s">
        <v>36</v>
      </c>
      <c r="F875" t="s">
        <v>409</v>
      </c>
      <c r="G875">
        <v>4</v>
      </c>
      <c r="H875" s="7">
        <v>182.09</v>
      </c>
      <c r="I875" t="s">
        <v>103</v>
      </c>
      <c r="J875" t="s">
        <v>72</v>
      </c>
      <c r="K875">
        <v>0</v>
      </c>
      <c r="L875" s="7">
        <f t="shared" si="40"/>
        <v>728.36</v>
      </c>
      <c r="M875" s="7"/>
      <c r="O875">
        <f t="shared" si="41"/>
        <v>2</v>
      </c>
      <c r="Q875" t="s">
        <v>104</v>
      </c>
    </row>
    <row r="876" spans="1:17" x14ac:dyDescent="0.3">
      <c r="A876" t="s">
        <v>1671</v>
      </c>
      <c r="B876" s="6">
        <v>45155</v>
      </c>
      <c r="C876" s="6" t="str">
        <f t="shared" si="39"/>
        <v>Aug</v>
      </c>
      <c r="D876" t="s">
        <v>770</v>
      </c>
      <c r="E876" t="s">
        <v>62</v>
      </c>
      <c r="F876" t="s">
        <v>284</v>
      </c>
      <c r="G876">
        <v>8</v>
      </c>
      <c r="H876" s="7">
        <v>36.630000000000003</v>
      </c>
      <c r="I876" t="s">
        <v>64</v>
      </c>
      <c r="J876" t="s">
        <v>28</v>
      </c>
      <c r="K876">
        <v>15</v>
      </c>
      <c r="L876" s="7">
        <f t="shared" si="40"/>
        <v>293.04000000000002</v>
      </c>
      <c r="M876" s="7"/>
      <c r="O876">
        <f t="shared" si="41"/>
        <v>2</v>
      </c>
      <c r="Q876" t="s">
        <v>65</v>
      </c>
    </row>
    <row r="877" spans="1:17" x14ac:dyDescent="0.3">
      <c r="A877" t="s">
        <v>1672</v>
      </c>
      <c r="B877" s="6">
        <v>45012</v>
      </c>
      <c r="C877" s="6" t="str">
        <f t="shared" si="39"/>
        <v>Mar</v>
      </c>
      <c r="D877" t="s">
        <v>1673</v>
      </c>
      <c r="E877" t="s">
        <v>62</v>
      </c>
      <c r="F877" t="s">
        <v>242</v>
      </c>
      <c r="G877">
        <v>8</v>
      </c>
      <c r="H877" s="7">
        <v>41.8</v>
      </c>
      <c r="I877" t="s">
        <v>64</v>
      </c>
      <c r="J877" t="s">
        <v>22</v>
      </c>
      <c r="K877">
        <v>10</v>
      </c>
      <c r="L877" s="7">
        <f t="shared" si="40"/>
        <v>334.4</v>
      </c>
      <c r="M877" s="7"/>
      <c r="O877">
        <f t="shared" si="41"/>
        <v>2</v>
      </c>
      <c r="Q877" t="s">
        <v>65</v>
      </c>
    </row>
    <row r="878" spans="1:17" x14ac:dyDescent="0.3">
      <c r="A878" t="s">
        <v>1674</v>
      </c>
      <c r="B878" s="6">
        <v>45076</v>
      </c>
      <c r="C878" s="6" t="str">
        <f t="shared" si="39"/>
        <v>May</v>
      </c>
      <c r="D878" t="s">
        <v>1364</v>
      </c>
      <c r="E878" t="s">
        <v>19</v>
      </c>
      <c r="F878" t="s">
        <v>248</v>
      </c>
      <c r="G878">
        <v>5</v>
      </c>
      <c r="H878" s="7">
        <v>62.1</v>
      </c>
      <c r="I878" t="s">
        <v>32</v>
      </c>
      <c r="J878" t="s">
        <v>28</v>
      </c>
      <c r="K878">
        <v>20</v>
      </c>
      <c r="L878" s="7">
        <f t="shared" si="40"/>
        <v>310.5</v>
      </c>
      <c r="M878" s="7"/>
      <c r="O878">
        <f t="shared" si="41"/>
        <v>2</v>
      </c>
      <c r="Q878" t="s">
        <v>33</v>
      </c>
    </row>
    <row r="879" spans="1:17" x14ac:dyDescent="0.3">
      <c r="A879" t="s">
        <v>1675</v>
      </c>
      <c r="B879" s="6">
        <v>45059</v>
      </c>
      <c r="C879" s="6" t="str">
        <f t="shared" si="39"/>
        <v>May</v>
      </c>
      <c r="D879" t="s">
        <v>291</v>
      </c>
      <c r="E879" t="s">
        <v>19</v>
      </c>
      <c r="F879" t="s">
        <v>619</v>
      </c>
      <c r="G879">
        <v>4</v>
      </c>
      <c r="H879" s="7">
        <v>435.49</v>
      </c>
      <c r="I879" t="s">
        <v>32</v>
      </c>
      <c r="J879" t="s">
        <v>19</v>
      </c>
      <c r="K879">
        <v>10</v>
      </c>
      <c r="L879" s="7">
        <f t="shared" si="40"/>
        <v>1741.96</v>
      </c>
      <c r="M879" s="7"/>
      <c r="O879">
        <f t="shared" si="41"/>
        <v>2</v>
      </c>
      <c r="Q879" t="s">
        <v>33</v>
      </c>
    </row>
    <row r="880" spans="1:17" x14ac:dyDescent="0.3">
      <c r="A880" t="s">
        <v>1676</v>
      </c>
      <c r="B880" s="6">
        <v>45245</v>
      </c>
      <c r="C880" s="6" t="str">
        <f t="shared" si="39"/>
        <v>Nov</v>
      </c>
      <c r="D880" t="s">
        <v>848</v>
      </c>
      <c r="E880" t="s">
        <v>36</v>
      </c>
      <c r="F880" t="s">
        <v>128</v>
      </c>
      <c r="G880">
        <v>2</v>
      </c>
      <c r="H880" s="7">
        <v>238.75</v>
      </c>
      <c r="I880" t="s">
        <v>64</v>
      </c>
      <c r="J880" t="s">
        <v>22</v>
      </c>
      <c r="K880">
        <v>20</v>
      </c>
      <c r="L880" s="7">
        <f t="shared" si="40"/>
        <v>477.5</v>
      </c>
      <c r="M880" s="7"/>
      <c r="O880">
        <f t="shared" si="41"/>
        <v>2</v>
      </c>
      <c r="Q880" t="s">
        <v>65</v>
      </c>
    </row>
    <row r="881" spans="1:17" x14ac:dyDescent="0.3">
      <c r="A881" t="s">
        <v>1677</v>
      </c>
      <c r="B881" s="6">
        <v>45131</v>
      </c>
      <c r="C881" s="6" t="str">
        <f t="shared" si="39"/>
        <v>Jul</v>
      </c>
      <c r="D881" t="s">
        <v>1231</v>
      </c>
      <c r="E881" t="s">
        <v>50</v>
      </c>
      <c r="F881" t="s">
        <v>619</v>
      </c>
      <c r="G881">
        <v>3</v>
      </c>
      <c r="H881" s="7">
        <v>357.88</v>
      </c>
      <c r="I881" t="s">
        <v>46</v>
      </c>
      <c r="J881" t="s">
        <v>72</v>
      </c>
      <c r="K881">
        <v>0</v>
      </c>
      <c r="L881" s="7">
        <f t="shared" si="40"/>
        <v>1073.6399999999999</v>
      </c>
      <c r="M881" s="7"/>
      <c r="O881">
        <f t="shared" si="41"/>
        <v>2</v>
      </c>
      <c r="Q881" t="s">
        <v>47</v>
      </c>
    </row>
    <row r="882" spans="1:17" x14ac:dyDescent="0.3">
      <c r="A882" t="s">
        <v>1678</v>
      </c>
      <c r="B882" s="6">
        <v>45229</v>
      </c>
      <c r="C882" s="6" t="str">
        <f t="shared" si="39"/>
        <v>Oct</v>
      </c>
      <c r="D882" t="s">
        <v>799</v>
      </c>
      <c r="E882" t="s">
        <v>19</v>
      </c>
      <c r="F882" t="s">
        <v>366</v>
      </c>
      <c r="G882">
        <v>3</v>
      </c>
      <c r="H882" s="7">
        <v>199.49</v>
      </c>
      <c r="I882" t="s">
        <v>46</v>
      </c>
      <c r="J882" t="s">
        <v>22</v>
      </c>
      <c r="K882">
        <v>15</v>
      </c>
      <c r="L882" s="7">
        <f t="shared" si="40"/>
        <v>598.47</v>
      </c>
      <c r="M882" s="7"/>
      <c r="O882">
        <f t="shared" si="41"/>
        <v>2</v>
      </c>
      <c r="Q882" t="s">
        <v>47</v>
      </c>
    </row>
    <row r="883" spans="1:17" x14ac:dyDescent="0.3">
      <c r="A883" t="s">
        <v>1679</v>
      </c>
      <c r="B883" s="6">
        <v>45179</v>
      </c>
      <c r="C883" s="6" t="str">
        <f t="shared" si="39"/>
        <v>Sep</v>
      </c>
      <c r="D883" t="s">
        <v>1446</v>
      </c>
      <c r="E883" t="s">
        <v>19</v>
      </c>
      <c r="F883" t="s">
        <v>145</v>
      </c>
      <c r="G883">
        <v>4</v>
      </c>
      <c r="H883" s="7">
        <v>133.06</v>
      </c>
      <c r="I883" t="s">
        <v>32</v>
      </c>
      <c r="J883" t="s">
        <v>42</v>
      </c>
      <c r="K883">
        <v>0</v>
      </c>
      <c r="L883" s="7">
        <f t="shared" si="40"/>
        <v>532.24</v>
      </c>
      <c r="M883" s="7"/>
      <c r="O883">
        <f t="shared" si="41"/>
        <v>2</v>
      </c>
      <c r="Q883" t="s">
        <v>33</v>
      </c>
    </row>
    <row r="884" spans="1:17" x14ac:dyDescent="0.3">
      <c r="A884" t="s">
        <v>1680</v>
      </c>
      <c r="B884" s="6">
        <v>45217</v>
      </c>
      <c r="C884" s="6" t="str">
        <f t="shared" si="39"/>
        <v>Oct</v>
      </c>
      <c r="D884" t="s">
        <v>1015</v>
      </c>
      <c r="E884" t="s">
        <v>50</v>
      </c>
      <c r="F884" t="s">
        <v>350</v>
      </c>
      <c r="G884">
        <v>4</v>
      </c>
      <c r="H884" s="7">
        <v>176.86</v>
      </c>
      <c r="I884" t="s">
        <v>103</v>
      </c>
      <c r="J884" t="s">
        <v>19</v>
      </c>
      <c r="K884">
        <v>10</v>
      </c>
      <c r="L884" s="7">
        <f t="shared" si="40"/>
        <v>707.44</v>
      </c>
      <c r="M884" s="7"/>
      <c r="O884">
        <f t="shared" si="41"/>
        <v>2</v>
      </c>
      <c r="Q884" t="s">
        <v>104</v>
      </c>
    </row>
    <row r="885" spans="1:17" x14ac:dyDescent="0.3">
      <c r="A885" t="s">
        <v>1681</v>
      </c>
      <c r="B885" s="6">
        <v>45048</v>
      </c>
      <c r="C885" s="6" t="str">
        <f t="shared" si="39"/>
        <v>May</v>
      </c>
      <c r="D885" t="s">
        <v>537</v>
      </c>
      <c r="E885" t="s">
        <v>19</v>
      </c>
      <c r="F885" t="s">
        <v>420</v>
      </c>
      <c r="G885">
        <v>5</v>
      </c>
      <c r="H885" s="7">
        <v>398.12</v>
      </c>
      <c r="I885" t="s">
        <v>103</v>
      </c>
      <c r="J885" t="s">
        <v>42</v>
      </c>
      <c r="K885">
        <v>10</v>
      </c>
      <c r="L885" s="7">
        <f t="shared" si="40"/>
        <v>1990.6</v>
      </c>
      <c r="M885" s="7"/>
      <c r="O885">
        <f t="shared" si="41"/>
        <v>2</v>
      </c>
      <c r="Q885" t="s">
        <v>104</v>
      </c>
    </row>
    <row r="886" spans="1:17" x14ac:dyDescent="0.3">
      <c r="A886" t="s">
        <v>1682</v>
      </c>
      <c r="B886" s="6">
        <v>44945</v>
      </c>
      <c r="C886" s="6" t="str">
        <f t="shared" si="39"/>
        <v>Jan</v>
      </c>
      <c r="D886" t="s">
        <v>1124</v>
      </c>
      <c r="E886" t="s">
        <v>62</v>
      </c>
      <c r="F886" t="s">
        <v>170</v>
      </c>
      <c r="G886">
        <v>4</v>
      </c>
      <c r="H886" s="7">
        <v>314.48</v>
      </c>
      <c r="I886" t="s">
        <v>32</v>
      </c>
      <c r="J886" t="s">
        <v>22</v>
      </c>
      <c r="K886">
        <v>5</v>
      </c>
      <c r="L886" s="7">
        <f t="shared" si="40"/>
        <v>1257.92</v>
      </c>
      <c r="M886" s="7"/>
      <c r="O886">
        <f t="shared" si="41"/>
        <v>2</v>
      </c>
      <c r="Q886" t="s">
        <v>33</v>
      </c>
    </row>
    <row r="887" spans="1:17" x14ac:dyDescent="0.3">
      <c r="A887" t="s">
        <v>1683</v>
      </c>
      <c r="B887" s="6">
        <v>45204</v>
      </c>
      <c r="C887" s="6" t="str">
        <f t="shared" si="39"/>
        <v>Oct</v>
      </c>
      <c r="D887" t="s">
        <v>1684</v>
      </c>
      <c r="E887" t="s">
        <v>50</v>
      </c>
      <c r="F887" t="s">
        <v>75</v>
      </c>
      <c r="G887">
        <v>8</v>
      </c>
      <c r="H887" s="7">
        <v>469.13</v>
      </c>
      <c r="I887" t="s">
        <v>46</v>
      </c>
      <c r="J887" t="s">
        <v>87</v>
      </c>
      <c r="K887">
        <v>10</v>
      </c>
      <c r="L887" s="7">
        <f t="shared" si="40"/>
        <v>3753.04</v>
      </c>
      <c r="M887" s="7"/>
      <c r="O887">
        <f t="shared" si="41"/>
        <v>5</v>
      </c>
      <c r="Q887" t="s">
        <v>47</v>
      </c>
    </row>
    <row r="888" spans="1:17" x14ac:dyDescent="0.3">
      <c r="A888" t="s">
        <v>1685</v>
      </c>
      <c r="B888" s="6">
        <v>45238</v>
      </c>
      <c r="C888" s="6" t="str">
        <f t="shared" si="39"/>
        <v>Nov</v>
      </c>
      <c r="D888" t="s">
        <v>150</v>
      </c>
      <c r="E888" t="s">
        <v>62</v>
      </c>
      <c r="F888" t="s">
        <v>170</v>
      </c>
      <c r="G888">
        <v>6</v>
      </c>
      <c r="H888" s="7">
        <v>341.45</v>
      </c>
      <c r="I888" t="s">
        <v>32</v>
      </c>
      <c r="J888" t="s">
        <v>22</v>
      </c>
      <c r="K888">
        <v>10</v>
      </c>
      <c r="L888" s="7">
        <f t="shared" si="40"/>
        <v>2048.6999999999998</v>
      </c>
      <c r="M888" s="7"/>
      <c r="O888">
        <f t="shared" si="41"/>
        <v>2</v>
      </c>
      <c r="Q888" t="s">
        <v>33</v>
      </c>
    </row>
    <row r="889" spans="1:17" x14ac:dyDescent="0.3">
      <c r="A889" t="s">
        <v>1686</v>
      </c>
      <c r="B889" s="6">
        <v>45080</v>
      </c>
      <c r="C889" s="6" t="str">
        <f t="shared" si="39"/>
        <v>Jun</v>
      </c>
      <c r="D889" t="s">
        <v>1687</v>
      </c>
      <c r="E889" t="s">
        <v>62</v>
      </c>
      <c r="F889" t="s">
        <v>415</v>
      </c>
      <c r="G889">
        <v>6</v>
      </c>
      <c r="H889" s="7">
        <v>287.24</v>
      </c>
      <c r="I889" t="s">
        <v>19</v>
      </c>
      <c r="J889" t="s">
        <v>87</v>
      </c>
      <c r="K889">
        <v>10</v>
      </c>
      <c r="L889" s="7">
        <f t="shared" si="40"/>
        <v>1723.44</v>
      </c>
      <c r="M889" s="7"/>
      <c r="O889">
        <f t="shared" si="41"/>
        <v>2</v>
      </c>
      <c r="Q889" t="s">
        <v>19</v>
      </c>
    </row>
    <row r="890" spans="1:17" x14ac:dyDescent="0.3">
      <c r="A890" t="s">
        <v>1688</v>
      </c>
      <c r="B890" s="6">
        <v>44964</v>
      </c>
      <c r="C890" s="6" t="str">
        <f t="shared" si="39"/>
        <v>Feb</v>
      </c>
      <c r="D890" t="s">
        <v>1376</v>
      </c>
      <c r="E890" t="s">
        <v>40</v>
      </c>
      <c r="F890" t="s">
        <v>517</v>
      </c>
      <c r="G890">
        <v>8</v>
      </c>
      <c r="H890" s="7">
        <v>307.05</v>
      </c>
      <c r="I890" t="s">
        <v>19</v>
      </c>
      <c r="J890" t="s">
        <v>72</v>
      </c>
      <c r="K890">
        <v>20</v>
      </c>
      <c r="L890" s="7">
        <f t="shared" si="40"/>
        <v>2456.4</v>
      </c>
      <c r="M890" s="7"/>
      <c r="O890">
        <f t="shared" si="41"/>
        <v>2</v>
      </c>
      <c r="Q890" t="s">
        <v>19</v>
      </c>
    </row>
    <row r="891" spans="1:17" x14ac:dyDescent="0.3">
      <c r="A891" t="s">
        <v>1689</v>
      </c>
      <c r="B891" s="6">
        <v>45236</v>
      </c>
      <c r="C891" s="6" t="str">
        <f t="shared" si="39"/>
        <v>Nov</v>
      </c>
      <c r="D891" t="s">
        <v>1690</v>
      </c>
      <c r="E891" t="s">
        <v>62</v>
      </c>
      <c r="F891" t="s">
        <v>415</v>
      </c>
      <c r="G891">
        <v>7</v>
      </c>
      <c r="H891" s="7">
        <v>471.47</v>
      </c>
      <c r="I891" t="s">
        <v>64</v>
      </c>
      <c r="J891" t="s">
        <v>72</v>
      </c>
      <c r="K891">
        <v>10</v>
      </c>
      <c r="L891" s="7">
        <f t="shared" si="40"/>
        <v>3300.29</v>
      </c>
      <c r="M891" s="7"/>
      <c r="O891">
        <f t="shared" si="41"/>
        <v>4</v>
      </c>
      <c r="Q891" t="s">
        <v>65</v>
      </c>
    </row>
    <row r="892" spans="1:17" x14ac:dyDescent="0.3">
      <c r="A892" t="s">
        <v>1691</v>
      </c>
      <c r="B892" s="6">
        <v>45103</v>
      </c>
      <c r="C892" s="6" t="str">
        <f t="shared" si="39"/>
        <v>Jun</v>
      </c>
      <c r="D892" t="s">
        <v>1692</v>
      </c>
      <c r="E892" t="s">
        <v>62</v>
      </c>
      <c r="F892" t="s">
        <v>1693</v>
      </c>
      <c r="G892">
        <v>8</v>
      </c>
      <c r="H892" s="7">
        <v>395.16</v>
      </c>
      <c r="I892" t="s">
        <v>64</v>
      </c>
      <c r="J892" t="s">
        <v>42</v>
      </c>
      <c r="K892">
        <v>15</v>
      </c>
      <c r="L892" s="7">
        <f t="shared" si="40"/>
        <v>3161.28</v>
      </c>
      <c r="M892" s="7"/>
      <c r="O892">
        <f t="shared" si="41"/>
        <v>4</v>
      </c>
      <c r="Q892" t="s">
        <v>65</v>
      </c>
    </row>
    <row r="893" spans="1:17" x14ac:dyDescent="0.3">
      <c r="A893" t="s">
        <v>1694</v>
      </c>
      <c r="B893" s="6">
        <v>45122</v>
      </c>
      <c r="C893" s="6" t="str">
        <f t="shared" si="39"/>
        <v>Jul</v>
      </c>
      <c r="D893" t="s">
        <v>1048</v>
      </c>
      <c r="E893" t="s">
        <v>50</v>
      </c>
      <c r="F893" t="s">
        <v>627</v>
      </c>
      <c r="G893">
        <v>2</v>
      </c>
      <c r="H893" s="7">
        <v>16.899999999999999</v>
      </c>
      <c r="I893" t="s">
        <v>21</v>
      </c>
      <c r="J893" t="s">
        <v>72</v>
      </c>
      <c r="K893">
        <v>10</v>
      </c>
      <c r="L893" s="7">
        <f t="shared" si="40"/>
        <v>33.799999999999997</v>
      </c>
      <c r="M893" s="7"/>
      <c r="O893">
        <f t="shared" si="41"/>
        <v>2</v>
      </c>
      <c r="Q893" t="s">
        <v>23</v>
      </c>
    </row>
    <row r="894" spans="1:17" x14ac:dyDescent="0.3">
      <c r="A894" t="s">
        <v>1695</v>
      </c>
      <c r="B894" s="6">
        <v>44955</v>
      </c>
      <c r="C894" s="6" t="str">
        <f t="shared" si="39"/>
        <v>Jan</v>
      </c>
      <c r="D894" t="s">
        <v>768</v>
      </c>
      <c r="E894" t="s">
        <v>36</v>
      </c>
      <c r="F894" t="s">
        <v>137</v>
      </c>
      <c r="G894">
        <v>9</v>
      </c>
      <c r="H894" s="7">
        <v>269.39999999999998</v>
      </c>
      <c r="I894" t="s">
        <v>19</v>
      </c>
      <c r="J894" t="s">
        <v>42</v>
      </c>
      <c r="K894">
        <v>15</v>
      </c>
      <c r="L894" s="7">
        <f t="shared" si="40"/>
        <v>2424.6</v>
      </c>
      <c r="M894" s="7"/>
      <c r="O894">
        <f t="shared" si="41"/>
        <v>2</v>
      </c>
      <c r="Q894" t="s">
        <v>19</v>
      </c>
    </row>
    <row r="895" spans="1:17" x14ac:dyDescent="0.3">
      <c r="A895" t="s">
        <v>1696</v>
      </c>
      <c r="B895" s="6">
        <v>45147</v>
      </c>
      <c r="C895" s="6" t="str">
        <f t="shared" si="39"/>
        <v>Aug</v>
      </c>
      <c r="D895" t="s">
        <v>1697</v>
      </c>
      <c r="E895" t="s">
        <v>26</v>
      </c>
      <c r="F895" t="s">
        <v>619</v>
      </c>
      <c r="G895">
        <v>1</v>
      </c>
      <c r="H895" s="7">
        <v>345.73</v>
      </c>
      <c r="I895" t="s">
        <v>64</v>
      </c>
      <c r="J895" t="s">
        <v>72</v>
      </c>
      <c r="K895">
        <v>0</v>
      </c>
      <c r="L895" s="7">
        <f t="shared" si="40"/>
        <v>345.73</v>
      </c>
      <c r="M895" s="7"/>
      <c r="O895">
        <f t="shared" si="41"/>
        <v>2</v>
      </c>
      <c r="Q895" t="s">
        <v>65</v>
      </c>
    </row>
    <row r="896" spans="1:17" x14ac:dyDescent="0.3">
      <c r="A896" t="s">
        <v>1698</v>
      </c>
      <c r="B896" s="6">
        <v>45150</v>
      </c>
      <c r="C896" s="6" t="str">
        <f t="shared" si="39"/>
        <v>Aug</v>
      </c>
      <c r="D896" t="s">
        <v>1167</v>
      </c>
      <c r="E896" t="s">
        <v>36</v>
      </c>
      <c r="F896" t="s">
        <v>110</v>
      </c>
      <c r="G896">
        <v>8</v>
      </c>
      <c r="H896" s="7">
        <v>375.61</v>
      </c>
      <c r="I896" t="s">
        <v>103</v>
      </c>
      <c r="J896" t="s">
        <v>72</v>
      </c>
      <c r="K896">
        <v>20</v>
      </c>
      <c r="L896" s="7">
        <f t="shared" si="40"/>
        <v>3004.88</v>
      </c>
      <c r="M896" s="7"/>
      <c r="O896">
        <f t="shared" si="41"/>
        <v>4</v>
      </c>
      <c r="Q896" t="s">
        <v>104</v>
      </c>
    </row>
    <row r="897" spans="1:17" x14ac:dyDescent="0.3">
      <c r="A897" t="s">
        <v>1699</v>
      </c>
      <c r="B897" s="6">
        <v>45279</v>
      </c>
      <c r="C897" s="6" t="str">
        <f t="shared" si="39"/>
        <v>Dec</v>
      </c>
      <c r="D897" t="s">
        <v>1501</v>
      </c>
      <c r="E897" t="s">
        <v>62</v>
      </c>
      <c r="F897" t="s">
        <v>173</v>
      </c>
      <c r="G897">
        <v>4</v>
      </c>
      <c r="H897" s="7">
        <v>110.51</v>
      </c>
      <c r="I897" t="s">
        <v>19</v>
      </c>
      <c r="J897" t="s">
        <v>42</v>
      </c>
      <c r="K897">
        <v>15</v>
      </c>
      <c r="L897" s="7">
        <f t="shared" si="40"/>
        <v>442.04</v>
      </c>
      <c r="M897" s="7"/>
      <c r="O897">
        <f t="shared" si="41"/>
        <v>2</v>
      </c>
      <c r="Q897" t="s">
        <v>19</v>
      </c>
    </row>
    <row r="898" spans="1:17" x14ac:dyDescent="0.3">
      <c r="A898" t="s">
        <v>1700</v>
      </c>
      <c r="B898" s="6">
        <v>45059</v>
      </c>
      <c r="C898" s="6" t="str">
        <f t="shared" si="39"/>
        <v>May</v>
      </c>
      <c r="D898" t="s">
        <v>571</v>
      </c>
      <c r="E898" t="s">
        <v>31</v>
      </c>
      <c r="F898" t="s">
        <v>27</v>
      </c>
      <c r="G898">
        <v>5</v>
      </c>
      <c r="H898" s="7">
        <v>434.25</v>
      </c>
      <c r="I898" t="s">
        <v>19</v>
      </c>
      <c r="J898" t="s">
        <v>42</v>
      </c>
      <c r="K898">
        <v>10</v>
      </c>
      <c r="L898" s="7">
        <f t="shared" si="40"/>
        <v>2171.25</v>
      </c>
      <c r="M898" s="7"/>
      <c r="O898">
        <f t="shared" si="41"/>
        <v>2</v>
      </c>
      <c r="Q898" t="s">
        <v>19</v>
      </c>
    </row>
    <row r="899" spans="1:17" x14ac:dyDescent="0.3">
      <c r="A899" t="s">
        <v>1701</v>
      </c>
      <c r="B899" s="6">
        <v>45158</v>
      </c>
      <c r="C899" s="6" t="str">
        <f t="shared" ref="C899:C962" si="42">TEXT(B899,"MMM")</f>
        <v>Aug</v>
      </c>
      <c r="D899" t="s">
        <v>106</v>
      </c>
      <c r="E899" t="s">
        <v>26</v>
      </c>
      <c r="F899" t="s">
        <v>273</v>
      </c>
      <c r="G899">
        <v>5</v>
      </c>
      <c r="H899" s="7">
        <v>478.14</v>
      </c>
      <c r="I899" t="s">
        <v>19</v>
      </c>
      <c r="J899" t="s">
        <v>22</v>
      </c>
      <c r="K899">
        <v>20</v>
      </c>
      <c r="L899" s="7">
        <f t="shared" ref="L899:L962" si="43">G899*H899</f>
        <v>2390.6999999999998</v>
      </c>
      <c r="M899" s="7"/>
      <c r="O899">
        <f t="shared" si="41"/>
        <v>2</v>
      </c>
      <c r="Q899" t="s">
        <v>19</v>
      </c>
    </row>
    <row r="900" spans="1:17" x14ac:dyDescent="0.3">
      <c r="A900" t="s">
        <v>1702</v>
      </c>
      <c r="B900" s="6">
        <v>44958</v>
      </c>
      <c r="C900" s="6" t="str">
        <f t="shared" si="42"/>
        <v>Feb</v>
      </c>
      <c r="D900" t="s">
        <v>1703</v>
      </c>
      <c r="E900" t="s">
        <v>26</v>
      </c>
      <c r="F900" t="s">
        <v>789</v>
      </c>
      <c r="G900">
        <v>8</v>
      </c>
      <c r="H900" s="7">
        <v>122.17</v>
      </c>
      <c r="I900" t="s">
        <v>64</v>
      </c>
      <c r="J900" t="s">
        <v>87</v>
      </c>
      <c r="K900">
        <v>20</v>
      </c>
      <c r="L900" s="7">
        <f t="shared" si="43"/>
        <v>977.36</v>
      </c>
      <c r="M900" s="7"/>
      <c r="O900">
        <f t="shared" ref="O900:O963" si="44">IF(L900&gt;3500,5,IF(L900&gt;3000,4,IF(L900&gt;2500,3,IF(L900&gt;2000,2,IF(L900&gt;1000,2,2)))))</f>
        <v>2</v>
      </c>
      <c r="Q900" t="s">
        <v>65</v>
      </c>
    </row>
    <row r="901" spans="1:17" x14ac:dyDescent="0.3">
      <c r="A901" t="s">
        <v>1704</v>
      </c>
      <c r="B901" s="6">
        <v>45115</v>
      </c>
      <c r="C901" s="6" t="str">
        <f t="shared" si="42"/>
        <v>Jul</v>
      </c>
      <c r="D901" t="s">
        <v>1705</v>
      </c>
      <c r="E901" t="s">
        <v>19</v>
      </c>
      <c r="F901" t="s">
        <v>1063</v>
      </c>
      <c r="G901">
        <v>5</v>
      </c>
      <c r="H901" s="7">
        <v>441.89</v>
      </c>
      <c r="I901" t="s">
        <v>21</v>
      </c>
      <c r="J901" t="s">
        <v>42</v>
      </c>
      <c r="K901">
        <v>15</v>
      </c>
      <c r="L901" s="7">
        <f t="shared" si="43"/>
        <v>2209.4499999999998</v>
      </c>
      <c r="M901" s="7"/>
      <c r="O901">
        <f t="shared" si="44"/>
        <v>2</v>
      </c>
      <c r="Q901" t="s">
        <v>23</v>
      </c>
    </row>
    <row r="902" spans="1:17" x14ac:dyDescent="0.3">
      <c r="A902" t="s">
        <v>1706</v>
      </c>
      <c r="B902" s="6">
        <v>44927</v>
      </c>
      <c r="C902" s="6" t="str">
        <f t="shared" si="42"/>
        <v>Jan</v>
      </c>
      <c r="D902" t="s">
        <v>1603</v>
      </c>
      <c r="E902" t="s">
        <v>62</v>
      </c>
      <c r="F902" t="s">
        <v>1182</v>
      </c>
      <c r="G902">
        <v>8</v>
      </c>
      <c r="H902" s="7">
        <v>252.16</v>
      </c>
      <c r="I902" t="s">
        <v>32</v>
      </c>
      <c r="J902" t="s">
        <v>72</v>
      </c>
      <c r="K902">
        <v>15</v>
      </c>
      <c r="L902" s="7">
        <f t="shared" si="43"/>
        <v>2017.28</v>
      </c>
      <c r="M902" s="7"/>
      <c r="O902">
        <f t="shared" si="44"/>
        <v>2</v>
      </c>
      <c r="Q902" t="s">
        <v>33</v>
      </c>
    </row>
    <row r="903" spans="1:17" x14ac:dyDescent="0.3">
      <c r="A903" t="s">
        <v>1707</v>
      </c>
      <c r="B903" s="6">
        <v>45128</v>
      </c>
      <c r="C903" s="6" t="str">
        <f t="shared" si="42"/>
        <v>Jul</v>
      </c>
      <c r="D903" t="s">
        <v>906</v>
      </c>
      <c r="E903" t="s">
        <v>50</v>
      </c>
      <c r="F903" t="s">
        <v>1237</v>
      </c>
      <c r="G903">
        <v>1</v>
      </c>
      <c r="H903" s="7">
        <v>32.57</v>
      </c>
      <c r="I903" t="s">
        <v>21</v>
      </c>
      <c r="J903" t="s">
        <v>42</v>
      </c>
      <c r="K903">
        <v>5</v>
      </c>
      <c r="L903" s="7">
        <f t="shared" si="43"/>
        <v>32.57</v>
      </c>
      <c r="M903" s="7"/>
      <c r="O903">
        <f t="shared" si="44"/>
        <v>2</v>
      </c>
      <c r="Q903" t="s">
        <v>23</v>
      </c>
    </row>
    <row r="904" spans="1:17" x14ac:dyDescent="0.3">
      <c r="A904" t="s">
        <v>1708</v>
      </c>
      <c r="B904" s="6">
        <v>45261</v>
      </c>
      <c r="C904" s="6" t="str">
        <f t="shared" si="42"/>
        <v>Dec</v>
      </c>
      <c r="D904" t="s">
        <v>850</v>
      </c>
      <c r="E904" t="s">
        <v>19</v>
      </c>
      <c r="F904" t="s">
        <v>128</v>
      </c>
      <c r="G904">
        <v>9</v>
      </c>
      <c r="H904" s="7">
        <v>68.97</v>
      </c>
      <c r="I904" t="s">
        <v>46</v>
      </c>
      <c r="J904" t="s">
        <v>42</v>
      </c>
      <c r="K904">
        <v>5</v>
      </c>
      <c r="L904" s="7">
        <f t="shared" si="43"/>
        <v>620.73</v>
      </c>
      <c r="M904" s="7"/>
      <c r="O904">
        <f t="shared" si="44"/>
        <v>2</v>
      </c>
      <c r="Q904" t="s">
        <v>47</v>
      </c>
    </row>
    <row r="905" spans="1:17" x14ac:dyDescent="0.3">
      <c r="A905" t="s">
        <v>1709</v>
      </c>
      <c r="B905" s="6">
        <v>45175</v>
      </c>
      <c r="C905" s="6" t="str">
        <f t="shared" si="42"/>
        <v>Sep</v>
      </c>
      <c r="D905" t="s">
        <v>1710</v>
      </c>
      <c r="E905" t="s">
        <v>19</v>
      </c>
      <c r="F905" t="s">
        <v>642</v>
      </c>
      <c r="G905">
        <v>6</v>
      </c>
      <c r="H905" s="7">
        <v>33.58</v>
      </c>
      <c r="I905" t="s">
        <v>32</v>
      </c>
      <c r="J905" t="s">
        <v>19</v>
      </c>
      <c r="K905">
        <v>20</v>
      </c>
      <c r="L905" s="7">
        <f t="shared" si="43"/>
        <v>201.48</v>
      </c>
      <c r="M905" s="7"/>
      <c r="O905">
        <f t="shared" si="44"/>
        <v>2</v>
      </c>
      <c r="Q905" t="s">
        <v>33</v>
      </c>
    </row>
    <row r="906" spans="1:17" x14ac:dyDescent="0.3">
      <c r="A906" t="s">
        <v>1711</v>
      </c>
      <c r="B906" s="6">
        <v>45241</v>
      </c>
      <c r="C906" s="6" t="str">
        <f t="shared" si="42"/>
        <v>Nov</v>
      </c>
      <c r="D906" t="s">
        <v>1254</v>
      </c>
      <c r="E906" t="s">
        <v>19</v>
      </c>
      <c r="F906" t="s">
        <v>325</v>
      </c>
      <c r="G906">
        <v>3</v>
      </c>
      <c r="H906" s="7">
        <v>423.28</v>
      </c>
      <c r="I906" t="s">
        <v>46</v>
      </c>
      <c r="J906" t="s">
        <v>87</v>
      </c>
      <c r="K906">
        <v>10</v>
      </c>
      <c r="L906" s="7">
        <f t="shared" si="43"/>
        <v>1269.8399999999999</v>
      </c>
      <c r="M906" s="7"/>
      <c r="O906">
        <f t="shared" si="44"/>
        <v>2</v>
      </c>
      <c r="Q906" t="s">
        <v>47</v>
      </c>
    </row>
    <row r="907" spans="1:17" x14ac:dyDescent="0.3">
      <c r="A907" t="s">
        <v>1712</v>
      </c>
      <c r="B907" s="6">
        <v>44964</v>
      </c>
      <c r="C907" s="6" t="str">
        <f t="shared" si="42"/>
        <v>Feb</v>
      </c>
      <c r="D907" t="s">
        <v>1449</v>
      </c>
      <c r="E907" t="s">
        <v>31</v>
      </c>
      <c r="F907" t="s">
        <v>975</v>
      </c>
      <c r="G907">
        <v>8</v>
      </c>
      <c r="H907" s="7">
        <v>34.229999999999997</v>
      </c>
      <c r="I907" t="s">
        <v>19</v>
      </c>
      <c r="J907" t="s">
        <v>72</v>
      </c>
      <c r="K907">
        <v>10</v>
      </c>
      <c r="L907" s="7">
        <f t="shared" si="43"/>
        <v>273.83999999999997</v>
      </c>
      <c r="M907" s="7"/>
      <c r="O907">
        <f t="shared" si="44"/>
        <v>2</v>
      </c>
      <c r="Q907" t="s">
        <v>19</v>
      </c>
    </row>
    <row r="908" spans="1:17" x14ac:dyDescent="0.3">
      <c r="A908" t="s">
        <v>1713</v>
      </c>
      <c r="B908" s="6">
        <v>45091</v>
      </c>
      <c r="C908" s="6" t="str">
        <f t="shared" si="42"/>
        <v>Jun</v>
      </c>
      <c r="D908" t="s">
        <v>717</v>
      </c>
      <c r="E908" t="s">
        <v>36</v>
      </c>
      <c r="F908" t="s">
        <v>119</v>
      </c>
      <c r="G908">
        <v>9</v>
      </c>
      <c r="H908" s="7">
        <v>139.47</v>
      </c>
      <c r="I908" t="s">
        <v>64</v>
      </c>
      <c r="J908" t="s">
        <v>72</v>
      </c>
      <c r="K908">
        <v>5</v>
      </c>
      <c r="L908" s="7">
        <f t="shared" si="43"/>
        <v>1255.23</v>
      </c>
      <c r="M908" s="7"/>
      <c r="O908">
        <f t="shared" si="44"/>
        <v>2</v>
      </c>
      <c r="Q908" t="s">
        <v>65</v>
      </c>
    </row>
    <row r="909" spans="1:17" x14ac:dyDescent="0.3">
      <c r="A909" t="s">
        <v>1714</v>
      </c>
      <c r="B909" s="6">
        <v>44942</v>
      </c>
      <c r="C909" s="6" t="str">
        <f t="shared" si="42"/>
        <v>Jan</v>
      </c>
      <c r="D909" t="s">
        <v>318</v>
      </c>
      <c r="E909" t="s">
        <v>31</v>
      </c>
      <c r="F909" t="s">
        <v>1461</v>
      </c>
      <c r="G909">
        <v>6</v>
      </c>
      <c r="H909" s="7">
        <v>56.36</v>
      </c>
      <c r="I909" t="s">
        <v>21</v>
      </c>
      <c r="J909" t="s">
        <v>72</v>
      </c>
      <c r="K909">
        <v>10</v>
      </c>
      <c r="L909" s="7">
        <f t="shared" si="43"/>
        <v>338.15999999999997</v>
      </c>
      <c r="M909" s="7"/>
      <c r="O909">
        <f t="shared" si="44"/>
        <v>2</v>
      </c>
      <c r="Q909" t="s">
        <v>23</v>
      </c>
    </row>
    <row r="910" spans="1:17" x14ac:dyDescent="0.3">
      <c r="A910" t="s">
        <v>1715</v>
      </c>
      <c r="B910" s="6">
        <v>45184</v>
      </c>
      <c r="C910" s="6" t="str">
        <f t="shared" si="42"/>
        <v>Sep</v>
      </c>
      <c r="D910" t="s">
        <v>374</v>
      </c>
      <c r="E910" t="s">
        <v>19</v>
      </c>
      <c r="F910" t="s">
        <v>789</v>
      </c>
      <c r="G910">
        <v>7</v>
      </c>
      <c r="H910" s="7">
        <v>151.22999999999999</v>
      </c>
      <c r="I910" t="s">
        <v>46</v>
      </c>
      <c r="J910" t="s">
        <v>87</v>
      </c>
      <c r="K910">
        <v>0</v>
      </c>
      <c r="L910" s="7">
        <f t="shared" si="43"/>
        <v>1058.6099999999999</v>
      </c>
      <c r="M910" s="7"/>
      <c r="O910">
        <f t="shared" si="44"/>
        <v>2</v>
      </c>
      <c r="Q910" t="s">
        <v>47</v>
      </c>
    </row>
    <row r="911" spans="1:17" x14ac:dyDescent="0.3">
      <c r="A911" t="s">
        <v>1716</v>
      </c>
      <c r="B911" s="6">
        <v>45178</v>
      </c>
      <c r="C911" s="6" t="str">
        <f t="shared" si="42"/>
        <v>Sep</v>
      </c>
      <c r="D911" t="s">
        <v>444</v>
      </c>
      <c r="E911" t="s">
        <v>50</v>
      </c>
      <c r="F911" t="s">
        <v>20</v>
      </c>
      <c r="G911">
        <v>1</v>
      </c>
      <c r="H911" s="7">
        <v>49.83</v>
      </c>
      <c r="I911" t="s">
        <v>103</v>
      </c>
      <c r="J911" t="s">
        <v>72</v>
      </c>
      <c r="K911">
        <v>20</v>
      </c>
      <c r="L911" s="7">
        <f t="shared" si="43"/>
        <v>49.83</v>
      </c>
      <c r="M911" s="7"/>
      <c r="O911">
        <f t="shared" si="44"/>
        <v>2</v>
      </c>
      <c r="Q911" t="s">
        <v>104</v>
      </c>
    </row>
    <row r="912" spans="1:17" x14ac:dyDescent="0.3">
      <c r="A912" t="s">
        <v>1717</v>
      </c>
      <c r="B912" s="6">
        <v>45132</v>
      </c>
      <c r="C912" s="6" t="str">
        <f t="shared" si="42"/>
        <v>Jul</v>
      </c>
      <c r="D912" t="s">
        <v>1718</v>
      </c>
      <c r="E912" t="s">
        <v>40</v>
      </c>
      <c r="F912" t="s">
        <v>1461</v>
      </c>
      <c r="G912">
        <v>5</v>
      </c>
      <c r="H912" s="7">
        <v>335.66</v>
      </c>
      <c r="I912" t="s">
        <v>32</v>
      </c>
      <c r="J912" t="s">
        <v>87</v>
      </c>
      <c r="K912">
        <v>0</v>
      </c>
      <c r="L912" s="7">
        <f t="shared" si="43"/>
        <v>1678.3000000000002</v>
      </c>
      <c r="M912" s="7"/>
      <c r="O912">
        <f t="shared" si="44"/>
        <v>2</v>
      </c>
      <c r="Q912" t="s">
        <v>33</v>
      </c>
    </row>
    <row r="913" spans="1:17" x14ac:dyDescent="0.3">
      <c r="A913" t="s">
        <v>1719</v>
      </c>
      <c r="B913" s="6">
        <v>45173</v>
      </c>
      <c r="C913" s="6" t="str">
        <f t="shared" si="42"/>
        <v>Sep</v>
      </c>
      <c r="D913" t="s">
        <v>621</v>
      </c>
      <c r="E913" t="s">
        <v>62</v>
      </c>
      <c r="F913" t="s">
        <v>833</v>
      </c>
      <c r="G913">
        <v>5</v>
      </c>
      <c r="H913" s="7">
        <v>71</v>
      </c>
      <c r="I913" t="s">
        <v>19</v>
      </c>
      <c r="J913" t="s">
        <v>72</v>
      </c>
      <c r="K913">
        <v>5</v>
      </c>
      <c r="L913" s="7">
        <f t="shared" si="43"/>
        <v>355</v>
      </c>
      <c r="M913" s="7"/>
      <c r="O913">
        <f t="shared" si="44"/>
        <v>2</v>
      </c>
      <c r="Q913" t="s">
        <v>19</v>
      </c>
    </row>
    <row r="914" spans="1:17" x14ac:dyDescent="0.3">
      <c r="A914" t="s">
        <v>1720</v>
      </c>
      <c r="B914" s="6">
        <v>45054</v>
      </c>
      <c r="C914" s="6" t="str">
        <f t="shared" si="42"/>
        <v>May</v>
      </c>
      <c r="D914" t="s">
        <v>1594</v>
      </c>
      <c r="E914" t="s">
        <v>62</v>
      </c>
      <c r="F914" t="s">
        <v>687</v>
      </c>
      <c r="G914">
        <v>4</v>
      </c>
      <c r="H914" s="7">
        <v>426.66</v>
      </c>
      <c r="I914" t="s">
        <v>32</v>
      </c>
      <c r="J914" t="s">
        <v>28</v>
      </c>
      <c r="K914">
        <v>15</v>
      </c>
      <c r="L914" s="7">
        <f t="shared" si="43"/>
        <v>1706.64</v>
      </c>
      <c r="M914" s="7"/>
      <c r="O914">
        <f t="shared" si="44"/>
        <v>2</v>
      </c>
      <c r="Q914" t="s">
        <v>33</v>
      </c>
    </row>
    <row r="915" spans="1:17" x14ac:dyDescent="0.3">
      <c r="A915" t="s">
        <v>1721</v>
      </c>
      <c r="B915" s="6">
        <v>45252</v>
      </c>
      <c r="C915" s="6" t="str">
        <f t="shared" si="42"/>
        <v>Nov</v>
      </c>
      <c r="D915" t="s">
        <v>583</v>
      </c>
      <c r="E915" t="s">
        <v>19</v>
      </c>
      <c r="F915" t="s">
        <v>472</v>
      </c>
      <c r="G915">
        <v>6</v>
      </c>
      <c r="H915" s="7">
        <v>409.51</v>
      </c>
      <c r="I915" t="s">
        <v>103</v>
      </c>
      <c r="J915" t="s">
        <v>28</v>
      </c>
      <c r="K915">
        <v>20</v>
      </c>
      <c r="L915" s="7">
        <f t="shared" si="43"/>
        <v>2457.06</v>
      </c>
      <c r="M915" s="7"/>
      <c r="O915">
        <f t="shared" si="44"/>
        <v>2</v>
      </c>
      <c r="Q915" t="s">
        <v>104</v>
      </c>
    </row>
    <row r="916" spans="1:17" x14ac:dyDescent="0.3">
      <c r="A916" t="s">
        <v>1722</v>
      </c>
      <c r="B916" s="6">
        <v>45131</v>
      </c>
      <c r="C916" s="6" t="str">
        <f t="shared" si="42"/>
        <v>Jul</v>
      </c>
      <c r="D916" t="s">
        <v>431</v>
      </c>
      <c r="E916" t="s">
        <v>36</v>
      </c>
      <c r="F916" t="s">
        <v>84</v>
      </c>
      <c r="G916">
        <v>7</v>
      </c>
      <c r="H916" s="7">
        <v>11.76</v>
      </c>
      <c r="I916" t="s">
        <v>21</v>
      </c>
      <c r="J916" t="s">
        <v>72</v>
      </c>
      <c r="K916">
        <v>5</v>
      </c>
      <c r="L916" s="7">
        <f t="shared" si="43"/>
        <v>82.32</v>
      </c>
      <c r="M916" s="7"/>
      <c r="O916">
        <f t="shared" si="44"/>
        <v>2</v>
      </c>
      <c r="Q916" t="s">
        <v>23</v>
      </c>
    </row>
    <row r="917" spans="1:17" x14ac:dyDescent="0.3">
      <c r="A917" t="s">
        <v>1723</v>
      </c>
      <c r="B917" s="6">
        <v>45162</v>
      </c>
      <c r="C917" s="6" t="str">
        <f t="shared" si="42"/>
        <v>Aug</v>
      </c>
      <c r="D917" t="s">
        <v>700</v>
      </c>
      <c r="E917" t="s">
        <v>40</v>
      </c>
      <c r="F917" t="s">
        <v>134</v>
      </c>
      <c r="G917">
        <v>9</v>
      </c>
      <c r="H917" s="7">
        <v>448.38</v>
      </c>
      <c r="I917" t="s">
        <v>21</v>
      </c>
      <c r="J917" t="s">
        <v>28</v>
      </c>
      <c r="K917">
        <v>10</v>
      </c>
      <c r="L917" s="7">
        <f t="shared" si="43"/>
        <v>4035.42</v>
      </c>
      <c r="M917" s="7"/>
      <c r="O917">
        <f t="shared" si="44"/>
        <v>5</v>
      </c>
      <c r="Q917" t="s">
        <v>23</v>
      </c>
    </row>
    <row r="918" spans="1:17" x14ac:dyDescent="0.3">
      <c r="A918" t="s">
        <v>1724</v>
      </c>
      <c r="B918" s="6">
        <v>45198</v>
      </c>
      <c r="C918" s="6" t="str">
        <f t="shared" si="42"/>
        <v>Sep</v>
      </c>
      <c r="D918" t="s">
        <v>1725</v>
      </c>
      <c r="E918" t="s">
        <v>40</v>
      </c>
      <c r="F918" t="s">
        <v>684</v>
      </c>
      <c r="G918">
        <v>1</v>
      </c>
      <c r="H918" s="7">
        <v>19.329999999999998</v>
      </c>
      <c r="I918" t="s">
        <v>46</v>
      </c>
      <c r="J918" t="s">
        <v>42</v>
      </c>
      <c r="K918">
        <v>20</v>
      </c>
      <c r="L918" s="7">
        <f t="shared" si="43"/>
        <v>19.329999999999998</v>
      </c>
      <c r="M918" s="7"/>
      <c r="O918">
        <f t="shared" si="44"/>
        <v>2</v>
      </c>
      <c r="Q918" t="s">
        <v>47</v>
      </c>
    </row>
    <row r="919" spans="1:17" x14ac:dyDescent="0.3">
      <c r="A919" t="s">
        <v>1726</v>
      </c>
      <c r="B919" s="6">
        <v>44985</v>
      </c>
      <c r="C919" s="6" t="str">
        <f t="shared" si="42"/>
        <v>Feb</v>
      </c>
      <c r="D919" t="s">
        <v>1062</v>
      </c>
      <c r="E919" t="s">
        <v>19</v>
      </c>
      <c r="F919" t="s">
        <v>45</v>
      </c>
      <c r="G919">
        <v>6</v>
      </c>
      <c r="H919" s="7">
        <v>123.62</v>
      </c>
      <c r="I919" t="s">
        <v>46</v>
      </c>
      <c r="J919" t="s">
        <v>28</v>
      </c>
      <c r="K919">
        <v>20</v>
      </c>
      <c r="L919" s="7">
        <f t="shared" si="43"/>
        <v>741.72</v>
      </c>
      <c r="M919" s="7"/>
      <c r="O919">
        <f t="shared" si="44"/>
        <v>2</v>
      </c>
      <c r="Q919" t="s">
        <v>47</v>
      </c>
    </row>
    <row r="920" spans="1:17" x14ac:dyDescent="0.3">
      <c r="A920" t="s">
        <v>1727</v>
      </c>
      <c r="B920" s="6">
        <v>45221</v>
      </c>
      <c r="C920" s="6" t="str">
        <f t="shared" si="42"/>
        <v>Oct</v>
      </c>
      <c r="D920" t="s">
        <v>1229</v>
      </c>
      <c r="E920" t="s">
        <v>26</v>
      </c>
      <c r="F920" t="s">
        <v>523</v>
      </c>
      <c r="G920">
        <v>7</v>
      </c>
      <c r="H920" s="7">
        <v>21.03</v>
      </c>
      <c r="I920" t="s">
        <v>46</v>
      </c>
      <c r="J920" t="s">
        <v>22</v>
      </c>
      <c r="K920">
        <v>10</v>
      </c>
      <c r="L920" s="7">
        <f t="shared" si="43"/>
        <v>147.21</v>
      </c>
      <c r="M920" s="7"/>
      <c r="O920">
        <f t="shared" si="44"/>
        <v>2</v>
      </c>
      <c r="Q920" t="s">
        <v>47</v>
      </c>
    </row>
    <row r="921" spans="1:17" x14ac:dyDescent="0.3">
      <c r="A921" t="s">
        <v>1728</v>
      </c>
      <c r="B921" s="6">
        <v>45185</v>
      </c>
      <c r="C921" s="6" t="str">
        <f t="shared" si="42"/>
        <v>Sep</v>
      </c>
      <c r="D921" t="s">
        <v>1044</v>
      </c>
      <c r="E921" t="s">
        <v>40</v>
      </c>
      <c r="F921" t="s">
        <v>165</v>
      </c>
      <c r="G921">
        <v>3</v>
      </c>
      <c r="H921" s="7">
        <v>171.24</v>
      </c>
      <c r="I921" t="s">
        <v>19</v>
      </c>
      <c r="J921" t="s">
        <v>87</v>
      </c>
      <c r="K921">
        <v>15</v>
      </c>
      <c r="L921" s="7">
        <f t="shared" si="43"/>
        <v>513.72</v>
      </c>
      <c r="M921" s="7"/>
      <c r="O921">
        <f t="shared" si="44"/>
        <v>2</v>
      </c>
      <c r="Q921" t="s">
        <v>19</v>
      </c>
    </row>
    <row r="922" spans="1:17" x14ac:dyDescent="0.3">
      <c r="A922" t="s">
        <v>1729</v>
      </c>
      <c r="B922" s="6">
        <v>45212</v>
      </c>
      <c r="C922" s="6" t="str">
        <f t="shared" si="42"/>
        <v>Oct</v>
      </c>
      <c r="D922" t="s">
        <v>181</v>
      </c>
      <c r="E922" t="s">
        <v>19</v>
      </c>
      <c r="F922" t="s">
        <v>369</v>
      </c>
      <c r="G922">
        <v>8</v>
      </c>
      <c r="H922" s="7">
        <v>259.36</v>
      </c>
      <c r="I922" t="s">
        <v>21</v>
      </c>
      <c r="J922" t="s">
        <v>28</v>
      </c>
      <c r="K922">
        <v>20</v>
      </c>
      <c r="L922" s="7">
        <f t="shared" si="43"/>
        <v>2074.88</v>
      </c>
      <c r="M922" s="7"/>
      <c r="O922">
        <f t="shared" si="44"/>
        <v>2</v>
      </c>
      <c r="Q922" t="s">
        <v>23</v>
      </c>
    </row>
    <row r="923" spans="1:17" x14ac:dyDescent="0.3">
      <c r="A923" t="s">
        <v>1730</v>
      </c>
      <c r="B923" s="6">
        <v>44956</v>
      </c>
      <c r="C923" s="6" t="str">
        <f t="shared" si="42"/>
        <v>Jan</v>
      </c>
      <c r="D923" t="s">
        <v>368</v>
      </c>
      <c r="E923" t="s">
        <v>26</v>
      </c>
      <c r="F923" t="s">
        <v>807</v>
      </c>
      <c r="G923">
        <v>5</v>
      </c>
      <c r="H923" s="7">
        <v>399.34</v>
      </c>
      <c r="I923" t="s">
        <v>21</v>
      </c>
      <c r="J923" t="s">
        <v>28</v>
      </c>
      <c r="K923">
        <v>15</v>
      </c>
      <c r="L923" s="7">
        <f t="shared" si="43"/>
        <v>1996.6999999999998</v>
      </c>
      <c r="M923" s="7"/>
      <c r="O923">
        <f t="shared" si="44"/>
        <v>2</v>
      </c>
      <c r="Q923" t="s">
        <v>23</v>
      </c>
    </row>
    <row r="924" spans="1:17" x14ac:dyDescent="0.3">
      <c r="A924" t="s">
        <v>1731</v>
      </c>
      <c r="B924" s="6">
        <v>45226</v>
      </c>
      <c r="C924" s="6" t="str">
        <f t="shared" si="42"/>
        <v>Oct</v>
      </c>
      <c r="D924" t="s">
        <v>623</v>
      </c>
      <c r="E924" t="s">
        <v>26</v>
      </c>
      <c r="F924" t="s">
        <v>295</v>
      </c>
      <c r="G924">
        <v>9</v>
      </c>
      <c r="H924" s="7">
        <v>172.3</v>
      </c>
      <c r="I924" t="s">
        <v>32</v>
      </c>
      <c r="J924" t="s">
        <v>22</v>
      </c>
      <c r="K924">
        <v>5</v>
      </c>
      <c r="L924" s="7">
        <f t="shared" si="43"/>
        <v>1550.7</v>
      </c>
      <c r="M924" s="7"/>
      <c r="O924">
        <f t="shared" si="44"/>
        <v>2</v>
      </c>
      <c r="Q924" t="s">
        <v>33</v>
      </c>
    </row>
    <row r="925" spans="1:17" x14ac:dyDescent="0.3">
      <c r="A925" t="s">
        <v>1732</v>
      </c>
      <c r="B925" s="6">
        <v>44941</v>
      </c>
      <c r="C925" s="6" t="str">
        <f t="shared" si="42"/>
        <v>Jan</v>
      </c>
      <c r="D925" t="s">
        <v>371</v>
      </c>
      <c r="E925" t="s">
        <v>26</v>
      </c>
      <c r="F925" t="s">
        <v>586</v>
      </c>
      <c r="G925">
        <v>5</v>
      </c>
      <c r="H925" s="7">
        <v>354.22</v>
      </c>
      <c r="I925" t="s">
        <v>64</v>
      </c>
      <c r="J925" t="s">
        <v>22</v>
      </c>
      <c r="K925">
        <v>10</v>
      </c>
      <c r="L925" s="7">
        <f t="shared" si="43"/>
        <v>1771.1000000000001</v>
      </c>
      <c r="M925" s="7"/>
      <c r="O925">
        <f t="shared" si="44"/>
        <v>2</v>
      </c>
      <c r="Q925" t="s">
        <v>65</v>
      </c>
    </row>
    <row r="926" spans="1:17" x14ac:dyDescent="0.3">
      <c r="A926" t="s">
        <v>1733</v>
      </c>
      <c r="B926" s="6">
        <v>45057</v>
      </c>
      <c r="C926" s="6" t="str">
        <f t="shared" si="42"/>
        <v>May</v>
      </c>
      <c r="D926" t="s">
        <v>809</v>
      </c>
      <c r="E926" t="s">
        <v>19</v>
      </c>
      <c r="F926" t="s">
        <v>71</v>
      </c>
      <c r="G926">
        <v>9</v>
      </c>
      <c r="H926" s="7">
        <v>97.81</v>
      </c>
      <c r="I926" t="s">
        <v>64</v>
      </c>
      <c r="J926" t="s">
        <v>72</v>
      </c>
      <c r="K926">
        <v>10</v>
      </c>
      <c r="L926" s="7">
        <f t="shared" si="43"/>
        <v>880.29</v>
      </c>
      <c r="M926" s="7"/>
      <c r="O926">
        <f t="shared" si="44"/>
        <v>2</v>
      </c>
      <c r="Q926" t="s">
        <v>65</v>
      </c>
    </row>
    <row r="927" spans="1:17" x14ac:dyDescent="0.3">
      <c r="A927" t="s">
        <v>1734</v>
      </c>
      <c r="B927" s="6">
        <v>45010</v>
      </c>
      <c r="C927" s="6" t="str">
        <f t="shared" si="42"/>
        <v>Mar</v>
      </c>
      <c r="D927" t="s">
        <v>607</v>
      </c>
      <c r="E927" t="s">
        <v>40</v>
      </c>
      <c r="F927" t="s">
        <v>254</v>
      </c>
      <c r="G927">
        <v>4</v>
      </c>
      <c r="H927" s="7">
        <v>376.55</v>
      </c>
      <c r="I927" t="s">
        <v>103</v>
      </c>
      <c r="J927" t="s">
        <v>87</v>
      </c>
      <c r="K927">
        <v>20</v>
      </c>
      <c r="L927" s="7">
        <f t="shared" si="43"/>
        <v>1506.2</v>
      </c>
      <c r="M927" s="7"/>
      <c r="O927">
        <f t="shared" si="44"/>
        <v>2</v>
      </c>
      <c r="Q927" t="s">
        <v>104</v>
      </c>
    </row>
    <row r="928" spans="1:17" x14ac:dyDescent="0.3">
      <c r="A928" t="s">
        <v>1735</v>
      </c>
      <c r="B928" s="6">
        <v>45064</v>
      </c>
      <c r="C928" s="6" t="str">
        <f t="shared" si="42"/>
        <v>May</v>
      </c>
      <c r="D928" t="s">
        <v>1256</v>
      </c>
      <c r="E928" t="s">
        <v>19</v>
      </c>
      <c r="F928" t="s">
        <v>988</v>
      </c>
      <c r="G928">
        <v>9</v>
      </c>
      <c r="H928" s="7">
        <v>121.82</v>
      </c>
      <c r="I928" t="s">
        <v>21</v>
      </c>
      <c r="J928" t="s">
        <v>42</v>
      </c>
      <c r="K928">
        <v>20</v>
      </c>
      <c r="L928" s="7">
        <f t="shared" si="43"/>
        <v>1096.3799999999999</v>
      </c>
      <c r="M928" s="7"/>
      <c r="O928">
        <f t="shared" si="44"/>
        <v>2</v>
      </c>
      <c r="Q928" t="s">
        <v>23</v>
      </c>
    </row>
    <row r="929" spans="1:17" x14ac:dyDescent="0.3">
      <c r="A929" t="s">
        <v>1736</v>
      </c>
      <c r="B929" s="6">
        <v>45181</v>
      </c>
      <c r="C929" s="6" t="str">
        <f t="shared" si="42"/>
        <v>Sep</v>
      </c>
      <c r="D929" t="s">
        <v>1737</v>
      </c>
      <c r="E929" t="s">
        <v>19</v>
      </c>
      <c r="F929" t="s">
        <v>887</v>
      </c>
      <c r="G929">
        <v>5</v>
      </c>
      <c r="H929" s="7">
        <v>76.05</v>
      </c>
      <c r="I929" t="s">
        <v>21</v>
      </c>
      <c r="J929" t="s">
        <v>22</v>
      </c>
      <c r="K929">
        <v>5</v>
      </c>
      <c r="L929" s="7">
        <f t="shared" si="43"/>
        <v>380.25</v>
      </c>
      <c r="M929" s="7"/>
      <c r="O929">
        <f t="shared" si="44"/>
        <v>2</v>
      </c>
      <c r="Q929" t="s">
        <v>23</v>
      </c>
    </row>
    <row r="930" spans="1:17" x14ac:dyDescent="0.3">
      <c r="A930" t="s">
        <v>1738</v>
      </c>
      <c r="B930" s="6">
        <v>45062</v>
      </c>
      <c r="C930" s="6" t="str">
        <f t="shared" si="42"/>
        <v>May</v>
      </c>
      <c r="D930" t="s">
        <v>751</v>
      </c>
      <c r="E930" t="s">
        <v>19</v>
      </c>
      <c r="F930" t="s">
        <v>887</v>
      </c>
      <c r="G930">
        <v>9</v>
      </c>
      <c r="H930" s="7">
        <v>96.78</v>
      </c>
      <c r="I930" t="s">
        <v>19</v>
      </c>
      <c r="J930" t="s">
        <v>42</v>
      </c>
      <c r="K930">
        <v>10</v>
      </c>
      <c r="L930" s="7">
        <f t="shared" si="43"/>
        <v>871.02</v>
      </c>
      <c r="M930" s="7"/>
      <c r="O930">
        <f t="shared" si="44"/>
        <v>2</v>
      </c>
      <c r="Q930" t="s">
        <v>19</v>
      </c>
    </row>
    <row r="931" spans="1:17" x14ac:dyDescent="0.3">
      <c r="A931" t="s">
        <v>1739</v>
      </c>
      <c r="B931" s="6">
        <v>45135</v>
      </c>
      <c r="C931" s="6" t="str">
        <f t="shared" si="42"/>
        <v>Jul</v>
      </c>
      <c r="D931" t="s">
        <v>1740</v>
      </c>
      <c r="E931" t="s">
        <v>62</v>
      </c>
      <c r="F931" t="s">
        <v>1085</v>
      </c>
      <c r="G931">
        <v>5</v>
      </c>
      <c r="H931" s="7">
        <v>95.12</v>
      </c>
      <c r="I931" t="s">
        <v>46</v>
      </c>
      <c r="J931" t="s">
        <v>19</v>
      </c>
      <c r="K931">
        <v>10</v>
      </c>
      <c r="L931" s="7">
        <f t="shared" si="43"/>
        <v>475.6</v>
      </c>
      <c r="M931" s="7"/>
      <c r="O931">
        <f t="shared" si="44"/>
        <v>2</v>
      </c>
      <c r="Q931" t="s">
        <v>47</v>
      </c>
    </row>
    <row r="932" spans="1:17" x14ac:dyDescent="0.3">
      <c r="A932" t="s">
        <v>1741</v>
      </c>
      <c r="B932" s="6">
        <v>45266</v>
      </c>
      <c r="C932" s="6" t="str">
        <f t="shared" si="42"/>
        <v>Dec</v>
      </c>
      <c r="D932" t="s">
        <v>1505</v>
      </c>
      <c r="E932" t="s">
        <v>36</v>
      </c>
      <c r="F932" t="s">
        <v>807</v>
      </c>
      <c r="G932">
        <v>4</v>
      </c>
      <c r="H932" s="7">
        <v>258.87</v>
      </c>
      <c r="I932" t="s">
        <v>103</v>
      </c>
      <c r="J932" t="s">
        <v>87</v>
      </c>
      <c r="K932">
        <v>10</v>
      </c>
      <c r="L932" s="7">
        <f t="shared" si="43"/>
        <v>1035.48</v>
      </c>
      <c r="M932" s="7"/>
      <c r="O932">
        <f t="shared" si="44"/>
        <v>2</v>
      </c>
      <c r="Q932" t="s">
        <v>104</v>
      </c>
    </row>
    <row r="933" spans="1:17" x14ac:dyDescent="0.3">
      <c r="A933" t="s">
        <v>1742</v>
      </c>
      <c r="B933" s="6">
        <v>45275</v>
      </c>
      <c r="C933" s="6" t="str">
        <f t="shared" si="42"/>
        <v>Dec</v>
      </c>
      <c r="D933" t="s">
        <v>1743</v>
      </c>
      <c r="E933" t="s">
        <v>19</v>
      </c>
      <c r="F933" t="s">
        <v>800</v>
      </c>
      <c r="G933">
        <v>9</v>
      </c>
      <c r="H933" s="7">
        <v>423.17</v>
      </c>
      <c r="I933" t="s">
        <v>64</v>
      </c>
      <c r="J933" t="s">
        <v>87</v>
      </c>
      <c r="K933">
        <v>15</v>
      </c>
      <c r="L933" s="7">
        <f t="shared" si="43"/>
        <v>3808.53</v>
      </c>
      <c r="M933" s="7"/>
      <c r="O933">
        <f t="shared" si="44"/>
        <v>5</v>
      </c>
      <c r="Q933" t="s">
        <v>65</v>
      </c>
    </row>
    <row r="934" spans="1:17" x14ac:dyDescent="0.3">
      <c r="A934" t="s">
        <v>1744</v>
      </c>
      <c r="B934" s="6">
        <v>45009</v>
      </c>
      <c r="C934" s="6" t="str">
        <f t="shared" si="42"/>
        <v>Mar</v>
      </c>
      <c r="D934" t="s">
        <v>1466</v>
      </c>
      <c r="E934" t="s">
        <v>62</v>
      </c>
      <c r="F934" t="s">
        <v>523</v>
      </c>
      <c r="G934">
        <v>6</v>
      </c>
      <c r="H934" s="7">
        <v>44.4</v>
      </c>
      <c r="I934" t="s">
        <v>103</v>
      </c>
      <c r="J934" t="s">
        <v>19</v>
      </c>
      <c r="K934">
        <v>10</v>
      </c>
      <c r="L934" s="7">
        <f t="shared" si="43"/>
        <v>266.39999999999998</v>
      </c>
      <c r="M934" s="7"/>
      <c r="O934">
        <f t="shared" si="44"/>
        <v>2</v>
      </c>
      <c r="Q934" t="s">
        <v>104</v>
      </c>
    </row>
    <row r="935" spans="1:17" x14ac:dyDescent="0.3">
      <c r="A935" t="s">
        <v>1745</v>
      </c>
      <c r="B935" s="6">
        <v>45132</v>
      </c>
      <c r="C935" s="6" t="str">
        <f t="shared" si="42"/>
        <v>Jul</v>
      </c>
      <c r="D935" t="s">
        <v>1746</v>
      </c>
      <c r="E935" t="s">
        <v>31</v>
      </c>
      <c r="F935" t="s">
        <v>375</v>
      </c>
      <c r="G935">
        <v>2</v>
      </c>
      <c r="H935" s="7">
        <v>354.94</v>
      </c>
      <c r="I935" t="s">
        <v>32</v>
      </c>
      <c r="J935" t="s">
        <v>19</v>
      </c>
      <c r="K935">
        <v>10</v>
      </c>
      <c r="L935" s="7">
        <f t="shared" si="43"/>
        <v>709.88</v>
      </c>
      <c r="M935" s="7"/>
      <c r="O935">
        <f t="shared" si="44"/>
        <v>2</v>
      </c>
      <c r="Q935" t="s">
        <v>33</v>
      </c>
    </row>
    <row r="936" spans="1:17" x14ac:dyDescent="0.3">
      <c r="A936" t="s">
        <v>1747</v>
      </c>
      <c r="B936" s="6">
        <v>44958</v>
      </c>
      <c r="C936" s="6" t="str">
        <f t="shared" si="42"/>
        <v>Feb</v>
      </c>
      <c r="D936" t="s">
        <v>1748</v>
      </c>
      <c r="E936" t="s">
        <v>19</v>
      </c>
      <c r="F936" t="s">
        <v>278</v>
      </c>
      <c r="G936">
        <v>7</v>
      </c>
      <c r="H936" s="7">
        <v>328.9</v>
      </c>
      <c r="I936" t="s">
        <v>32</v>
      </c>
      <c r="J936" t="s">
        <v>42</v>
      </c>
      <c r="K936">
        <v>15</v>
      </c>
      <c r="L936" s="7">
        <f t="shared" si="43"/>
        <v>2302.2999999999997</v>
      </c>
      <c r="M936" s="7"/>
      <c r="O936">
        <f t="shared" si="44"/>
        <v>2</v>
      </c>
      <c r="Q936" t="s">
        <v>33</v>
      </c>
    </row>
    <row r="937" spans="1:17" x14ac:dyDescent="0.3">
      <c r="A937" t="s">
        <v>1749</v>
      </c>
      <c r="B937" s="6">
        <v>45183</v>
      </c>
      <c r="C937" s="6" t="str">
        <f t="shared" si="42"/>
        <v>Sep</v>
      </c>
      <c r="D937" t="s">
        <v>947</v>
      </c>
      <c r="E937" t="s">
        <v>40</v>
      </c>
      <c r="F937" t="s">
        <v>284</v>
      </c>
      <c r="G937">
        <v>2</v>
      </c>
      <c r="H937" s="7">
        <v>436.9</v>
      </c>
      <c r="I937" t="s">
        <v>64</v>
      </c>
      <c r="J937" t="s">
        <v>19</v>
      </c>
      <c r="K937">
        <v>5</v>
      </c>
      <c r="L937" s="7">
        <f t="shared" si="43"/>
        <v>873.8</v>
      </c>
      <c r="M937" s="7"/>
      <c r="O937">
        <f t="shared" si="44"/>
        <v>2</v>
      </c>
      <c r="Q937" t="s">
        <v>65</v>
      </c>
    </row>
    <row r="938" spans="1:17" x14ac:dyDescent="0.3">
      <c r="A938" t="s">
        <v>1750</v>
      </c>
      <c r="B938" s="6">
        <v>45214</v>
      </c>
      <c r="C938" s="6" t="str">
        <f t="shared" si="42"/>
        <v>Oct</v>
      </c>
      <c r="D938" t="s">
        <v>1751</v>
      </c>
      <c r="E938" t="s">
        <v>19</v>
      </c>
      <c r="F938" t="s">
        <v>125</v>
      </c>
      <c r="G938">
        <v>2</v>
      </c>
      <c r="H938" s="7">
        <v>125.85</v>
      </c>
      <c r="I938" t="s">
        <v>64</v>
      </c>
      <c r="J938" t="s">
        <v>87</v>
      </c>
      <c r="K938">
        <v>10</v>
      </c>
      <c r="L938" s="7">
        <f t="shared" si="43"/>
        <v>251.7</v>
      </c>
      <c r="M938" s="7"/>
      <c r="O938">
        <f t="shared" si="44"/>
        <v>2</v>
      </c>
      <c r="Q938" t="s">
        <v>65</v>
      </c>
    </row>
    <row r="939" spans="1:17" x14ac:dyDescent="0.3">
      <c r="A939" t="s">
        <v>1752</v>
      </c>
      <c r="B939" s="6">
        <v>45268</v>
      </c>
      <c r="C939" s="6" t="str">
        <f t="shared" si="42"/>
        <v>Dec</v>
      </c>
      <c r="D939" t="s">
        <v>623</v>
      </c>
      <c r="E939" t="s">
        <v>26</v>
      </c>
      <c r="F939" t="s">
        <v>520</v>
      </c>
      <c r="G939">
        <v>1</v>
      </c>
      <c r="H939" s="7">
        <v>227.8</v>
      </c>
      <c r="I939" t="s">
        <v>19</v>
      </c>
      <c r="J939" t="s">
        <v>28</v>
      </c>
      <c r="K939">
        <v>10</v>
      </c>
      <c r="L939" s="7">
        <f t="shared" si="43"/>
        <v>227.8</v>
      </c>
      <c r="M939" s="7"/>
      <c r="O939">
        <f t="shared" si="44"/>
        <v>2</v>
      </c>
      <c r="Q939" t="s">
        <v>19</v>
      </c>
    </row>
    <row r="940" spans="1:17" x14ac:dyDescent="0.3">
      <c r="A940" t="s">
        <v>1753</v>
      </c>
      <c r="B940" s="6">
        <v>45222</v>
      </c>
      <c r="C940" s="6" t="str">
        <f t="shared" si="42"/>
        <v>Oct</v>
      </c>
      <c r="D940" t="s">
        <v>1754</v>
      </c>
      <c r="E940" t="s">
        <v>26</v>
      </c>
      <c r="F940" t="s">
        <v>913</v>
      </c>
      <c r="G940">
        <v>3</v>
      </c>
      <c r="H940" s="7">
        <v>463.28</v>
      </c>
      <c r="I940" t="s">
        <v>46</v>
      </c>
      <c r="J940" t="s">
        <v>42</v>
      </c>
      <c r="K940">
        <v>0</v>
      </c>
      <c r="L940" s="7">
        <f t="shared" si="43"/>
        <v>1389.84</v>
      </c>
      <c r="M940" s="7"/>
      <c r="O940">
        <f t="shared" si="44"/>
        <v>2</v>
      </c>
      <c r="Q940" t="s">
        <v>47</v>
      </c>
    </row>
    <row r="941" spans="1:17" x14ac:dyDescent="0.3">
      <c r="A941" t="s">
        <v>1755</v>
      </c>
      <c r="B941" s="6">
        <v>44933</v>
      </c>
      <c r="C941" s="6" t="str">
        <f t="shared" si="42"/>
        <v>Jan</v>
      </c>
      <c r="D941" t="s">
        <v>1756</v>
      </c>
      <c r="E941" t="s">
        <v>40</v>
      </c>
      <c r="F941" t="s">
        <v>263</v>
      </c>
      <c r="G941">
        <v>6</v>
      </c>
      <c r="H941" s="7">
        <v>331.7</v>
      </c>
      <c r="I941" t="s">
        <v>19</v>
      </c>
      <c r="J941" t="s">
        <v>19</v>
      </c>
      <c r="K941">
        <v>5</v>
      </c>
      <c r="L941" s="7">
        <f t="shared" si="43"/>
        <v>1990.1999999999998</v>
      </c>
      <c r="M941" s="7"/>
      <c r="O941">
        <f t="shared" si="44"/>
        <v>2</v>
      </c>
      <c r="Q941" t="s">
        <v>19</v>
      </c>
    </row>
    <row r="942" spans="1:17" x14ac:dyDescent="0.3">
      <c r="A942" t="s">
        <v>1757</v>
      </c>
      <c r="B942" s="6">
        <v>45092</v>
      </c>
      <c r="C942" s="6" t="str">
        <f t="shared" si="42"/>
        <v>Jun</v>
      </c>
      <c r="D942" t="s">
        <v>118</v>
      </c>
      <c r="E942" t="s">
        <v>19</v>
      </c>
      <c r="F942" t="s">
        <v>113</v>
      </c>
      <c r="G942">
        <v>8</v>
      </c>
      <c r="H942" s="7">
        <v>197.44</v>
      </c>
      <c r="I942" t="s">
        <v>103</v>
      </c>
      <c r="J942" t="s">
        <v>72</v>
      </c>
      <c r="K942">
        <v>5</v>
      </c>
      <c r="L942" s="7">
        <f t="shared" si="43"/>
        <v>1579.52</v>
      </c>
      <c r="M942" s="7"/>
      <c r="O942">
        <f t="shared" si="44"/>
        <v>2</v>
      </c>
      <c r="Q942" t="s">
        <v>104</v>
      </c>
    </row>
    <row r="943" spans="1:17" x14ac:dyDescent="0.3">
      <c r="A943" t="s">
        <v>1758</v>
      </c>
      <c r="B943" s="6">
        <v>45218</v>
      </c>
      <c r="C943" s="6" t="str">
        <f t="shared" si="42"/>
        <v>Oct</v>
      </c>
      <c r="D943" t="s">
        <v>1759</v>
      </c>
      <c r="E943" t="s">
        <v>62</v>
      </c>
      <c r="F943" t="s">
        <v>359</v>
      </c>
      <c r="G943">
        <v>9</v>
      </c>
      <c r="H943" s="7">
        <v>70.05</v>
      </c>
      <c r="I943" t="s">
        <v>64</v>
      </c>
      <c r="J943" t="s">
        <v>72</v>
      </c>
      <c r="K943">
        <v>0</v>
      </c>
      <c r="L943" s="7">
        <f t="shared" si="43"/>
        <v>630.44999999999993</v>
      </c>
      <c r="M943" s="7"/>
      <c r="O943">
        <f t="shared" si="44"/>
        <v>2</v>
      </c>
      <c r="Q943" t="s">
        <v>65</v>
      </c>
    </row>
    <row r="944" spans="1:17" x14ac:dyDescent="0.3">
      <c r="A944" t="s">
        <v>1760</v>
      </c>
      <c r="B944" s="6">
        <v>44978</v>
      </c>
      <c r="C944" s="6" t="str">
        <f t="shared" si="42"/>
        <v>Feb</v>
      </c>
      <c r="D944" t="s">
        <v>972</v>
      </c>
      <c r="E944" t="s">
        <v>31</v>
      </c>
      <c r="F944" t="s">
        <v>398</v>
      </c>
      <c r="G944">
        <v>7</v>
      </c>
      <c r="H944" s="7">
        <v>134.93</v>
      </c>
      <c r="I944" t="s">
        <v>64</v>
      </c>
      <c r="J944" t="s">
        <v>22</v>
      </c>
      <c r="K944">
        <v>15</v>
      </c>
      <c r="L944" s="7">
        <f t="shared" si="43"/>
        <v>944.51</v>
      </c>
      <c r="M944" s="7"/>
      <c r="O944">
        <f t="shared" si="44"/>
        <v>2</v>
      </c>
      <c r="Q944" t="s">
        <v>65</v>
      </c>
    </row>
    <row r="945" spans="1:17" x14ac:dyDescent="0.3">
      <c r="A945" t="s">
        <v>1761</v>
      </c>
      <c r="B945" s="6">
        <v>44936</v>
      </c>
      <c r="C945" s="6" t="str">
        <f t="shared" si="42"/>
        <v>Jan</v>
      </c>
      <c r="D945" t="s">
        <v>221</v>
      </c>
      <c r="E945" t="s">
        <v>40</v>
      </c>
      <c r="F945" t="s">
        <v>99</v>
      </c>
      <c r="G945">
        <v>4</v>
      </c>
      <c r="H945" s="7">
        <v>292.7</v>
      </c>
      <c r="I945" t="s">
        <v>21</v>
      </c>
      <c r="J945" t="s">
        <v>72</v>
      </c>
      <c r="K945">
        <v>10</v>
      </c>
      <c r="L945" s="7">
        <f t="shared" si="43"/>
        <v>1170.8</v>
      </c>
      <c r="M945" s="7"/>
      <c r="O945">
        <f t="shared" si="44"/>
        <v>2</v>
      </c>
      <c r="Q945" t="s">
        <v>23</v>
      </c>
    </row>
    <row r="946" spans="1:17" x14ac:dyDescent="0.3">
      <c r="A946" t="s">
        <v>1762</v>
      </c>
      <c r="B946" s="6">
        <v>44980</v>
      </c>
      <c r="C946" s="6" t="str">
        <f t="shared" si="42"/>
        <v>Feb</v>
      </c>
      <c r="D946" t="s">
        <v>269</v>
      </c>
      <c r="E946" t="s">
        <v>40</v>
      </c>
      <c r="F946" t="s">
        <v>517</v>
      </c>
      <c r="G946">
        <v>6</v>
      </c>
      <c r="H946" s="7">
        <v>252.16</v>
      </c>
      <c r="I946" t="s">
        <v>21</v>
      </c>
      <c r="J946" t="s">
        <v>72</v>
      </c>
      <c r="K946">
        <v>10</v>
      </c>
      <c r="L946" s="7">
        <f t="shared" si="43"/>
        <v>1512.96</v>
      </c>
      <c r="M946" s="7"/>
      <c r="O946">
        <f t="shared" si="44"/>
        <v>2</v>
      </c>
      <c r="Q946" t="s">
        <v>23</v>
      </c>
    </row>
    <row r="947" spans="1:17" x14ac:dyDescent="0.3">
      <c r="A947" t="s">
        <v>1763</v>
      </c>
      <c r="B947" s="6">
        <v>45224</v>
      </c>
      <c r="C947" s="6" t="str">
        <f t="shared" si="42"/>
        <v>Oct</v>
      </c>
      <c r="D947" t="s">
        <v>1764</v>
      </c>
      <c r="E947" t="s">
        <v>19</v>
      </c>
      <c r="F947" t="s">
        <v>719</v>
      </c>
      <c r="G947">
        <v>5</v>
      </c>
      <c r="H947" s="7">
        <v>66.59</v>
      </c>
      <c r="I947" t="s">
        <v>64</v>
      </c>
      <c r="J947" t="s">
        <v>87</v>
      </c>
      <c r="K947">
        <v>10</v>
      </c>
      <c r="L947" s="7">
        <f t="shared" si="43"/>
        <v>332.95000000000005</v>
      </c>
      <c r="M947" s="7"/>
      <c r="O947">
        <f t="shared" si="44"/>
        <v>2</v>
      </c>
      <c r="Q947" t="s">
        <v>65</v>
      </c>
    </row>
    <row r="948" spans="1:17" x14ac:dyDescent="0.3">
      <c r="A948" t="s">
        <v>1765</v>
      </c>
      <c r="B948" s="6">
        <v>45248</v>
      </c>
      <c r="C948" s="6" t="str">
        <f t="shared" si="42"/>
        <v>Nov</v>
      </c>
      <c r="D948" t="s">
        <v>852</v>
      </c>
      <c r="E948" t="s">
        <v>26</v>
      </c>
      <c r="F948" t="s">
        <v>319</v>
      </c>
      <c r="G948">
        <v>8</v>
      </c>
      <c r="H948" s="7">
        <v>301.8</v>
      </c>
      <c r="I948" t="s">
        <v>64</v>
      </c>
      <c r="J948" t="s">
        <v>42</v>
      </c>
      <c r="K948">
        <v>10</v>
      </c>
      <c r="L948" s="7">
        <f t="shared" si="43"/>
        <v>2414.4</v>
      </c>
      <c r="M948" s="7"/>
      <c r="O948">
        <f t="shared" si="44"/>
        <v>2</v>
      </c>
      <c r="Q948" t="s">
        <v>65</v>
      </c>
    </row>
    <row r="949" spans="1:17" x14ac:dyDescent="0.3">
      <c r="A949" t="s">
        <v>1766</v>
      </c>
      <c r="B949" s="6">
        <v>45157</v>
      </c>
      <c r="C949" s="6" t="str">
        <f t="shared" si="42"/>
        <v>Aug</v>
      </c>
      <c r="D949" t="s">
        <v>717</v>
      </c>
      <c r="E949" t="s">
        <v>26</v>
      </c>
      <c r="F949" t="s">
        <v>1328</v>
      </c>
      <c r="G949">
        <v>5</v>
      </c>
      <c r="H949" s="7">
        <v>277.42</v>
      </c>
      <c r="I949" t="s">
        <v>32</v>
      </c>
      <c r="J949" t="s">
        <v>42</v>
      </c>
      <c r="K949">
        <v>10</v>
      </c>
      <c r="L949" s="7">
        <f t="shared" si="43"/>
        <v>1387.1000000000001</v>
      </c>
      <c r="M949" s="7"/>
      <c r="O949">
        <f t="shared" si="44"/>
        <v>2</v>
      </c>
      <c r="Q949" t="s">
        <v>33</v>
      </c>
    </row>
    <row r="950" spans="1:17" x14ac:dyDescent="0.3">
      <c r="A950" t="s">
        <v>1767</v>
      </c>
      <c r="B950" s="6">
        <v>44953</v>
      </c>
      <c r="C950" s="6" t="str">
        <f t="shared" si="42"/>
        <v>Jan</v>
      </c>
      <c r="D950" t="s">
        <v>49</v>
      </c>
      <c r="E950" t="s">
        <v>36</v>
      </c>
      <c r="F950" t="s">
        <v>188</v>
      </c>
      <c r="G950">
        <v>1</v>
      </c>
      <c r="H950" s="7">
        <v>259.41000000000003</v>
      </c>
      <c r="I950" t="s">
        <v>32</v>
      </c>
      <c r="J950" t="s">
        <v>28</v>
      </c>
      <c r="K950">
        <v>0</v>
      </c>
      <c r="L950" s="7">
        <f t="shared" si="43"/>
        <v>259.41000000000003</v>
      </c>
      <c r="M950" s="7"/>
      <c r="O950">
        <f t="shared" si="44"/>
        <v>2</v>
      </c>
      <c r="Q950" t="s">
        <v>33</v>
      </c>
    </row>
    <row r="951" spans="1:17" x14ac:dyDescent="0.3">
      <c r="A951" t="s">
        <v>1768</v>
      </c>
      <c r="B951" s="6">
        <v>44964</v>
      </c>
      <c r="C951" s="6" t="str">
        <f t="shared" si="42"/>
        <v>Feb</v>
      </c>
      <c r="D951" t="s">
        <v>607</v>
      </c>
      <c r="E951" t="s">
        <v>50</v>
      </c>
      <c r="F951" t="s">
        <v>81</v>
      </c>
      <c r="G951">
        <v>6</v>
      </c>
      <c r="H951" s="7">
        <v>252.16</v>
      </c>
      <c r="I951" t="s">
        <v>21</v>
      </c>
      <c r="J951" t="s">
        <v>87</v>
      </c>
      <c r="K951">
        <v>5</v>
      </c>
      <c r="L951" s="7">
        <f t="shared" si="43"/>
        <v>1512.96</v>
      </c>
      <c r="M951" s="7"/>
      <c r="O951">
        <f t="shared" si="44"/>
        <v>2</v>
      </c>
      <c r="Q951" t="s">
        <v>23</v>
      </c>
    </row>
    <row r="952" spans="1:17" x14ac:dyDescent="0.3">
      <c r="A952" t="s">
        <v>1769</v>
      </c>
      <c r="B952" s="6">
        <v>45039</v>
      </c>
      <c r="C952" s="6" t="str">
        <f t="shared" si="42"/>
        <v>Apr</v>
      </c>
      <c r="D952" t="s">
        <v>1770</v>
      </c>
      <c r="E952" t="s">
        <v>19</v>
      </c>
      <c r="F952" t="s">
        <v>932</v>
      </c>
      <c r="G952">
        <v>2</v>
      </c>
      <c r="H952" s="7">
        <v>419.54</v>
      </c>
      <c r="I952" t="s">
        <v>32</v>
      </c>
      <c r="J952" t="s">
        <v>72</v>
      </c>
      <c r="K952">
        <v>15</v>
      </c>
      <c r="L952" s="7">
        <f t="shared" si="43"/>
        <v>839.08</v>
      </c>
      <c r="M952" s="7"/>
      <c r="O952">
        <f t="shared" si="44"/>
        <v>2</v>
      </c>
      <c r="Q952" t="s">
        <v>33</v>
      </c>
    </row>
    <row r="953" spans="1:17" x14ac:dyDescent="0.3">
      <c r="A953" t="s">
        <v>1771</v>
      </c>
      <c r="B953" s="6">
        <v>45137</v>
      </c>
      <c r="C953" s="6" t="str">
        <f t="shared" si="42"/>
        <v>Jul</v>
      </c>
      <c r="D953" t="s">
        <v>1772</v>
      </c>
      <c r="E953" t="s">
        <v>19</v>
      </c>
      <c r="F953" t="s">
        <v>1282</v>
      </c>
      <c r="G953">
        <v>5</v>
      </c>
      <c r="H953" s="7">
        <v>164.88</v>
      </c>
      <c r="I953" t="s">
        <v>103</v>
      </c>
      <c r="J953" t="s">
        <v>22</v>
      </c>
      <c r="K953">
        <v>10</v>
      </c>
      <c r="L953" s="7">
        <f t="shared" si="43"/>
        <v>824.4</v>
      </c>
      <c r="M953" s="7"/>
      <c r="O953">
        <f t="shared" si="44"/>
        <v>2</v>
      </c>
      <c r="Q953" t="s">
        <v>104</v>
      </c>
    </row>
    <row r="954" spans="1:17" x14ac:dyDescent="0.3">
      <c r="A954" t="s">
        <v>1773</v>
      </c>
      <c r="B954" s="6">
        <v>45165</v>
      </c>
      <c r="C954" s="6" t="str">
        <f t="shared" si="42"/>
        <v>Aug</v>
      </c>
      <c r="D954" t="s">
        <v>1081</v>
      </c>
      <c r="E954" t="s">
        <v>31</v>
      </c>
      <c r="F954" t="s">
        <v>1693</v>
      </c>
      <c r="G954">
        <v>1</v>
      </c>
      <c r="H954" s="7">
        <v>445.06</v>
      </c>
      <c r="I954" t="s">
        <v>32</v>
      </c>
      <c r="J954" t="s">
        <v>87</v>
      </c>
      <c r="K954">
        <v>10</v>
      </c>
      <c r="L954" s="7">
        <f t="shared" si="43"/>
        <v>445.06</v>
      </c>
      <c r="M954" s="7"/>
      <c r="O954">
        <f t="shared" si="44"/>
        <v>2</v>
      </c>
      <c r="Q954" t="s">
        <v>33</v>
      </c>
    </row>
    <row r="955" spans="1:17" x14ac:dyDescent="0.3">
      <c r="A955" t="s">
        <v>1774</v>
      </c>
      <c r="B955" s="6">
        <v>44941</v>
      </c>
      <c r="C955" s="6" t="str">
        <f t="shared" si="42"/>
        <v>Jan</v>
      </c>
      <c r="D955" t="s">
        <v>1775</v>
      </c>
      <c r="E955" t="s">
        <v>19</v>
      </c>
      <c r="F955" t="s">
        <v>598</v>
      </c>
      <c r="G955">
        <v>5</v>
      </c>
      <c r="H955" s="7">
        <v>84.51</v>
      </c>
      <c r="I955" t="s">
        <v>46</v>
      </c>
      <c r="J955" t="s">
        <v>28</v>
      </c>
      <c r="K955">
        <v>0</v>
      </c>
      <c r="L955" s="7">
        <f t="shared" si="43"/>
        <v>422.55</v>
      </c>
      <c r="M955" s="7"/>
      <c r="O955">
        <f t="shared" si="44"/>
        <v>2</v>
      </c>
      <c r="Q955" t="s">
        <v>47</v>
      </c>
    </row>
    <row r="956" spans="1:17" x14ac:dyDescent="0.3">
      <c r="A956" t="s">
        <v>1776</v>
      </c>
      <c r="B956" s="6">
        <v>45108</v>
      </c>
      <c r="C956" s="6" t="str">
        <f t="shared" si="42"/>
        <v>Jul</v>
      </c>
      <c r="D956" t="s">
        <v>935</v>
      </c>
      <c r="E956" t="s">
        <v>50</v>
      </c>
      <c r="F956" t="s">
        <v>504</v>
      </c>
      <c r="G956">
        <v>1</v>
      </c>
      <c r="H956" s="7">
        <v>90.65</v>
      </c>
      <c r="I956" t="s">
        <v>19</v>
      </c>
      <c r="J956" t="s">
        <v>87</v>
      </c>
      <c r="K956">
        <v>15</v>
      </c>
      <c r="L956" s="7">
        <f t="shared" si="43"/>
        <v>90.65</v>
      </c>
      <c r="M956" s="7"/>
      <c r="O956">
        <f t="shared" si="44"/>
        <v>2</v>
      </c>
      <c r="Q956" t="s">
        <v>19</v>
      </c>
    </row>
    <row r="957" spans="1:17" x14ac:dyDescent="0.3">
      <c r="A957" t="s">
        <v>1777</v>
      </c>
      <c r="B957" s="6">
        <v>44989</v>
      </c>
      <c r="C957" s="6" t="str">
        <f t="shared" si="42"/>
        <v>Mar</v>
      </c>
      <c r="D957" t="s">
        <v>799</v>
      </c>
      <c r="E957" t="s">
        <v>62</v>
      </c>
      <c r="F957" t="s">
        <v>292</v>
      </c>
      <c r="G957">
        <v>4</v>
      </c>
      <c r="H957" s="7">
        <v>137.05000000000001</v>
      </c>
      <c r="I957" t="s">
        <v>46</v>
      </c>
      <c r="J957" t="s">
        <v>19</v>
      </c>
      <c r="K957">
        <v>15</v>
      </c>
      <c r="L957" s="7">
        <f t="shared" si="43"/>
        <v>548.20000000000005</v>
      </c>
      <c r="M957" s="7"/>
      <c r="O957">
        <f t="shared" si="44"/>
        <v>2</v>
      </c>
      <c r="Q957" t="s">
        <v>47</v>
      </c>
    </row>
    <row r="958" spans="1:17" x14ac:dyDescent="0.3">
      <c r="A958" t="s">
        <v>1778</v>
      </c>
      <c r="B958" s="6">
        <v>45019</v>
      </c>
      <c r="C958" s="6" t="str">
        <f t="shared" si="42"/>
        <v>Apr</v>
      </c>
      <c r="D958" t="s">
        <v>1779</v>
      </c>
      <c r="E958" t="s">
        <v>50</v>
      </c>
      <c r="F958" t="s">
        <v>598</v>
      </c>
      <c r="G958">
        <v>9</v>
      </c>
      <c r="H958" s="7">
        <v>64.17</v>
      </c>
      <c r="I958" t="s">
        <v>32</v>
      </c>
      <c r="J958" t="s">
        <v>72</v>
      </c>
      <c r="K958">
        <v>15</v>
      </c>
      <c r="L958" s="7">
        <f t="shared" si="43"/>
        <v>577.53</v>
      </c>
      <c r="M958" s="7"/>
      <c r="O958">
        <f t="shared" si="44"/>
        <v>2</v>
      </c>
      <c r="Q958" t="s">
        <v>33</v>
      </c>
    </row>
    <row r="959" spans="1:17" x14ac:dyDescent="0.3">
      <c r="A959" t="s">
        <v>1780</v>
      </c>
      <c r="B959" s="6">
        <v>45018</v>
      </c>
      <c r="C959" s="6" t="str">
        <f t="shared" si="42"/>
        <v>Apr</v>
      </c>
      <c r="D959" t="s">
        <v>1781</v>
      </c>
      <c r="E959" t="s">
        <v>26</v>
      </c>
      <c r="F959" t="s">
        <v>708</v>
      </c>
      <c r="G959">
        <v>1</v>
      </c>
      <c r="H959" s="7">
        <v>119.01</v>
      </c>
      <c r="I959" t="s">
        <v>32</v>
      </c>
      <c r="J959" t="s">
        <v>28</v>
      </c>
      <c r="K959">
        <v>0</v>
      </c>
      <c r="L959" s="7">
        <f t="shared" si="43"/>
        <v>119.01</v>
      </c>
      <c r="M959" s="7"/>
      <c r="O959">
        <f t="shared" si="44"/>
        <v>2</v>
      </c>
      <c r="Q959" t="s">
        <v>33</v>
      </c>
    </row>
    <row r="960" spans="1:17" x14ac:dyDescent="0.3">
      <c r="A960" t="s">
        <v>1782</v>
      </c>
      <c r="B960" s="6">
        <v>45282</v>
      </c>
      <c r="C960" s="6" t="str">
        <f t="shared" si="42"/>
        <v>Dec</v>
      </c>
      <c r="D960" t="s">
        <v>860</v>
      </c>
      <c r="E960" t="s">
        <v>19</v>
      </c>
      <c r="F960" t="s">
        <v>1618</v>
      </c>
      <c r="G960">
        <v>5</v>
      </c>
      <c r="H960" s="7">
        <v>57.67</v>
      </c>
      <c r="I960" t="s">
        <v>21</v>
      </c>
      <c r="J960" t="s">
        <v>22</v>
      </c>
      <c r="K960">
        <v>10</v>
      </c>
      <c r="L960" s="7">
        <f t="shared" si="43"/>
        <v>288.35000000000002</v>
      </c>
      <c r="M960" s="7"/>
      <c r="O960">
        <f t="shared" si="44"/>
        <v>2</v>
      </c>
      <c r="Q960" t="s">
        <v>23</v>
      </c>
    </row>
    <row r="961" spans="1:17" x14ac:dyDescent="0.3">
      <c r="A961" t="s">
        <v>1783</v>
      </c>
      <c r="B961" s="6">
        <v>45147</v>
      </c>
      <c r="C961" s="6" t="str">
        <f t="shared" si="42"/>
        <v>Aug</v>
      </c>
      <c r="D961" t="s">
        <v>793</v>
      </c>
      <c r="E961" t="s">
        <v>26</v>
      </c>
      <c r="F961" t="s">
        <v>822</v>
      </c>
      <c r="G961">
        <v>6</v>
      </c>
      <c r="H961" s="7">
        <v>411.77</v>
      </c>
      <c r="I961" t="s">
        <v>19</v>
      </c>
      <c r="J961" t="s">
        <v>87</v>
      </c>
      <c r="K961">
        <v>10</v>
      </c>
      <c r="L961" s="7">
        <f t="shared" si="43"/>
        <v>2470.62</v>
      </c>
      <c r="M961" s="7"/>
      <c r="O961">
        <f t="shared" si="44"/>
        <v>2</v>
      </c>
      <c r="Q961" t="s">
        <v>19</v>
      </c>
    </row>
    <row r="962" spans="1:17" x14ac:dyDescent="0.3">
      <c r="A962" t="s">
        <v>1784</v>
      </c>
      <c r="B962" s="6">
        <v>45226</v>
      </c>
      <c r="C962" s="6" t="str">
        <f t="shared" si="42"/>
        <v>Oct</v>
      </c>
      <c r="D962" t="s">
        <v>74</v>
      </c>
      <c r="E962" t="s">
        <v>26</v>
      </c>
      <c r="F962" t="s">
        <v>856</v>
      </c>
      <c r="G962">
        <v>6</v>
      </c>
      <c r="H962" s="7">
        <v>73.790000000000006</v>
      </c>
      <c r="I962" t="s">
        <v>32</v>
      </c>
      <c r="J962" t="s">
        <v>28</v>
      </c>
      <c r="K962">
        <v>15</v>
      </c>
      <c r="L962" s="7">
        <f t="shared" si="43"/>
        <v>442.74</v>
      </c>
      <c r="M962" s="7"/>
      <c r="O962">
        <f t="shared" si="44"/>
        <v>2</v>
      </c>
      <c r="Q962" t="s">
        <v>33</v>
      </c>
    </row>
    <row r="963" spans="1:17" x14ac:dyDescent="0.3">
      <c r="A963" t="s">
        <v>1785</v>
      </c>
      <c r="B963" s="6">
        <v>45139</v>
      </c>
      <c r="C963" s="6" t="str">
        <f t="shared" ref="C963:C1026" si="45">TEXT(B963,"MMM")</f>
        <v>Aug</v>
      </c>
      <c r="D963" t="s">
        <v>1786</v>
      </c>
      <c r="E963" t="s">
        <v>26</v>
      </c>
      <c r="F963" t="s">
        <v>434</v>
      </c>
      <c r="G963">
        <v>8</v>
      </c>
      <c r="H963" s="7">
        <v>374.91</v>
      </c>
      <c r="I963" t="s">
        <v>64</v>
      </c>
      <c r="J963" t="s">
        <v>87</v>
      </c>
      <c r="K963">
        <v>0</v>
      </c>
      <c r="L963" s="7">
        <f t="shared" ref="L963:L1026" si="46">G963*H963</f>
        <v>2999.28</v>
      </c>
      <c r="M963" s="7"/>
      <c r="O963">
        <f t="shared" si="44"/>
        <v>3</v>
      </c>
      <c r="Q963" t="s">
        <v>65</v>
      </c>
    </row>
    <row r="964" spans="1:17" x14ac:dyDescent="0.3">
      <c r="A964" t="s">
        <v>1787</v>
      </c>
      <c r="B964" s="6">
        <v>44961</v>
      </c>
      <c r="C964" s="6" t="str">
        <f t="shared" si="45"/>
        <v>Feb</v>
      </c>
      <c r="D964" t="s">
        <v>74</v>
      </c>
      <c r="E964" t="s">
        <v>50</v>
      </c>
      <c r="F964" t="s">
        <v>234</v>
      </c>
      <c r="G964">
        <v>1</v>
      </c>
      <c r="H964" s="7">
        <v>28.72</v>
      </c>
      <c r="I964" t="s">
        <v>64</v>
      </c>
      <c r="J964" t="s">
        <v>42</v>
      </c>
      <c r="K964">
        <v>5</v>
      </c>
      <c r="L964" s="7">
        <f t="shared" si="46"/>
        <v>28.72</v>
      </c>
      <c r="M964" s="7"/>
      <c r="O964">
        <f t="shared" ref="O964:O1027" si="47">IF(L964&gt;3500,5,IF(L964&gt;3000,4,IF(L964&gt;2500,3,IF(L964&gt;2000,2,IF(L964&gt;1000,2,2)))))</f>
        <v>2</v>
      </c>
      <c r="Q964" t="s">
        <v>65</v>
      </c>
    </row>
    <row r="965" spans="1:17" x14ac:dyDescent="0.3">
      <c r="A965" t="s">
        <v>1788</v>
      </c>
      <c r="B965" s="6">
        <v>45271</v>
      </c>
      <c r="C965" s="6" t="str">
        <f t="shared" si="45"/>
        <v>Dec</v>
      </c>
      <c r="D965" t="s">
        <v>652</v>
      </c>
      <c r="E965" t="s">
        <v>19</v>
      </c>
      <c r="F965" t="s">
        <v>237</v>
      </c>
      <c r="G965">
        <v>7</v>
      </c>
      <c r="H965" s="7">
        <v>474.52</v>
      </c>
      <c r="I965" t="s">
        <v>21</v>
      </c>
      <c r="J965" t="s">
        <v>72</v>
      </c>
      <c r="K965">
        <v>0</v>
      </c>
      <c r="L965" s="7">
        <f t="shared" si="46"/>
        <v>3321.64</v>
      </c>
      <c r="M965" s="7"/>
      <c r="O965">
        <f t="shared" si="47"/>
        <v>4</v>
      </c>
      <c r="Q965" t="s">
        <v>23</v>
      </c>
    </row>
    <row r="966" spans="1:17" x14ac:dyDescent="0.3">
      <c r="A966" t="s">
        <v>1789</v>
      </c>
      <c r="B966" s="6">
        <v>45133</v>
      </c>
      <c r="C966" s="6" t="str">
        <f t="shared" si="45"/>
        <v>Jul</v>
      </c>
      <c r="D966" t="s">
        <v>852</v>
      </c>
      <c r="E966" t="s">
        <v>50</v>
      </c>
      <c r="F966" t="s">
        <v>267</v>
      </c>
      <c r="G966">
        <v>1</v>
      </c>
      <c r="H966" s="7">
        <v>357.02</v>
      </c>
      <c r="I966" t="s">
        <v>21</v>
      </c>
      <c r="J966" t="s">
        <v>19</v>
      </c>
      <c r="K966">
        <v>0</v>
      </c>
      <c r="L966" s="7">
        <f t="shared" si="46"/>
        <v>357.02</v>
      </c>
      <c r="M966" s="7"/>
      <c r="O966">
        <f t="shared" si="47"/>
        <v>2</v>
      </c>
      <c r="Q966" t="s">
        <v>23</v>
      </c>
    </row>
    <row r="967" spans="1:17" x14ac:dyDescent="0.3">
      <c r="A967" t="s">
        <v>1790</v>
      </c>
      <c r="B967" s="6">
        <v>45186</v>
      </c>
      <c r="C967" s="6" t="str">
        <f t="shared" si="45"/>
        <v>Sep</v>
      </c>
      <c r="D967" t="s">
        <v>1015</v>
      </c>
      <c r="E967" t="s">
        <v>62</v>
      </c>
      <c r="F967" t="s">
        <v>201</v>
      </c>
      <c r="G967">
        <v>7</v>
      </c>
      <c r="H967" s="7">
        <v>8.36</v>
      </c>
      <c r="I967" t="s">
        <v>46</v>
      </c>
      <c r="J967" t="s">
        <v>42</v>
      </c>
      <c r="K967">
        <v>0</v>
      </c>
      <c r="L967" s="7">
        <f t="shared" si="46"/>
        <v>58.519999999999996</v>
      </c>
      <c r="M967" s="7"/>
      <c r="O967">
        <f t="shared" si="47"/>
        <v>2</v>
      </c>
      <c r="Q967" t="s">
        <v>47</v>
      </c>
    </row>
    <row r="968" spans="1:17" x14ac:dyDescent="0.3">
      <c r="A968" t="s">
        <v>1791</v>
      </c>
      <c r="B968" s="6">
        <v>45085</v>
      </c>
      <c r="C968" s="6" t="str">
        <f t="shared" si="45"/>
        <v>Jun</v>
      </c>
      <c r="D968" t="s">
        <v>1792</v>
      </c>
      <c r="E968" t="s">
        <v>19</v>
      </c>
      <c r="F968" t="s">
        <v>170</v>
      </c>
      <c r="G968">
        <v>3</v>
      </c>
      <c r="H968" s="7">
        <v>383.11</v>
      </c>
      <c r="I968" t="s">
        <v>103</v>
      </c>
      <c r="J968" t="s">
        <v>22</v>
      </c>
      <c r="K968">
        <v>15</v>
      </c>
      <c r="L968" s="7">
        <f t="shared" si="46"/>
        <v>1149.33</v>
      </c>
      <c r="M968" s="7"/>
      <c r="O968">
        <f t="shared" si="47"/>
        <v>2</v>
      </c>
      <c r="Q968" t="s">
        <v>104</v>
      </c>
    </row>
    <row r="969" spans="1:17" x14ac:dyDescent="0.3">
      <c r="A969" t="s">
        <v>1793</v>
      </c>
      <c r="B969" s="6">
        <v>44945</v>
      </c>
      <c r="C969" s="6" t="str">
        <f t="shared" si="45"/>
        <v>Jan</v>
      </c>
      <c r="D969" t="s">
        <v>828</v>
      </c>
      <c r="E969" t="s">
        <v>50</v>
      </c>
      <c r="F969" t="s">
        <v>316</v>
      </c>
      <c r="G969">
        <v>5</v>
      </c>
      <c r="H969" s="7">
        <v>259.47000000000003</v>
      </c>
      <c r="I969" t="s">
        <v>21</v>
      </c>
      <c r="J969" t="s">
        <v>19</v>
      </c>
      <c r="K969">
        <v>0</v>
      </c>
      <c r="L969" s="7">
        <f t="shared" si="46"/>
        <v>1297.3500000000001</v>
      </c>
      <c r="M969" s="7"/>
      <c r="O969">
        <f t="shared" si="47"/>
        <v>2</v>
      </c>
      <c r="Q969" t="s">
        <v>23</v>
      </c>
    </row>
    <row r="970" spans="1:17" x14ac:dyDescent="0.3">
      <c r="A970" t="s">
        <v>1794</v>
      </c>
      <c r="B970" s="6">
        <v>45150</v>
      </c>
      <c r="C970" s="6" t="str">
        <f t="shared" si="45"/>
        <v>Aug</v>
      </c>
      <c r="D970" t="s">
        <v>1795</v>
      </c>
      <c r="E970" t="s">
        <v>26</v>
      </c>
      <c r="F970" t="s">
        <v>698</v>
      </c>
      <c r="G970">
        <v>3</v>
      </c>
      <c r="H970" s="7">
        <v>252.16</v>
      </c>
      <c r="I970" t="s">
        <v>32</v>
      </c>
      <c r="J970" t="s">
        <v>42</v>
      </c>
      <c r="K970">
        <v>5</v>
      </c>
      <c r="L970" s="7">
        <f t="shared" si="46"/>
        <v>756.48</v>
      </c>
      <c r="M970" s="7"/>
      <c r="O970">
        <f t="shared" si="47"/>
        <v>2</v>
      </c>
      <c r="Q970" t="s">
        <v>33</v>
      </c>
    </row>
    <row r="971" spans="1:17" x14ac:dyDescent="0.3">
      <c r="A971" t="s">
        <v>1796</v>
      </c>
      <c r="B971" s="6">
        <v>45025</v>
      </c>
      <c r="C971" s="6" t="str">
        <f t="shared" si="45"/>
        <v>Apr</v>
      </c>
      <c r="D971" t="s">
        <v>972</v>
      </c>
      <c r="E971" t="s">
        <v>62</v>
      </c>
      <c r="F971" t="s">
        <v>665</v>
      </c>
      <c r="G971">
        <v>1</v>
      </c>
      <c r="H971" s="7">
        <v>263.64</v>
      </c>
      <c r="I971" t="s">
        <v>64</v>
      </c>
      <c r="J971" t="s">
        <v>22</v>
      </c>
      <c r="K971">
        <v>15</v>
      </c>
      <c r="L971" s="7">
        <f t="shared" si="46"/>
        <v>263.64</v>
      </c>
      <c r="M971" s="7"/>
      <c r="O971">
        <f t="shared" si="47"/>
        <v>2</v>
      </c>
      <c r="Q971" t="s">
        <v>65</v>
      </c>
    </row>
    <row r="972" spans="1:17" x14ac:dyDescent="0.3">
      <c r="A972" t="s">
        <v>1797</v>
      </c>
      <c r="B972" s="6">
        <v>45254</v>
      </c>
      <c r="C972" s="6" t="str">
        <f t="shared" si="45"/>
        <v>Nov</v>
      </c>
      <c r="D972" t="s">
        <v>1017</v>
      </c>
      <c r="E972" t="s">
        <v>40</v>
      </c>
      <c r="F972" t="s">
        <v>137</v>
      </c>
      <c r="G972">
        <v>8</v>
      </c>
      <c r="H972" s="7">
        <v>322.31</v>
      </c>
      <c r="I972" t="s">
        <v>46</v>
      </c>
      <c r="J972" t="s">
        <v>22</v>
      </c>
      <c r="K972">
        <v>5</v>
      </c>
      <c r="L972" s="7">
        <f t="shared" si="46"/>
        <v>2578.48</v>
      </c>
      <c r="M972" s="7"/>
      <c r="O972">
        <f t="shared" si="47"/>
        <v>3</v>
      </c>
      <c r="Q972" t="s">
        <v>47</v>
      </c>
    </row>
    <row r="973" spans="1:17" x14ac:dyDescent="0.3">
      <c r="A973" t="s">
        <v>1798</v>
      </c>
      <c r="B973" s="6">
        <v>45017</v>
      </c>
      <c r="C973" s="6" t="str">
        <f t="shared" si="45"/>
        <v>Apr</v>
      </c>
      <c r="D973" t="s">
        <v>1799</v>
      </c>
      <c r="E973" t="s">
        <v>26</v>
      </c>
      <c r="F973" t="s">
        <v>248</v>
      </c>
      <c r="G973">
        <v>3</v>
      </c>
      <c r="H973" s="7">
        <v>394.23</v>
      </c>
      <c r="I973" t="s">
        <v>103</v>
      </c>
      <c r="J973" t="s">
        <v>19</v>
      </c>
      <c r="K973">
        <v>20</v>
      </c>
      <c r="L973" s="7">
        <f t="shared" si="46"/>
        <v>1182.69</v>
      </c>
      <c r="M973" s="7"/>
      <c r="O973">
        <f t="shared" si="47"/>
        <v>2</v>
      </c>
      <c r="Q973" t="s">
        <v>104</v>
      </c>
    </row>
    <row r="974" spans="1:17" x14ac:dyDescent="0.3">
      <c r="A974" t="s">
        <v>1800</v>
      </c>
      <c r="B974" s="6">
        <v>44954</v>
      </c>
      <c r="C974" s="6" t="str">
        <f t="shared" si="45"/>
        <v>Jan</v>
      </c>
      <c r="D974" t="s">
        <v>1801</v>
      </c>
      <c r="E974" t="s">
        <v>50</v>
      </c>
      <c r="F974" t="s">
        <v>344</v>
      </c>
      <c r="G974">
        <v>2</v>
      </c>
      <c r="H974" s="7">
        <v>205.53</v>
      </c>
      <c r="I974" t="s">
        <v>19</v>
      </c>
      <c r="J974" t="s">
        <v>42</v>
      </c>
      <c r="K974">
        <v>0</v>
      </c>
      <c r="L974" s="7">
        <f t="shared" si="46"/>
        <v>411.06</v>
      </c>
      <c r="M974" s="7"/>
      <c r="O974">
        <f t="shared" si="47"/>
        <v>2</v>
      </c>
      <c r="Q974" t="s">
        <v>19</v>
      </c>
    </row>
    <row r="975" spans="1:17" x14ac:dyDescent="0.3">
      <c r="A975" t="s">
        <v>1802</v>
      </c>
      <c r="B975" s="6">
        <v>44991</v>
      </c>
      <c r="C975" s="6" t="str">
        <f t="shared" si="45"/>
        <v>Mar</v>
      </c>
      <c r="D975" t="s">
        <v>127</v>
      </c>
      <c r="E975" t="s">
        <v>31</v>
      </c>
      <c r="F975" t="s">
        <v>706</v>
      </c>
      <c r="G975">
        <v>1</v>
      </c>
      <c r="H975" s="7">
        <v>6.34</v>
      </c>
      <c r="I975" t="s">
        <v>64</v>
      </c>
      <c r="J975" t="s">
        <v>19</v>
      </c>
      <c r="K975">
        <v>10</v>
      </c>
      <c r="L975" s="7">
        <f t="shared" si="46"/>
        <v>6.34</v>
      </c>
      <c r="M975" s="7"/>
      <c r="O975">
        <f t="shared" si="47"/>
        <v>2</v>
      </c>
      <c r="Q975" t="s">
        <v>65</v>
      </c>
    </row>
    <row r="976" spans="1:17" x14ac:dyDescent="0.3">
      <c r="A976" t="s">
        <v>1803</v>
      </c>
      <c r="B976" s="6">
        <v>45132</v>
      </c>
      <c r="C976" s="6" t="str">
        <f t="shared" si="45"/>
        <v>Jul</v>
      </c>
      <c r="D976" t="s">
        <v>1380</v>
      </c>
      <c r="E976" t="s">
        <v>31</v>
      </c>
      <c r="F976" t="s">
        <v>1302</v>
      </c>
      <c r="G976">
        <v>3</v>
      </c>
      <c r="H976" s="7">
        <v>425.72</v>
      </c>
      <c r="I976" t="s">
        <v>103</v>
      </c>
      <c r="J976" t="s">
        <v>19</v>
      </c>
      <c r="K976">
        <v>10</v>
      </c>
      <c r="L976" s="7">
        <f t="shared" si="46"/>
        <v>1277.1600000000001</v>
      </c>
      <c r="M976" s="7"/>
      <c r="O976">
        <f t="shared" si="47"/>
        <v>2</v>
      </c>
      <c r="Q976" t="s">
        <v>104</v>
      </c>
    </row>
    <row r="977" spans="1:17" x14ac:dyDescent="0.3">
      <c r="A977" t="s">
        <v>1804</v>
      </c>
      <c r="B977" s="6">
        <v>45039</v>
      </c>
      <c r="C977" s="6" t="str">
        <f t="shared" si="45"/>
        <v>Apr</v>
      </c>
      <c r="D977" t="s">
        <v>1177</v>
      </c>
      <c r="E977" t="s">
        <v>26</v>
      </c>
      <c r="F977" t="s">
        <v>81</v>
      </c>
      <c r="G977">
        <v>2</v>
      </c>
      <c r="H977" s="7">
        <v>193.54</v>
      </c>
      <c r="I977" t="s">
        <v>32</v>
      </c>
      <c r="J977" t="s">
        <v>72</v>
      </c>
      <c r="K977">
        <v>15</v>
      </c>
      <c r="L977" s="7">
        <f t="shared" si="46"/>
        <v>387.08</v>
      </c>
      <c r="M977" s="7"/>
      <c r="O977">
        <f t="shared" si="47"/>
        <v>2</v>
      </c>
      <c r="Q977" t="s">
        <v>33</v>
      </c>
    </row>
    <row r="978" spans="1:17" x14ac:dyDescent="0.3">
      <c r="A978" t="s">
        <v>1805</v>
      </c>
      <c r="B978" s="6">
        <v>45210</v>
      </c>
      <c r="C978" s="6" t="str">
        <f t="shared" si="45"/>
        <v>Oct</v>
      </c>
      <c r="D978" t="s">
        <v>1806</v>
      </c>
      <c r="E978" t="s">
        <v>31</v>
      </c>
      <c r="F978" t="s">
        <v>257</v>
      </c>
      <c r="G978">
        <v>2</v>
      </c>
      <c r="H978" s="7">
        <v>250.54</v>
      </c>
      <c r="I978" t="s">
        <v>21</v>
      </c>
      <c r="J978" t="s">
        <v>22</v>
      </c>
      <c r="K978">
        <v>10</v>
      </c>
      <c r="L978" s="7">
        <f t="shared" si="46"/>
        <v>501.08</v>
      </c>
      <c r="M978" s="7"/>
      <c r="O978">
        <f t="shared" si="47"/>
        <v>2</v>
      </c>
      <c r="Q978" t="s">
        <v>23</v>
      </c>
    </row>
    <row r="979" spans="1:17" x14ac:dyDescent="0.3">
      <c r="A979" t="s">
        <v>1807</v>
      </c>
      <c r="B979" s="6">
        <v>45048</v>
      </c>
      <c r="C979" s="6" t="str">
        <f t="shared" si="45"/>
        <v>May</v>
      </c>
      <c r="D979" t="s">
        <v>74</v>
      </c>
      <c r="E979" t="s">
        <v>31</v>
      </c>
      <c r="F979" t="s">
        <v>273</v>
      </c>
      <c r="G979">
        <v>6</v>
      </c>
      <c r="H979" s="7">
        <v>8.84</v>
      </c>
      <c r="I979" t="s">
        <v>21</v>
      </c>
      <c r="J979" t="s">
        <v>72</v>
      </c>
      <c r="K979">
        <v>15</v>
      </c>
      <c r="L979" s="7">
        <f t="shared" si="46"/>
        <v>53.04</v>
      </c>
      <c r="M979" s="7"/>
      <c r="O979">
        <f t="shared" si="47"/>
        <v>2</v>
      </c>
      <c r="Q979" t="s">
        <v>23</v>
      </c>
    </row>
    <row r="980" spans="1:17" x14ac:dyDescent="0.3">
      <c r="A980" t="s">
        <v>1808</v>
      </c>
      <c r="B980" s="6">
        <v>45228</v>
      </c>
      <c r="C980" s="6" t="str">
        <f t="shared" si="45"/>
        <v>Oct</v>
      </c>
      <c r="D980" t="s">
        <v>1809</v>
      </c>
      <c r="E980" t="s">
        <v>50</v>
      </c>
      <c r="F980" t="s">
        <v>1142</v>
      </c>
      <c r="G980">
        <v>1</v>
      </c>
      <c r="H980" s="7">
        <v>248.59</v>
      </c>
      <c r="I980" t="s">
        <v>103</v>
      </c>
      <c r="J980" t="s">
        <v>72</v>
      </c>
      <c r="K980">
        <v>0</v>
      </c>
      <c r="L980" s="7">
        <f t="shared" si="46"/>
        <v>248.59</v>
      </c>
      <c r="M980" s="7"/>
      <c r="O980">
        <f t="shared" si="47"/>
        <v>2</v>
      </c>
      <c r="Q980" t="s">
        <v>104</v>
      </c>
    </row>
    <row r="981" spans="1:17" x14ac:dyDescent="0.3">
      <c r="A981" t="s">
        <v>1810</v>
      </c>
      <c r="B981" s="6">
        <v>45137</v>
      </c>
      <c r="C981" s="6" t="str">
        <f t="shared" si="45"/>
        <v>Jul</v>
      </c>
      <c r="D981" t="s">
        <v>501</v>
      </c>
      <c r="E981" t="s">
        <v>62</v>
      </c>
      <c r="F981" t="s">
        <v>148</v>
      </c>
      <c r="G981">
        <v>2</v>
      </c>
      <c r="H981" s="7">
        <v>493.31</v>
      </c>
      <c r="I981" t="s">
        <v>64</v>
      </c>
      <c r="J981" t="s">
        <v>22</v>
      </c>
      <c r="K981">
        <v>10</v>
      </c>
      <c r="L981" s="7">
        <f t="shared" si="46"/>
        <v>986.62</v>
      </c>
      <c r="M981" s="7"/>
      <c r="O981">
        <f t="shared" si="47"/>
        <v>2</v>
      </c>
      <c r="Q981" t="s">
        <v>65</v>
      </c>
    </row>
    <row r="982" spans="1:17" x14ac:dyDescent="0.3">
      <c r="A982" t="s">
        <v>1811</v>
      </c>
      <c r="B982" s="6">
        <v>45263</v>
      </c>
      <c r="C982" s="6" t="str">
        <f t="shared" si="45"/>
        <v>Dec</v>
      </c>
      <c r="D982" t="s">
        <v>1812</v>
      </c>
      <c r="E982" t="s">
        <v>31</v>
      </c>
      <c r="F982" t="s">
        <v>807</v>
      </c>
      <c r="G982">
        <v>6</v>
      </c>
      <c r="H982" s="7">
        <v>142.74</v>
      </c>
      <c r="I982" t="s">
        <v>32</v>
      </c>
      <c r="J982" t="s">
        <v>28</v>
      </c>
      <c r="K982">
        <v>10</v>
      </c>
      <c r="L982" s="7">
        <f t="shared" si="46"/>
        <v>856.44</v>
      </c>
      <c r="M982" s="7"/>
      <c r="O982">
        <f t="shared" si="47"/>
        <v>2</v>
      </c>
      <c r="Q982" t="s">
        <v>33</v>
      </c>
    </row>
    <row r="983" spans="1:17" x14ac:dyDescent="0.3">
      <c r="A983" t="s">
        <v>1813</v>
      </c>
      <c r="B983" s="6">
        <v>45151</v>
      </c>
      <c r="C983" s="6" t="str">
        <f t="shared" si="45"/>
        <v>Aug</v>
      </c>
      <c r="D983" t="s">
        <v>555</v>
      </c>
      <c r="E983" t="s">
        <v>31</v>
      </c>
      <c r="F983" t="s">
        <v>128</v>
      </c>
      <c r="G983">
        <v>3</v>
      </c>
      <c r="H983" s="7">
        <v>200.73</v>
      </c>
      <c r="I983" t="s">
        <v>46</v>
      </c>
      <c r="J983" t="s">
        <v>22</v>
      </c>
      <c r="K983">
        <v>5</v>
      </c>
      <c r="L983" s="7">
        <f t="shared" si="46"/>
        <v>602.18999999999994</v>
      </c>
      <c r="M983" s="7"/>
      <c r="O983">
        <f t="shared" si="47"/>
        <v>2</v>
      </c>
      <c r="Q983" t="s">
        <v>47</v>
      </c>
    </row>
    <row r="984" spans="1:17" x14ac:dyDescent="0.3">
      <c r="A984" t="s">
        <v>1814</v>
      </c>
      <c r="B984" s="6">
        <v>45242</v>
      </c>
      <c r="C984" s="6" t="str">
        <f t="shared" si="45"/>
        <v>Nov</v>
      </c>
      <c r="D984" t="s">
        <v>1079</v>
      </c>
      <c r="E984" t="s">
        <v>50</v>
      </c>
      <c r="F984" t="s">
        <v>432</v>
      </c>
      <c r="G984">
        <v>4</v>
      </c>
      <c r="H984" s="7">
        <v>345.16</v>
      </c>
      <c r="I984" t="s">
        <v>21</v>
      </c>
      <c r="J984" t="s">
        <v>22</v>
      </c>
      <c r="K984">
        <v>0</v>
      </c>
      <c r="L984" s="7">
        <f t="shared" si="46"/>
        <v>1380.64</v>
      </c>
      <c r="M984" s="7"/>
      <c r="O984">
        <f t="shared" si="47"/>
        <v>2</v>
      </c>
      <c r="Q984" t="s">
        <v>23</v>
      </c>
    </row>
    <row r="985" spans="1:17" x14ac:dyDescent="0.3">
      <c r="A985" t="s">
        <v>1815</v>
      </c>
      <c r="B985" s="6">
        <v>45182</v>
      </c>
      <c r="C985" s="6" t="str">
        <f t="shared" si="45"/>
        <v>Sep</v>
      </c>
      <c r="D985" t="s">
        <v>1451</v>
      </c>
      <c r="E985" t="s">
        <v>36</v>
      </c>
      <c r="F985" t="s">
        <v>41</v>
      </c>
      <c r="G985">
        <v>1</v>
      </c>
      <c r="H985" s="7">
        <v>408.32</v>
      </c>
      <c r="I985" t="s">
        <v>103</v>
      </c>
      <c r="J985" t="s">
        <v>28</v>
      </c>
      <c r="K985">
        <v>10</v>
      </c>
      <c r="L985" s="7">
        <f t="shared" si="46"/>
        <v>408.32</v>
      </c>
      <c r="M985" s="7"/>
      <c r="O985">
        <f t="shared" si="47"/>
        <v>2</v>
      </c>
      <c r="Q985" t="s">
        <v>104</v>
      </c>
    </row>
    <row r="986" spans="1:17" x14ac:dyDescent="0.3">
      <c r="A986" t="s">
        <v>1816</v>
      </c>
      <c r="B986" s="6">
        <v>45043</v>
      </c>
      <c r="C986" s="6" t="str">
        <f t="shared" si="45"/>
        <v>Apr</v>
      </c>
      <c r="D986" t="s">
        <v>1740</v>
      </c>
      <c r="E986" t="s">
        <v>26</v>
      </c>
      <c r="F986" t="s">
        <v>211</v>
      </c>
      <c r="G986">
        <v>8</v>
      </c>
      <c r="H986" s="7">
        <v>211.61</v>
      </c>
      <c r="I986" t="s">
        <v>46</v>
      </c>
      <c r="J986" t="s">
        <v>22</v>
      </c>
      <c r="K986">
        <v>0</v>
      </c>
      <c r="L986" s="7">
        <f t="shared" si="46"/>
        <v>1692.88</v>
      </c>
      <c r="M986" s="7"/>
      <c r="O986">
        <f t="shared" si="47"/>
        <v>2</v>
      </c>
      <c r="Q986" t="s">
        <v>47</v>
      </c>
    </row>
    <row r="987" spans="1:17" x14ac:dyDescent="0.3">
      <c r="A987" t="s">
        <v>1817</v>
      </c>
      <c r="B987" s="6">
        <v>44970</v>
      </c>
      <c r="C987" s="6" t="str">
        <f t="shared" si="45"/>
        <v>Feb</v>
      </c>
      <c r="D987" t="s">
        <v>1818</v>
      </c>
      <c r="E987" t="s">
        <v>19</v>
      </c>
      <c r="F987" t="s">
        <v>165</v>
      </c>
      <c r="G987">
        <v>7</v>
      </c>
      <c r="H987" s="7">
        <v>158.29</v>
      </c>
      <c r="I987" t="s">
        <v>46</v>
      </c>
      <c r="J987" t="s">
        <v>22</v>
      </c>
      <c r="K987">
        <v>20</v>
      </c>
      <c r="L987" s="7">
        <f t="shared" si="46"/>
        <v>1108.03</v>
      </c>
      <c r="M987" s="7"/>
      <c r="O987">
        <f t="shared" si="47"/>
        <v>2</v>
      </c>
      <c r="Q987" t="s">
        <v>47</v>
      </c>
    </row>
    <row r="988" spans="1:17" x14ac:dyDescent="0.3">
      <c r="A988" t="s">
        <v>1819</v>
      </c>
      <c r="B988" s="6">
        <v>45046</v>
      </c>
      <c r="C988" s="6" t="str">
        <f t="shared" si="45"/>
        <v>Apr</v>
      </c>
      <c r="D988" t="s">
        <v>454</v>
      </c>
      <c r="E988" t="s">
        <v>40</v>
      </c>
      <c r="F988" t="s">
        <v>78</v>
      </c>
      <c r="G988">
        <v>7</v>
      </c>
      <c r="H988" s="7">
        <v>469.22</v>
      </c>
      <c r="I988" t="s">
        <v>32</v>
      </c>
      <c r="J988" t="s">
        <v>42</v>
      </c>
      <c r="K988">
        <v>10</v>
      </c>
      <c r="L988" s="7">
        <f t="shared" si="46"/>
        <v>3284.54</v>
      </c>
      <c r="M988" s="7"/>
      <c r="O988">
        <f t="shared" si="47"/>
        <v>4</v>
      </c>
      <c r="Q988" t="s">
        <v>33</v>
      </c>
    </row>
    <row r="989" spans="1:17" x14ac:dyDescent="0.3">
      <c r="A989" t="s">
        <v>1820</v>
      </c>
      <c r="B989" s="6">
        <v>44960</v>
      </c>
      <c r="C989" s="6" t="str">
        <f t="shared" si="45"/>
        <v>Feb</v>
      </c>
      <c r="D989" t="s">
        <v>1821</v>
      </c>
      <c r="E989" t="s">
        <v>40</v>
      </c>
      <c r="F989" t="s">
        <v>598</v>
      </c>
      <c r="G989">
        <v>3</v>
      </c>
      <c r="H989" s="7">
        <v>340.19</v>
      </c>
      <c r="I989" t="s">
        <v>21</v>
      </c>
      <c r="J989" t="s">
        <v>72</v>
      </c>
      <c r="K989">
        <v>10</v>
      </c>
      <c r="L989" s="7">
        <f t="shared" si="46"/>
        <v>1020.5699999999999</v>
      </c>
      <c r="M989" s="7"/>
      <c r="O989">
        <f t="shared" si="47"/>
        <v>2</v>
      </c>
      <c r="Q989" t="s">
        <v>23</v>
      </c>
    </row>
    <row r="990" spans="1:17" x14ac:dyDescent="0.3">
      <c r="A990" t="s">
        <v>1822</v>
      </c>
      <c r="B990" s="6">
        <v>45266</v>
      </c>
      <c r="C990" s="6" t="str">
        <f t="shared" si="45"/>
        <v>Dec</v>
      </c>
      <c r="D990" t="s">
        <v>621</v>
      </c>
      <c r="E990" t="s">
        <v>36</v>
      </c>
      <c r="F990" t="s">
        <v>319</v>
      </c>
      <c r="G990">
        <v>3</v>
      </c>
      <c r="H990" s="7">
        <v>63.92</v>
      </c>
      <c r="I990" t="s">
        <v>64</v>
      </c>
      <c r="J990" t="s">
        <v>22</v>
      </c>
      <c r="K990">
        <v>10</v>
      </c>
      <c r="L990" s="7">
        <f t="shared" si="46"/>
        <v>191.76</v>
      </c>
      <c r="M990" s="7"/>
      <c r="O990">
        <f t="shared" si="47"/>
        <v>2</v>
      </c>
      <c r="Q990" t="s">
        <v>65</v>
      </c>
    </row>
    <row r="991" spans="1:17" x14ac:dyDescent="0.3">
      <c r="A991" t="s">
        <v>1823</v>
      </c>
      <c r="B991" s="6">
        <v>45023</v>
      </c>
      <c r="C991" s="6" t="str">
        <f t="shared" si="45"/>
        <v>Apr</v>
      </c>
      <c r="D991" t="s">
        <v>1824</v>
      </c>
      <c r="E991" t="s">
        <v>19</v>
      </c>
      <c r="F991" t="s">
        <v>968</v>
      </c>
      <c r="G991">
        <v>2</v>
      </c>
      <c r="H991" s="7">
        <v>39.119999999999997</v>
      </c>
      <c r="I991" t="s">
        <v>64</v>
      </c>
      <c r="J991" t="s">
        <v>22</v>
      </c>
      <c r="K991">
        <v>0</v>
      </c>
      <c r="L991" s="7">
        <f t="shared" si="46"/>
        <v>78.239999999999995</v>
      </c>
      <c r="M991" s="7"/>
      <c r="O991">
        <f t="shared" si="47"/>
        <v>2</v>
      </c>
      <c r="Q991" t="s">
        <v>65</v>
      </c>
    </row>
    <row r="992" spans="1:17" x14ac:dyDescent="0.3">
      <c r="A992" t="s">
        <v>1825</v>
      </c>
      <c r="B992" s="6">
        <v>45266</v>
      </c>
      <c r="C992" s="6" t="str">
        <f t="shared" si="45"/>
        <v>Dec</v>
      </c>
      <c r="D992" t="s">
        <v>18</v>
      </c>
      <c r="E992" t="s">
        <v>36</v>
      </c>
      <c r="F992" t="s">
        <v>139</v>
      </c>
      <c r="G992">
        <v>1</v>
      </c>
      <c r="H992" s="7">
        <v>244.36</v>
      </c>
      <c r="I992" t="s">
        <v>64</v>
      </c>
      <c r="J992" t="s">
        <v>28</v>
      </c>
      <c r="K992">
        <v>10</v>
      </c>
      <c r="L992" s="7">
        <f t="shared" si="46"/>
        <v>244.36</v>
      </c>
      <c r="M992" s="7"/>
      <c r="O992">
        <f t="shared" si="47"/>
        <v>2</v>
      </c>
      <c r="Q992" t="s">
        <v>65</v>
      </c>
    </row>
    <row r="993" spans="1:17" x14ac:dyDescent="0.3">
      <c r="A993" t="s">
        <v>1826</v>
      </c>
      <c r="B993" s="6">
        <v>45163</v>
      </c>
      <c r="C993" s="6" t="str">
        <f t="shared" si="45"/>
        <v>Aug</v>
      </c>
      <c r="D993" t="s">
        <v>863</v>
      </c>
      <c r="E993" t="s">
        <v>50</v>
      </c>
      <c r="F993" t="s">
        <v>789</v>
      </c>
      <c r="G993">
        <v>7</v>
      </c>
      <c r="H993" s="7">
        <v>113.94</v>
      </c>
      <c r="I993" t="s">
        <v>21</v>
      </c>
      <c r="J993" t="s">
        <v>87</v>
      </c>
      <c r="K993">
        <v>5</v>
      </c>
      <c r="L993" s="7">
        <f t="shared" si="46"/>
        <v>797.57999999999993</v>
      </c>
      <c r="M993" s="7"/>
      <c r="O993">
        <f t="shared" si="47"/>
        <v>2</v>
      </c>
      <c r="Q993" t="s">
        <v>23</v>
      </c>
    </row>
    <row r="994" spans="1:17" x14ac:dyDescent="0.3">
      <c r="A994" t="s">
        <v>1827</v>
      </c>
      <c r="B994" s="6">
        <v>45291</v>
      </c>
      <c r="C994" s="6" t="str">
        <f t="shared" si="45"/>
        <v>Dec</v>
      </c>
      <c r="D994" t="s">
        <v>1828</v>
      </c>
      <c r="E994" t="s">
        <v>31</v>
      </c>
      <c r="F994" t="s">
        <v>900</v>
      </c>
      <c r="G994">
        <v>7</v>
      </c>
      <c r="H994" s="7">
        <v>130.72</v>
      </c>
      <c r="I994" t="s">
        <v>64</v>
      </c>
      <c r="J994" t="s">
        <v>28</v>
      </c>
      <c r="K994">
        <v>0</v>
      </c>
      <c r="L994" s="7">
        <f t="shared" si="46"/>
        <v>915.04</v>
      </c>
      <c r="M994" s="7"/>
      <c r="O994">
        <f t="shared" si="47"/>
        <v>2</v>
      </c>
      <c r="Q994" t="s">
        <v>65</v>
      </c>
    </row>
    <row r="995" spans="1:17" x14ac:dyDescent="0.3">
      <c r="A995" t="s">
        <v>1829</v>
      </c>
      <c r="B995" s="6">
        <v>45120</v>
      </c>
      <c r="C995" s="6" t="str">
        <f t="shared" si="45"/>
        <v>Jul</v>
      </c>
      <c r="D995" t="s">
        <v>1830</v>
      </c>
      <c r="E995" t="s">
        <v>31</v>
      </c>
      <c r="F995" t="s">
        <v>142</v>
      </c>
      <c r="G995">
        <v>2</v>
      </c>
      <c r="H995" s="7">
        <v>439.46</v>
      </c>
      <c r="I995" t="s">
        <v>64</v>
      </c>
      <c r="J995" t="s">
        <v>22</v>
      </c>
      <c r="K995">
        <v>5</v>
      </c>
      <c r="L995" s="7">
        <f t="shared" si="46"/>
        <v>878.92</v>
      </c>
      <c r="M995" s="7"/>
      <c r="O995">
        <f t="shared" si="47"/>
        <v>2</v>
      </c>
      <c r="Q995" t="s">
        <v>65</v>
      </c>
    </row>
    <row r="996" spans="1:17" x14ac:dyDescent="0.3">
      <c r="A996" t="s">
        <v>1831</v>
      </c>
      <c r="B996" s="6">
        <v>45227</v>
      </c>
      <c r="C996" s="6" t="str">
        <f t="shared" si="45"/>
        <v>Oct</v>
      </c>
      <c r="D996" t="s">
        <v>1832</v>
      </c>
      <c r="E996" t="s">
        <v>26</v>
      </c>
      <c r="F996" t="s">
        <v>145</v>
      </c>
      <c r="G996">
        <v>7</v>
      </c>
      <c r="H996" s="7">
        <v>49.34</v>
      </c>
      <c r="I996" t="s">
        <v>32</v>
      </c>
      <c r="J996" t="s">
        <v>72</v>
      </c>
      <c r="K996">
        <v>10</v>
      </c>
      <c r="L996" s="7">
        <f t="shared" si="46"/>
        <v>345.38</v>
      </c>
      <c r="M996" s="7"/>
      <c r="O996">
        <f t="shared" si="47"/>
        <v>2</v>
      </c>
      <c r="Q996" t="s">
        <v>33</v>
      </c>
    </row>
    <row r="997" spans="1:17" x14ac:dyDescent="0.3">
      <c r="A997" t="s">
        <v>1833</v>
      </c>
      <c r="B997" s="6">
        <v>45281</v>
      </c>
      <c r="C997" s="6" t="str">
        <f t="shared" si="45"/>
        <v>Dec</v>
      </c>
      <c r="D997" t="s">
        <v>1834</v>
      </c>
      <c r="E997" t="s">
        <v>50</v>
      </c>
      <c r="F997" t="s">
        <v>662</v>
      </c>
      <c r="G997">
        <v>8</v>
      </c>
      <c r="H997" s="7">
        <v>359.11</v>
      </c>
      <c r="I997" t="s">
        <v>19</v>
      </c>
      <c r="J997" t="s">
        <v>87</v>
      </c>
      <c r="K997">
        <v>10</v>
      </c>
      <c r="L997" s="7">
        <f t="shared" si="46"/>
        <v>2872.88</v>
      </c>
      <c r="M997" s="7"/>
      <c r="O997">
        <f t="shared" si="47"/>
        <v>3</v>
      </c>
      <c r="Q997" t="s">
        <v>19</v>
      </c>
    </row>
    <row r="998" spans="1:17" x14ac:dyDescent="0.3">
      <c r="A998" t="s">
        <v>1835</v>
      </c>
      <c r="B998" s="6">
        <v>45018</v>
      </c>
      <c r="C998" s="6" t="str">
        <f t="shared" si="45"/>
        <v>Apr</v>
      </c>
      <c r="D998" t="s">
        <v>1187</v>
      </c>
      <c r="E998" t="s">
        <v>62</v>
      </c>
      <c r="F998" t="s">
        <v>54</v>
      </c>
      <c r="G998">
        <v>1</v>
      </c>
      <c r="H998" s="7">
        <v>139.22</v>
      </c>
      <c r="I998" t="s">
        <v>21</v>
      </c>
      <c r="J998" t="s">
        <v>87</v>
      </c>
      <c r="K998">
        <v>20</v>
      </c>
      <c r="L998" s="7">
        <f t="shared" si="46"/>
        <v>139.22</v>
      </c>
      <c r="M998" s="7"/>
      <c r="O998">
        <f t="shared" si="47"/>
        <v>2</v>
      </c>
      <c r="Q998" t="s">
        <v>23</v>
      </c>
    </row>
    <row r="999" spans="1:17" x14ac:dyDescent="0.3">
      <c r="A999" t="s">
        <v>1836</v>
      </c>
      <c r="B999" s="6">
        <v>45149</v>
      </c>
      <c r="C999" s="6" t="str">
        <f t="shared" si="45"/>
        <v>Aug</v>
      </c>
      <c r="D999" t="s">
        <v>1258</v>
      </c>
      <c r="E999" t="s">
        <v>19</v>
      </c>
      <c r="F999" t="s">
        <v>289</v>
      </c>
      <c r="G999">
        <v>9</v>
      </c>
      <c r="H999" s="7">
        <v>381.36</v>
      </c>
      <c r="I999" t="s">
        <v>64</v>
      </c>
      <c r="J999" t="s">
        <v>22</v>
      </c>
      <c r="K999">
        <v>15</v>
      </c>
      <c r="L999" s="7">
        <f t="shared" si="46"/>
        <v>3432.2400000000002</v>
      </c>
      <c r="M999" s="7"/>
      <c r="O999">
        <f t="shared" si="47"/>
        <v>4</v>
      </c>
      <c r="Q999" t="s">
        <v>65</v>
      </c>
    </row>
    <row r="1000" spans="1:17" x14ac:dyDescent="0.3">
      <c r="A1000" t="s">
        <v>1837</v>
      </c>
      <c r="B1000" s="6">
        <v>45227</v>
      </c>
      <c r="C1000" s="6" t="str">
        <f t="shared" si="45"/>
        <v>Oct</v>
      </c>
      <c r="D1000" t="s">
        <v>1838</v>
      </c>
      <c r="E1000" t="s">
        <v>31</v>
      </c>
      <c r="F1000" t="s">
        <v>499</v>
      </c>
      <c r="G1000">
        <v>7</v>
      </c>
      <c r="H1000" s="7">
        <v>362.59</v>
      </c>
      <c r="I1000" t="s">
        <v>46</v>
      </c>
      <c r="J1000" t="s">
        <v>72</v>
      </c>
      <c r="K1000">
        <v>10</v>
      </c>
      <c r="L1000" s="7">
        <f t="shared" si="46"/>
        <v>2538.1299999999997</v>
      </c>
      <c r="M1000" s="7"/>
      <c r="O1000">
        <f t="shared" si="47"/>
        <v>3</v>
      </c>
      <c r="Q1000" t="s">
        <v>47</v>
      </c>
    </row>
    <row r="1001" spans="1:17" x14ac:dyDescent="0.3">
      <c r="A1001" t="s">
        <v>1839</v>
      </c>
      <c r="B1001" s="6">
        <v>45175</v>
      </c>
      <c r="C1001" s="6" t="str">
        <f t="shared" si="45"/>
        <v>Sep</v>
      </c>
      <c r="D1001" t="s">
        <v>1840</v>
      </c>
      <c r="E1001" t="s">
        <v>26</v>
      </c>
      <c r="F1001" t="s">
        <v>84</v>
      </c>
      <c r="G1001">
        <v>3</v>
      </c>
      <c r="H1001" s="7">
        <v>8.66</v>
      </c>
      <c r="I1001" t="s">
        <v>64</v>
      </c>
      <c r="J1001" t="s">
        <v>22</v>
      </c>
      <c r="K1001">
        <v>5</v>
      </c>
      <c r="L1001" s="7">
        <f t="shared" si="46"/>
        <v>25.98</v>
      </c>
      <c r="M1001" s="7"/>
      <c r="O1001">
        <f t="shared" si="47"/>
        <v>2</v>
      </c>
      <c r="Q1001" t="s">
        <v>65</v>
      </c>
    </row>
    <row r="1002" spans="1:17" x14ac:dyDescent="0.3">
      <c r="A1002" t="s">
        <v>1841</v>
      </c>
      <c r="B1002" s="6">
        <v>45239</v>
      </c>
      <c r="C1002" s="6" t="str">
        <f t="shared" si="45"/>
        <v>Nov</v>
      </c>
      <c r="D1002" t="s">
        <v>1079</v>
      </c>
      <c r="E1002" t="s">
        <v>19</v>
      </c>
      <c r="F1002" t="s">
        <v>436</v>
      </c>
      <c r="G1002">
        <v>8</v>
      </c>
      <c r="H1002" s="7">
        <v>257.02</v>
      </c>
      <c r="I1002" t="s">
        <v>19</v>
      </c>
      <c r="J1002" t="s">
        <v>42</v>
      </c>
      <c r="K1002">
        <v>0</v>
      </c>
      <c r="L1002" s="7">
        <f t="shared" si="46"/>
        <v>2056.16</v>
      </c>
      <c r="M1002" s="7"/>
      <c r="O1002">
        <f t="shared" si="47"/>
        <v>2</v>
      </c>
      <c r="Q1002" t="s">
        <v>19</v>
      </c>
    </row>
    <row r="1003" spans="1:17" x14ac:dyDescent="0.3">
      <c r="A1003" t="s">
        <v>1842</v>
      </c>
      <c r="B1003" s="6">
        <v>45259</v>
      </c>
      <c r="C1003" s="6" t="str">
        <f t="shared" si="45"/>
        <v>Nov</v>
      </c>
      <c r="D1003" t="s">
        <v>1840</v>
      </c>
      <c r="E1003" t="s">
        <v>19</v>
      </c>
      <c r="F1003" t="s">
        <v>1568</v>
      </c>
      <c r="G1003">
        <v>7</v>
      </c>
      <c r="H1003" s="7">
        <v>73.959999999999994</v>
      </c>
      <c r="I1003" t="s">
        <v>32</v>
      </c>
      <c r="J1003" t="s">
        <v>22</v>
      </c>
      <c r="K1003">
        <v>10</v>
      </c>
      <c r="L1003" s="7">
        <f t="shared" si="46"/>
        <v>517.71999999999991</v>
      </c>
      <c r="M1003" s="7"/>
      <c r="O1003">
        <f t="shared" si="47"/>
        <v>2</v>
      </c>
      <c r="Q1003" t="s">
        <v>33</v>
      </c>
    </row>
    <row r="1004" spans="1:17" x14ac:dyDescent="0.3">
      <c r="A1004" t="s">
        <v>1843</v>
      </c>
      <c r="B1004" s="6">
        <v>44967</v>
      </c>
      <c r="C1004" s="6" t="str">
        <f t="shared" si="45"/>
        <v>Feb</v>
      </c>
      <c r="D1004" t="s">
        <v>594</v>
      </c>
      <c r="E1004" t="s">
        <v>19</v>
      </c>
      <c r="F1004" t="s">
        <v>684</v>
      </c>
      <c r="G1004">
        <v>8</v>
      </c>
      <c r="H1004" s="7">
        <v>433.78</v>
      </c>
      <c r="I1004" t="s">
        <v>32</v>
      </c>
      <c r="J1004" t="s">
        <v>22</v>
      </c>
      <c r="K1004">
        <v>10</v>
      </c>
      <c r="L1004" s="7">
        <f t="shared" si="46"/>
        <v>3470.24</v>
      </c>
      <c r="M1004" s="7"/>
      <c r="O1004">
        <f t="shared" si="47"/>
        <v>4</v>
      </c>
      <c r="Q1004" t="s">
        <v>33</v>
      </c>
    </row>
    <row r="1005" spans="1:17" x14ac:dyDescent="0.3">
      <c r="A1005" t="s">
        <v>1844</v>
      </c>
      <c r="B1005" s="6">
        <v>45072</v>
      </c>
      <c r="C1005" s="6" t="str">
        <f t="shared" si="45"/>
        <v>May</v>
      </c>
      <c r="D1005" t="s">
        <v>1449</v>
      </c>
      <c r="E1005" t="s">
        <v>26</v>
      </c>
      <c r="F1005" t="s">
        <v>198</v>
      </c>
      <c r="G1005">
        <v>6</v>
      </c>
      <c r="H1005" s="7">
        <v>436.44</v>
      </c>
      <c r="I1005" t="s">
        <v>64</v>
      </c>
      <c r="J1005" t="s">
        <v>87</v>
      </c>
      <c r="K1005">
        <v>20</v>
      </c>
      <c r="L1005" s="7">
        <f t="shared" si="46"/>
        <v>2618.64</v>
      </c>
      <c r="M1005" s="7"/>
      <c r="O1005">
        <f t="shared" si="47"/>
        <v>3</v>
      </c>
      <c r="Q1005" t="s">
        <v>65</v>
      </c>
    </row>
    <row r="1006" spans="1:17" x14ac:dyDescent="0.3">
      <c r="A1006" t="s">
        <v>1845</v>
      </c>
      <c r="B1006" s="6">
        <v>45016</v>
      </c>
      <c r="C1006" s="6" t="str">
        <f t="shared" si="45"/>
        <v>Mar</v>
      </c>
      <c r="D1006" t="s">
        <v>1846</v>
      </c>
      <c r="E1006" t="s">
        <v>40</v>
      </c>
      <c r="F1006" t="s">
        <v>983</v>
      </c>
      <c r="G1006">
        <v>9</v>
      </c>
      <c r="H1006" s="7">
        <v>212.08</v>
      </c>
      <c r="I1006" t="s">
        <v>21</v>
      </c>
      <c r="J1006" t="s">
        <v>72</v>
      </c>
      <c r="K1006">
        <v>10</v>
      </c>
      <c r="L1006" s="7">
        <f t="shared" si="46"/>
        <v>1908.72</v>
      </c>
      <c r="M1006" s="7"/>
      <c r="O1006">
        <f t="shared" si="47"/>
        <v>2</v>
      </c>
      <c r="Q1006" t="s">
        <v>23</v>
      </c>
    </row>
    <row r="1007" spans="1:17" x14ac:dyDescent="0.3">
      <c r="A1007" t="s">
        <v>1847</v>
      </c>
      <c r="B1007" s="6">
        <v>45202</v>
      </c>
      <c r="C1007" s="6" t="str">
        <f t="shared" si="45"/>
        <v>Oct</v>
      </c>
      <c r="D1007" t="s">
        <v>1848</v>
      </c>
      <c r="E1007" t="s">
        <v>19</v>
      </c>
      <c r="F1007" t="s">
        <v>193</v>
      </c>
      <c r="G1007">
        <v>5</v>
      </c>
      <c r="H1007" s="7">
        <v>224.98</v>
      </c>
      <c r="I1007" t="s">
        <v>19</v>
      </c>
      <c r="J1007" t="s">
        <v>28</v>
      </c>
      <c r="K1007">
        <v>5</v>
      </c>
      <c r="L1007" s="7">
        <f t="shared" si="46"/>
        <v>1124.8999999999999</v>
      </c>
      <c r="M1007" s="7"/>
      <c r="O1007">
        <f t="shared" si="47"/>
        <v>2</v>
      </c>
      <c r="Q1007" t="s">
        <v>19</v>
      </c>
    </row>
    <row r="1008" spans="1:17" x14ac:dyDescent="0.3">
      <c r="A1008" t="s">
        <v>1849</v>
      </c>
      <c r="B1008" s="6">
        <v>44980</v>
      </c>
      <c r="C1008" s="6" t="str">
        <f t="shared" si="45"/>
        <v>Feb</v>
      </c>
      <c r="D1008" t="s">
        <v>1850</v>
      </c>
      <c r="E1008" t="s">
        <v>19</v>
      </c>
      <c r="F1008" t="s">
        <v>1851</v>
      </c>
      <c r="G1008">
        <v>3</v>
      </c>
      <c r="H1008" s="7">
        <v>155.13</v>
      </c>
      <c r="I1008" t="s">
        <v>32</v>
      </c>
      <c r="J1008" t="s">
        <v>19</v>
      </c>
      <c r="K1008">
        <v>10</v>
      </c>
      <c r="L1008" s="7">
        <f t="shared" si="46"/>
        <v>465.39</v>
      </c>
      <c r="M1008" s="7"/>
      <c r="O1008">
        <f t="shared" si="47"/>
        <v>2</v>
      </c>
      <c r="Q1008" t="s">
        <v>33</v>
      </c>
    </row>
    <row r="1009" spans="1:17" x14ac:dyDescent="0.3">
      <c r="A1009" t="s">
        <v>1852</v>
      </c>
      <c r="B1009" s="6">
        <v>45044</v>
      </c>
      <c r="C1009" s="6" t="str">
        <f t="shared" si="45"/>
        <v>Apr</v>
      </c>
      <c r="D1009" t="s">
        <v>1853</v>
      </c>
      <c r="E1009" t="s">
        <v>36</v>
      </c>
      <c r="F1009" t="s">
        <v>900</v>
      </c>
      <c r="G1009">
        <v>5</v>
      </c>
      <c r="H1009" s="7">
        <v>359.72</v>
      </c>
      <c r="I1009" t="s">
        <v>103</v>
      </c>
      <c r="J1009" t="s">
        <v>72</v>
      </c>
      <c r="K1009">
        <v>10</v>
      </c>
      <c r="L1009" s="7">
        <f t="shared" si="46"/>
        <v>1798.6000000000001</v>
      </c>
      <c r="M1009" s="7"/>
      <c r="O1009">
        <f t="shared" si="47"/>
        <v>2</v>
      </c>
      <c r="Q1009" t="s">
        <v>104</v>
      </c>
    </row>
    <row r="1010" spans="1:17" x14ac:dyDescent="0.3">
      <c r="A1010" t="s">
        <v>1854</v>
      </c>
      <c r="B1010" s="6">
        <v>45142</v>
      </c>
      <c r="C1010" s="6" t="str">
        <f t="shared" si="45"/>
        <v>Aug</v>
      </c>
      <c r="D1010" t="s">
        <v>904</v>
      </c>
      <c r="E1010" t="s">
        <v>50</v>
      </c>
      <c r="F1010" t="s">
        <v>173</v>
      </c>
      <c r="G1010">
        <v>1</v>
      </c>
      <c r="H1010" s="7">
        <v>182.54</v>
      </c>
      <c r="I1010" t="s">
        <v>19</v>
      </c>
      <c r="J1010" t="s">
        <v>22</v>
      </c>
      <c r="K1010">
        <v>0</v>
      </c>
      <c r="L1010" s="7">
        <f t="shared" si="46"/>
        <v>182.54</v>
      </c>
      <c r="M1010" s="7"/>
      <c r="O1010">
        <f t="shared" si="47"/>
        <v>2</v>
      </c>
      <c r="Q1010" t="s">
        <v>19</v>
      </c>
    </row>
    <row r="1011" spans="1:17" x14ac:dyDescent="0.3">
      <c r="A1011" t="s">
        <v>1855</v>
      </c>
      <c r="B1011" s="6">
        <v>45092</v>
      </c>
      <c r="C1011" s="6" t="str">
        <f t="shared" si="45"/>
        <v>Jun</v>
      </c>
      <c r="D1011" t="s">
        <v>1856</v>
      </c>
      <c r="E1011" t="s">
        <v>50</v>
      </c>
      <c r="F1011" t="s">
        <v>331</v>
      </c>
      <c r="G1011">
        <v>8</v>
      </c>
      <c r="H1011" s="7">
        <v>137.56</v>
      </c>
      <c r="I1011" t="s">
        <v>46</v>
      </c>
      <c r="J1011" t="s">
        <v>28</v>
      </c>
      <c r="K1011">
        <v>15</v>
      </c>
      <c r="L1011" s="7">
        <f t="shared" si="46"/>
        <v>1100.48</v>
      </c>
      <c r="M1011" s="7"/>
      <c r="O1011">
        <f t="shared" si="47"/>
        <v>2</v>
      </c>
      <c r="Q1011" t="s">
        <v>47</v>
      </c>
    </row>
    <row r="1012" spans="1:17" x14ac:dyDescent="0.3">
      <c r="A1012" t="s">
        <v>1857</v>
      </c>
      <c r="B1012" s="6">
        <v>45086</v>
      </c>
      <c r="C1012" s="6" t="str">
        <f t="shared" si="45"/>
        <v>Jun</v>
      </c>
      <c r="D1012" t="s">
        <v>885</v>
      </c>
      <c r="E1012" t="s">
        <v>26</v>
      </c>
      <c r="F1012" t="s">
        <v>575</v>
      </c>
      <c r="G1012">
        <v>2</v>
      </c>
      <c r="H1012" s="7">
        <v>218.95</v>
      </c>
      <c r="I1012" t="s">
        <v>64</v>
      </c>
      <c r="J1012" t="s">
        <v>72</v>
      </c>
      <c r="K1012">
        <v>5</v>
      </c>
      <c r="L1012" s="7">
        <f t="shared" si="46"/>
        <v>437.9</v>
      </c>
      <c r="M1012" s="7"/>
      <c r="O1012">
        <f t="shared" si="47"/>
        <v>2</v>
      </c>
      <c r="Q1012" t="s">
        <v>65</v>
      </c>
    </row>
    <row r="1013" spans="1:17" x14ac:dyDescent="0.3">
      <c r="A1013" t="s">
        <v>1858</v>
      </c>
      <c r="B1013" s="6">
        <v>45108</v>
      </c>
      <c r="C1013" s="6" t="str">
        <f t="shared" si="45"/>
        <v>Jul</v>
      </c>
      <c r="D1013" t="s">
        <v>1859</v>
      </c>
      <c r="E1013" t="s">
        <v>26</v>
      </c>
      <c r="F1013" t="s">
        <v>59</v>
      </c>
      <c r="G1013">
        <v>3</v>
      </c>
      <c r="H1013" s="7">
        <v>50.29</v>
      </c>
      <c r="I1013" t="s">
        <v>32</v>
      </c>
      <c r="J1013" t="s">
        <v>87</v>
      </c>
      <c r="K1013">
        <v>0</v>
      </c>
      <c r="L1013" s="7">
        <f t="shared" si="46"/>
        <v>150.87</v>
      </c>
      <c r="M1013" s="7"/>
      <c r="O1013">
        <f t="shared" si="47"/>
        <v>2</v>
      </c>
      <c r="Q1013" t="s">
        <v>33</v>
      </c>
    </row>
    <row r="1014" spans="1:17" x14ac:dyDescent="0.3">
      <c r="A1014" t="s">
        <v>1860</v>
      </c>
      <c r="B1014" s="6">
        <v>45160</v>
      </c>
      <c r="C1014" s="6" t="str">
        <f t="shared" si="45"/>
        <v>Aug</v>
      </c>
      <c r="D1014" t="s">
        <v>1048</v>
      </c>
      <c r="E1014" t="s">
        <v>19</v>
      </c>
      <c r="F1014" t="s">
        <v>239</v>
      </c>
      <c r="G1014">
        <v>8</v>
      </c>
      <c r="H1014" s="7">
        <v>374.57</v>
      </c>
      <c r="I1014" t="s">
        <v>21</v>
      </c>
      <c r="J1014" t="s">
        <v>72</v>
      </c>
      <c r="K1014">
        <v>15</v>
      </c>
      <c r="L1014" s="7">
        <f t="shared" si="46"/>
        <v>2996.56</v>
      </c>
      <c r="M1014" s="7"/>
      <c r="O1014">
        <f t="shared" si="47"/>
        <v>3</v>
      </c>
      <c r="Q1014" t="s">
        <v>23</v>
      </c>
    </row>
    <row r="1015" spans="1:17" x14ac:dyDescent="0.3">
      <c r="A1015" t="s">
        <v>1861</v>
      </c>
      <c r="B1015" s="6">
        <v>45149</v>
      </c>
      <c r="C1015" s="6" t="str">
        <f t="shared" si="45"/>
        <v>Aug</v>
      </c>
      <c r="D1015" t="s">
        <v>781</v>
      </c>
      <c r="E1015" t="s">
        <v>50</v>
      </c>
      <c r="F1015" t="s">
        <v>1851</v>
      </c>
      <c r="G1015">
        <v>8</v>
      </c>
      <c r="H1015" s="7">
        <v>11.24</v>
      </c>
      <c r="I1015" t="s">
        <v>46</v>
      </c>
      <c r="J1015" t="s">
        <v>22</v>
      </c>
      <c r="K1015">
        <v>0</v>
      </c>
      <c r="L1015" s="7">
        <f t="shared" si="46"/>
        <v>89.92</v>
      </c>
      <c r="M1015" s="7"/>
      <c r="O1015">
        <f t="shared" si="47"/>
        <v>2</v>
      </c>
      <c r="Q1015" t="s">
        <v>47</v>
      </c>
    </row>
    <row r="1016" spans="1:17" x14ac:dyDescent="0.3">
      <c r="A1016" t="s">
        <v>1862</v>
      </c>
      <c r="B1016" s="6">
        <v>45060</v>
      </c>
      <c r="C1016" s="6" t="str">
        <f t="shared" si="45"/>
        <v>May</v>
      </c>
      <c r="D1016" t="s">
        <v>465</v>
      </c>
      <c r="E1016" t="s">
        <v>50</v>
      </c>
      <c r="F1016" t="s">
        <v>909</v>
      </c>
      <c r="G1016">
        <v>4</v>
      </c>
      <c r="H1016" s="7">
        <v>324.02</v>
      </c>
      <c r="I1016" t="s">
        <v>46</v>
      </c>
      <c r="J1016" t="s">
        <v>42</v>
      </c>
      <c r="K1016">
        <v>15</v>
      </c>
      <c r="L1016" s="7">
        <f t="shared" si="46"/>
        <v>1296.08</v>
      </c>
      <c r="M1016" s="7"/>
      <c r="O1016">
        <f t="shared" si="47"/>
        <v>2</v>
      </c>
      <c r="Q1016" t="s">
        <v>47</v>
      </c>
    </row>
    <row r="1017" spans="1:17" x14ac:dyDescent="0.3">
      <c r="A1017" t="s">
        <v>1863</v>
      </c>
      <c r="B1017" s="6">
        <v>45019</v>
      </c>
      <c r="C1017" s="6" t="str">
        <f t="shared" si="45"/>
        <v>Apr</v>
      </c>
      <c r="D1017" t="s">
        <v>1864</v>
      </c>
      <c r="E1017" t="s">
        <v>19</v>
      </c>
      <c r="F1017" t="s">
        <v>322</v>
      </c>
      <c r="G1017">
        <v>4</v>
      </c>
      <c r="H1017" s="7">
        <v>95.52</v>
      </c>
      <c r="I1017" t="s">
        <v>32</v>
      </c>
      <c r="J1017" t="s">
        <v>19</v>
      </c>
      <c r="K1017">
        <v>15</v>
      </c>
      <c r="L1017" s="7">
        <f t="shared" si="46"/>
        <v>382.08</v>
      </c>
      <c r="M1017" s="7"/>
      <c r="O1017">
        <f t="shared" si="47"/>
        <v>2</v>
      </c>
      <c r="Q1017" t="s">
        <v>33</v>
      </c>
    </row>
    <row r="1018" spans="1:17" x14ac:dyDescent="0.3">
      <c r="A1018" t="s">
        <v>1865</v>
      </c>
      <c r="B1018" s="6">
        <v>45004</v>
      </c>
      <c r="C1018" s="6" t="str">
        <f t="shared" si="45"/>
        <v>Mar</v>
      </c>
      <c r="D1018" t="s">
        <v>799</v>
      </c>
      <c r="E1018" t="s">
        <v>31</v>
      </c>
      <c r="F1018" t="s">
        <v>693</v>
      </c>
      <c r="G1018">
        <v>5</v>
      </c>
      <c r="H1018" s="7">
        <v>120.04</v>
      </c>
      <c r="I1018" t="s">
        <v>64</v>
      </c>
      <c r="J1018" t="s">
        <v>28</v>
      </c>
      <c r="K1018">
        <v>15</v>
      </c>
      <c r="L1018" s="7">
        <f t="shared" si="46"/>
        <v>600.20000000000005</v>
      </c>
      <c r="M1018" s="7"/>
      <c r="O1018">
        <f t="shared" si="47"/>
        <v>2</v>
      </c>
      <c r="Q1018" t="s">
        <v>65</v>
      </c>
    </row>
    <row r="1019" spans="1:17" x14ac:dyDescent="0.3">
      <c r="A1019" t="s">
        <v>1866</v>
      </c>
      <c r="B1019" s="6">
        <v>45281</v>
      </c>
      <c r="C1019" s="6" t="str">
        <f t="shared" si="45"/>
        <v>Dec</v>
      </c>
      <c r="D1019" t="s">
        <v>1008</v>
      </c>
      <c r="E1019" t="s">
        <v>19</v>
      </c>
      <c r="F1019" t="s">
        <v>128</v>
      </c>
      <c r="G1019">
        <v>6</v>
      </c>
      <c r="H1019" s="7">
        <v>319.64</v>
      </c>
      <c r="I1019" t="s">
        <v>32</v>
      </c>
      <c r="J1019" t="s">
        <v>42</v>
      </c>
      <c r="K1019">
        <v>0</v>
      </c>
      <c r="L1019" s="7">
        <f t="shared" si="46"/>
        <v>1917.84</v>
      </c>
      <c r="M1019" s="7"/>
      <c r="O1019">
        <f t="shared" si="47"/>
        <v>2</v>
      </c>
      <c r="Q1019" t="s">
        <v>33</v>
      </c>
    </row>
    <row r="1020" spans="1:17" x14ac:dyDescent="0.3">
      <c r="A1020" t="s">
        <v>1867</v>
      </c>
      <c r="B1020" s="6">
        <v>44989</v>
      </c>
      <c r="C1020" s="6" t="str">
        <f t="shared" si="45"/>
        <v>Mar</v>
      </c>
      <c r="D1020" t="s">
        <v>891</v>
      </c>
      <c r="E1020" t="s">
        <v>62</v>
      </c>
      <c r="F1020" t="s">
        <v>289</v>
      </c>
      <c r="G1020">
        <v>5</v>
      </c>
      <c r="H1020" s="7">
        <v>496.51</v>
      </c>
      <c r="I1020" t="s">
        <v>64</v>
      </c>
      <c r="J1020" t="s">
        <v>87</v>
      </c>
      <c r="K1020">
        <v>10</v>
      </c>
      <c r="L1020" s="7">
        <f t="shared" si="46"/>
        <v>2482.5500000000002</v>
      </c>
      <c r="M1020" s="7"/>
      <c r="O1020">
        <f t="shared" si="47"/>
        <v>2</v>
      </c>
      <c r="Q1020" t="s">
        <v>65</v>
      </c>
    </row>
    <row r="1021" spans="1:17" x14ac:dyDescent="0.3">
      <c r="A1021" t="s">
        <v>1868</v>
      </c>
      <c r="B1021" s="6">
        <v>45016</v>
      </c>
      <c r="C1021" s="6" t="str">
        <f t="shared" si="45"/>
        <v>Mar</v>
      </c>
      <c r="D1021" t="s">
        <v>897</v>
      </c>
      <c r="E1021" t="s">
        <v>62</v>
      </c>
      <c r="F1021" t="s">
        <v>107</v>
      </c>
      <c r="G1021">
        <v>7</v>
      </c>
      <c r="H1021" s="7">
        <v>389.97</v>
      </c>
      <c r="I1021" t="s">
        <v>103</v>
      </c>
      <c r="J1021" t="s">
        <v>42</v>
      </c>
      <c r="K1021">
        <v>15</v>
      </c>
      <c r="L1021" s="7">
        <f t="shared" si="46"/>
        <v>2729.79</v>
      </c>
      <c r="M1021" s="7"/>
      <c r="O1021">
        <f t="shared" si="47"/>
        <v>3</v>
      </c>
      <c r="Q1021" t="s">
        <v>104</v>
      </c>
    </row>
    <row r="1022" spans="1:17" x14ac:dyDescent="0.3">
      <c r="A1022" t="s">
        <v>1869</v>
      </c>
      <c r="B1022" s="6">
        <v>45280</v>
      </c>
      <c r="C1022" s="6" t="str">
        <f t="shared" si="45"/>
        <v>Dec</v>
      </c>
      <c r="D1022" t="s">
        <v>1870</v>
      </c>
      <c r="E1022" t="s">
        <v>19</v>
      </c>
      <c r="F1022" t="s">
        <v>789</v>
      </c>
      <c r="G1022">
        <v>2</v>
      </c>
      <c r="H1022" s="7">
        <v>116.79</v>
      </c>
      <c r="I1022" t="s">
        <v>64</v>
      </c>
      <c r="J1022" t="s">
        <v>19</v>
      </c>
      <c r="K1022">
        <v>10</v>
      </c>
      <c r="L1022" s="7">
        <f t="shared" si="46"/>
        <v>233.58</v>
      </c>
      <c r="M1022" s="7"/>
      <c r="O1022">
        <f t="shared" si="47"/>
        <v>2</v>
      </c>
      <c r="Q1022" t="s">
        <v>65</v>
      </c>
    </row>
    <row r="1023" spans="1:17" x14ac:dyDescent="0.3">
      <c r="A1023" t="s">
        <v>1871</v>
      </c>
      <c r="B1023" s="6">
        <v>45193</v>
      </c>
      <c r="C1023" s="6" t="str">
        <f t="shared" si="45"/>
        <v>Sep</v>
      </c>
      <c r="D1023" t="s">
        <v>1801</v>
      </c>
      <c r="E1023" t="s">
        <v>62</v>
      </c>
      <c r="F1023" t="s">
        <v>1618</v>
      </c>
      <c r="G1023">
        <v>7</v>
      </c>
      <c r="H1023" s="7">
        <v>92.13</v>
      </c>
      <c r="I1023" t="s">
        <v>46</v>
      </c>
      <c r="J1023" t="s">
        <v>22</v>
      </c>
      <c r="K1023">
        <v>5</v>
      </c>
      <c r="L1023" s="7">
        <f t="shared" si="46"/>
        <v>644.91</v>
      </c>
      <c r="M1023" s="7"/>
      <c r="O1023">
        <f t="shared" si="47"/>
        <v>2</v>
      </c>
      <c r="Q1023" t="s">
        <v>47</v>
      </c>
    </row>
    <row r="1024" spans="1:17" x14ac:dyDescent="0.3">
      <c r="A1024" t="s">
        <v>1872</v>
      </c>
      <c r="B1024" s="6">
        <v>45139</v>
      </c>
      <c r="C1024" s="6" t="str">
        <f t="shared" si="45"/>
        <v>Aug</v>
      </c>
      <c r="D1024" t="s">
        <v>729</v>
      </c>
      <c r="E1024" t="s">
        <v>19</v>
      </c>
      <c r="F1024" t="s">
        <v>68</v>
      </c>
      <c r="G1024">
        <v>7</v>
      </c>
      <c r="H1024" s="7">
        <v>433.79</v>
      </c>
      <c r="I1024" t="s">
        <v>64</v>
      </c>
      <c r="J1024" t="s">
        <v>19</v>
      </c>
      <c r="K1024">
        <v>20</v>
      </c>
      <c r="L1024" s="7">
        <f t="shared" si="46"/>
        <v>3036.53</v>
      </c>
      <c r="M1024" s="7"/>
      <c r="O1024">
        <f t="shared" si="47"/>
        <v>4</v>
      </c>
      <c r="Q1024" t="s">
        <v>65</v>
      </c>
    </row>
    <row r="1025" spans="1:17" x14ac:dyDescent="0.3">
      <c r="A1025" t="s">
        <v>1873</v>
      </c>
      <c r="B1025" s="6">
        <v>44964</v>
      </c>
      <c r="C1025" s="6" t="str">
        <f t="shared" si="45"/>
        <v>Feb</v>
      </c>
      <c r="D1025" t="s">
        <v>997</v>
      </c>
      <c r="E1025" t="s">
        <v>36</v>
      </c>
      <c r="F1025" t="s">
        <v>417</v>
      </c>
      <c r="G1025">
        <v>1</v>
      </c>
      <c r="H1025" s="7">
        <v>224.87</v>
      </c>
      <c r="I1025" t="s">
        <v>46</v>
      </c>
      <c r="J1025" t="s">
        <v>22</v>
      </c>
      <c r="K1025">
        <v>10</v>
      </c>
      <c r="L1025" s="7">
        <f t="shared" si="46"/>
        <v>224.87</v>
      </c>
      <c r="M1025" s="7"/>
      <c r="O1025">
        <f t="shared" si="47"/>
        <v>2</v>
      </c>
      <c r="Q1025" t="s">
        <v>47</v>
      </c>
    </row>
    <row r="1026" spans="1:17" x14ac:dyDescent="0.3">
      <c r="A1026" t="s">
        <v>1874</v>
      </c>
      <c r="B1026" s="6">
        <v>45195</v>
      </c>
      <c r="C1026" s="6" t="str">
        <f t="shared" si="45"/>
        <v>Sep</v>
      </c>
      <c r="D1026" t="s">
        <v>1875</v>
      </c>
      <c r="E1026" t="s">
        <v>36</v>
      </c>
      <c r="F1026" t="s">
        <v>224</v>
      </c>
      <c r="G1026">
        <v>7</v>
      </c>
      <c r="H1026" s="7">
        <v>72.84</v>
      </c>
      <c r="I1026" t="s">
        <v>32</v>
      </c>
      <c r="J1026" t="s">
        <v>28</v>
      </c>
      <c r="K1026">
        <v>20</v>
      </c>
      <c r="L1026" s="7">
        <f t="shared" si="46"/>
        <v>509.88</v>
      </c>
      <c r="M1026" s="7"/>
      <c r="O1026">
        <f t="shared" si="47"/>
        <v>2</v>
      </c>
      <c r="Q1026" t="s">
        <v>33</v>
      </c>
    </row>
    <row r="1027" spans="1:17" x14ac:dyDescent="0.3">
      <c r="A1027" t="s">
        <v>1876</v>
      </c>
      <c r="B1027" s="6">
        <v>45151</v>
      </c>
      <c r="C1027" s="6" t="str">
        <f t="shared" ref="C1027:C1090" si="48">TEXT(B1027,"MMM")</f>
        <v>Aug</v>
      </c>
      <c r="D1027" t="s">
        <v>1877</v>
      </c>
      <c r="E1027" t="s">
        <v>26</v>
      </c>
      <c r="F1027" t="s">
        <v>466</v>
      </c>
      <c r="G1027">
        <v>5</v>
      </c>
      <c r="H1027" s="7">
        <v>252.16</v>
      </c>
      <c r="I1027" t="s">
        <v>19</v>
      </c>
      <c r="J1027" t="s">
        <v>22</v>
      </c>
      <c r="K1027">
        <v>15</v>
      </c>
      <c r="L1027" s="7">
        <f t="shared" ref="L1027:L1090" si="49">G1027*H1027</f>
        <v>1260.8</v>
      </c>
      <c r="M1027" s="7"/>
      <c r="O1027">
        <f t="shared" si="47"/>
        <v>2</v>
      </c>
      <c r="Q1027" t="s">
        <v>19</v>
      </c>
    </row>
    <row r="1028" spans="1:17" x14ac:dyDescent="0.3">
      <c r="A1028" t="s">
        <v>1878</v>
      </c>
      <c r="B1028" s="6">
        <v>44986</v>
      </c>
      <c r="C1028" s="6" t="str">
        <f t="shared" si="48"/>
        <v>Mar</v>
      </c>
      <c r="D1028" t="s">
        <v>30</v>
      </c>
      <c r="E1028" t="s">
        <v>19</v>
      </c>
      <c r="F1028" t="s">
        <v>1237</v>
      </c>
      <c r="G1028">
        <v>5</v>
      </c>
      <c r="H1028" s="7">
        <v>408.97</v>
      </c>
      <c r="I1028" t="s">
        <v>64</v>
      </c>
      <c r="J1028" t="s">
        <v>87</v>
      </c>
      <c r="K1028">
        <v>20</v>
      </c>
      <c r="L1028" s="7">
        <f t="shared" si="49"/>
        <v>2044.8500000000001</v>
      </c>
      <c r="M1028" s="7"/>
      <c r="O1028">
        <f t="shared" ref="O1028:O1091" si="50">IF(L1028&gt;3500,5,IF(L1028&gt;3000,4,IF(L1028&gt;2500,3,IF(L1028&gt;2000,2,IF(L1028&gt;1000,2,2)))))</f>
        <v>2</v>
      </c>
      <c r="Q1028" t="s">
        <v>65</v>
      </c>
    </row>
    <row r="1029" spans="1:17" x14ac:dyDescent="0.3">
      <c r="A1029" t="s">
        <v>1879</v>
      </c>
      <c r="B1029" s="6">
        <v>44928</v>
      </c>
      <c r="C1029" s="6" t="str">
        <f t="shared" si="48"/>
        <v>Jan</v>
      </c>
      <c r="D1029" t="s">
        <v>1460</v>
      </c>
      <c r="E1029" t="s">
        <v>31</v>
      </c>
      <c r="F1029" t="s">
        <v>165</v>
      </c>
      <c r="G1029">
        <v>3</v>
      </c>
      <c r="H1029" s="7">
        <v>492.03</v>
      </c>
      <c r="I1029" t="s">
        <v>21</v>
      </c>
      <c r="J1029" t="s">
        <v>28</v>
      </c>
      <c r="K1029">
        <v>20</v>
      </c>
      <c r="L1029" s="7">
        <f t="shared" si="49"/>
        <v>1476.09</v>
      </c>
      <c r="M1029" s="7"/>
      <c r="O1029">
        <f t="shared" si="50"/>
        <v>2</v>
      </c>
      <c r="Q1029" t="s">
        <v>23</v>
      </c>
    </row>
    <row r="1030" spans="1:17" x14ac:dyDescent="0.3">
      <c r="A1030" t="s">
        <v>1880</v>
      </c>
      <c r="B1030" s="6">
        <v>45219</v>
      </c>
      <c r="C1030" s="6" t="str">
        <f t="shared" si="48"/>
        <v>Oct</v>
      </c>
      <c r="D1030" t="s">
        <v>516</v>
      </c>
      <c r="E1030" t="s">
        <v>31</v>
      </c>
      <c r="F1030" t="s">
        <v>131</v>
      </c>
      <c r="G1030">
        <v>4</v>
      </c>
      <c r="H1030" s="7">
        <v>455.32</v>
      </c>
      <c r="I1030" t="s">
        <v>103</v>
      </c>
      <c r="J1030" t="s">
        <v>28</v>
      </c>
      <c r="K1030">
        <v>15</v>
      </c>
      <c r="L1030" s="7">
        <f t="shared" si="49"/>
        <v>1821.28</v>
      </c>
      <c r="M1030" s="7"/>
      <c r="O1030">
        <f t="shared" si="50"/>
        <v>2</v>
      </c>
      <c r="Q1030" t="s">
        <v>104</v>
      </c>
    </row>
    <row r="1031" spans="1:17" x14ac:dyDescent="0.3">
      <c r="A1031" t="s">
        <v>1881</v>
      </c>
      <c r="B1031" s="6">
        <v>44970</v>
      </c>
      <c r="C1031" s="6" t="str">
        <f t="shared" si="48"/>
        <v>Feb</v>
      </c>
      <c r="D1031" t="s">
        <v>56</v>
      </c>
      <c r="E1031" t="s">
        <v>62</v>
      </c>
      <c r="F1031" t="s">
        <v>517</v>
      </c>
      <c r="G1031">
        <v>2</v>
      </c>
      <c r="H1031" s="7">
        <v>426.64</v>
      </c>
      <c r="I1031" t="s">
        <v>32</v>
      </c>
      <c r="J1031" t="s">
        <v>22</v>
      </c>
      <c r="K1031">
        <v>10</v>
      </c>
      <c r="L1031" s="7">
        <f t="shared" si="49"/>
        <v>853.28</v>
      </c>
      <c r="M1031" s="7"/>
      <c r="O1031">
        <f t="shared" si="50"/>
        <v>2</v>
      </c>
      <c r="Q1031" t="s">
        <v>33</v>
      </c>
    </row>
    <row r="1032" spans="1:17" x14ac:dyDescent="0.3">
      <c r="A1032" t="s">
        <v>1882</v>
      </c>
      <c r="B1032" s="6">
        <v>45092</v>
      </c>
      <c r="C1032" s="6" t="str">
        <f t="shared" si="48"/>
        <v>Jun</v>
      </c>
      <c r="D1032" t="s">
        <v>1883</v>
      </c>
      <c r="E1032" t="s">
        <v>62</v>
      </c>
      <c r="F1032" t="s">
        <v>403</v>
      </c>
      <c r="G1032">
        <v>2</v>
      </c>
      <c r="H1032" s="7">
        <v>31.02</v>
      </c>
      <c r="I1032" t="s">
        <v>32</v>
      </c>
      <c r="J1032" t="s">
        <v>19</v>
      </c>
      <c r="K1032">
        <v>15</v>
      </c>
      <c r="L1032" s="7">
        <f t="shared" si="49"/>
        <v>62.04</v>
      </c>
      <c r="M1032" s="7"/>
      <c r="O1032">
        <f t="shared" si="50"/>
        <v>2</v>
      </c>
      <c r="Q1032" t="s">
        <v>33</v>
      </c>
    </row>
    <row r="1033" spans="1:17" x14ac:dyDescent="0.3">
      <c r="A1033" t="s">
        <v>1884</v>
      </c>
      <c r="B1033" s="6">
        <v>45137</v>
      </c>
      <c r="C1033" s="6" t="str">
        <f t="shared" si="48"/>
        <v>Jul</v>
      </c>
      <c r="D1033" t="s">
        <v>1242</v>
      </c>
      <c r="E1033" t="s">
        <v>26</v>
      </c>
      <c r="F1033" t="s">
        <v>116</v>
      </c>
      <c r="G1033">
        <v>1</v>
      </c>
      <c r="H1033" s="7">
        <v>56.69</v>
      </c>
      <c r="I1033" t="s">
        <v>64</v>
      </c>
      <c r="J1033" t="s">
        <v>19</v>
      </c>
      <c r="K1033">
        <v>5</v>
      </c>
      <c r="L1033" s="7">
        <f t="shared" si="49"/>
        <v>56.69</v>
      </c>
      <c r="M1033" s="7"/>
      <c r="O1033">
        <f t="shared" si="50"/>
        <v>2</v>
      </c>
      <c r="Q1033" t="s">
        <v>65</v>
      </c>
    </row>
    <row r="1034" spans="1:17" x14ac:dyDescent="0.3">
      <c r="A1034" t="s">
        <v>1885</v>
      </c>
      <c r="B1034" s="6">
        <v>45237</v>
      </c>
      <c r="C1034" s="6" t="str">
        <f t="shared" si="48"/>
        <v>Nov</v>
      </c>
      <c r="D1034" t="s">
        <v>1886</v>
      </c>
      <c r="E1034" t="s">
        <v>62</v>
      </c>
      <c r="F1034" t="s">
        <v>257</v>
      </c>
      <c r="G1034">
        <v>5</v>
      </c>
      <c r="H1034" s="7">
        <v>286.64999999999998</v>
      </c>
      <c r="I1034" t="s">
        <v>64</v>
      </c>
      <c r="J1034" t="s">
        <v>19</v>
      </c>
      <c r="K1034">
        <v>10</v>
      </c>
      <c r="L1034" s="7">
        <f t="shared" si="49"/>
        <v>1433.25</v>
      </c>
      <c r="M1034" s="7"/>
      <c r="O1034">
        <f t="shared" si="50"/>
        <v>2</v>
      </c>
      <c r="Q1034" t="s">
        <v>65</v>
      </c>
    </row>
    <row r="1035" spans="1:17" x14ac:dyDescent="0.3">
      <c r="A1035" t="s">
        <v>1887</v>
      </c>
      <c r="B1035" s="6">
        <v>45142</v>
      </c>
      <c r="C1035" s="6" t="str">
        <f t="shared" si="48"/>
        <v>Aug</v>
      </c>
      <c r="D1035" t="s">
        <v>53</v>
      </c>
      <c r="E1035" t="s">
        <v>50</v>
      </c>
      <c r="F1035" t="s">
        <v>517</v>
      </c>
      <c r="G1035">
        <v>4</v>
      </c>
      <c r="H1035" s="7">
        <v>268.08</v>
      </c>
      <c r="I1035" t="s">
        <v>103</v>
      </c>
      <c r="J1035" t="s">
        <v>87</v>
      </c>
      <c r="K1035">
        <v>0</v>
      </c>
      <c r="L1035" s="7">
        <f t="shared" si="49"/>
        <v>1072.32</v>
      </c>
      <c r="M1035" s="7"/>
      <c r="O1035">
        <f t="shared" si="50"/>
        <v>2</v>
      </c>
      <c r="Q1035" t="s">
        <v>104</v>
      </c>
    </row>
    <row r="1036" spans="1:17" x14ac:dyDescent="0.3">
      <c r="A1036" t="s">
        <v>1888</v>
      </c>
      <c r="B1036" s="6">
        <v>45230</v>
      </c>
      <c r="C1036" s="6" t="str">
        <f t="shared" si="48"/>
        <v>Oct</v>
      </c>
      <c r="D1036" t="s">
        <v>543</v>
      </c>
      <c r="E1036" t="s">
        <v>26</v>
      </c>
      <c r="F1036" t="s">
        <v>322</v>
      </c>
      <c r="G1036">
        <v>2</v>
      </c>
      <c r="H1036" s="7">
        <v>231.69</v>
      </c>
      <c r="I1036" t="s">
        <v>103</v>
      </c>
      <c r="J1036" t="s">
        <v>42</v>
      </c>
      <c r="K1036">
        <v>15</v>
      </c>
      <c r="L1036" s="7">
        <f t="shared" si="49"/>
        <v>463.38</v>
      </c>
      <c r="M1036" s="7"/>
      <c r="O1036">
        <f t="shared" si="50"/>
        <v>2</v>
      </c>
      <c r="Q1036" t="s">
        <v>104</v>
      </c>
    </row>
    <row r="1037" spans="1:17" x14ac:dyDescent="0.3">
      <c r="A1037" t="s">
        <v>1889</v>
      </c>
      <c r="B1037" s="6">
        <v>45194</v>
      </c>
      <c r="C1037" s="6" t="str">
        <f t="shared" si="48"/>
        <v>Sep</v>
      </c>
      <c r="D1037" t="s">
        <v>1209</v>
      </c>
      <c r="E1037" t="s">
        <v>19</v>
      </c>
      <c r="F1037" t="s">
        <v>263</v>
      </c>
      <c r="G1037">
        <v>3</v>
      </c>
      <c r="H1037" s="7">
        <v>201.41</v>
      </c>
      <c r="I1037" t="s">
        <v>32</v>
      </c>
      <c r="J1037" t="s">
        <v>87</v>
      </c>
      <c r="K1037">
        <v>15</v>
      </c>
      <c r="L1037" s="7">
        <f t="shared" si="49"/>
        <v>604.23</v>
      </c>
      <c r="M1037" s="7"/>
      <c r="O1037">
        <f t="shared" si="50"/>
        <v>2</v>
      </c>
      <c r="Q1037" t="s">
        <v>33</v>
      </c>
    </row>
    <row r="1038" spans="1:17" x14ac:dyDescent="0.3">
      <c r="A1038" t="s">
        <v>1890</v>
      </c>
      <c r="B1038" s="6">
        <v>44964</v>
      </c>
      <c r="C1038" s="6" t="str">
        <f t="shared" si="48"/>
        <v>Feb</v>
      </c>
      <c r="D1038" t="s">
        <v>1309</v>
      </c>
      <c r="E1038" t="s">
        <v>31</v>
      </c>
      <c r="F1038" t="s">
        <v>932</v>
      </c>
      <c r="G1038">
        <v>7</v>
      </c>
      <c r="H1038" s="7">
        <v>218.45</v>
      </c>
      <c r="I1038" t="s">
        <v>32</v>
      </c>
      <c r="J1038" t="s">
        <v>19</v>
      </c>
      <c r="K1038">
        <v>20</v>
      </c>
      <c r="L1038" s="7">
        <f t="shared" si="49"/>
        <v>1529.1499999999999</v>
      </c>
      <c r="M1038" s="7"/>
      <c r="O1038">
        <f t="shared" si="50"/>
        <v>2</v>
      </c>
      <c r="Q1038" t="s">
        <v>33</v>
      </c>
    </row>
    <row r="1039" spans="1:17" x14ac:dyDescent="0.3">
      <c r="A1039" t="s">
        <v>1891</v>
      </c>
      <c r="B1039" s="6">
        <v>45162</v>
      </c>
      <c r="C1039" s="6" t="str">
        <f t="shared" si="48"/>
        <v>Aug</v>
      </c>
      <c r="D1039" t="s">
        <v>1892</v>
      </c>
      <c r="E1039" t="s">
        <v>62</v>
      </c>
      <c r="F1039" t="s">
        <v>292</v>
      </c>
      <c r="G1039">
        <v>7</v>
      </c>
      <c r="H1039" s="7">
        <v>252.16</v>
      </c>
      <c r="I1039" t="s">
        <v>21</v>
      </c>
      <c r="J1039" t="s">
        <v>22</v>
      </c>
      <c r="K1039">
        <v>5</v>
      </c>
      <c r="L1039" s="7">
        <f t="shared" si="49"/>
        <v>1765.12</v>
      </c>
      <c r="M1039" s="7"/>
      <c r="O1039">
        <f t="shared" si="50"/>
        <v>2</v>
      </c>
      <c r="Q1039" t="s">
        <v>23</v>
      </c>
    </row>
    <row r="1040" spans="1:17" x14ac:dyDescent="0.3">
      <c r="A1040" t="s">
        <v>1893</v>
      </c>
      <c r="B1040" s="6">
        <v>45251</v>
      </c>
      <c r="C1040" s="6" t="str">
        <f t="shared" si="48"/>
        <v>Nov</v>
      </c>
      <c r="D1040" t="s">
        <v>1894</v>
      </c>
      <c r="E1040" t="s">
        <v>36</v>
      </c>
      <c r="F1040" t="s">
        <v>344</v>
      </c>
      <c r="G1040">
        <v>4</v>
      </c>
      <c r="H1040" s="7">
        <v>6.03</v>
      </c>
      <c r="I1040" t="s">
        <v>19</v>
      </c>
      <c r="J1040" t="s">
        <v>22</v>
      </c>
      <c r="K1040">
        <v>20</v>
      </c>
      <c r="L1040" s="7">
        <f t="shared" si="49"/>
        <v>24.12</v>
      </c>
      <c r="M1040" s="7"/>
      <c r="O1040">
        <f t="shared" si="50"/>
        <v>2</v>
      </c>
      <c r="Q1040" t="s">
        <v>19</v>
      </c>
    </row>
    <row r="1041" spans="1:17" x14ac:dyDescent="0.3">
      <c r="A1041" t="s">
        <v>1895</v>
      </c>
      <c r="B1041" s="6">
        <v>44979</v>
      </c>
      <c r="C1041" s="6" t="str">
        <f t="shared" si="48"/>
        <v>Feb</v>
      </c>
      <c r="D1041" t="s">
        <v>1896</v>
      </c>
      <c r="E1041" t="s">
        <v>19</v>
      </c>
      <c r="F1041" t="s">
        <v>861</v>
      </c>
      <c r="G1041">
        <v>5</v>
      </c>
      <c r="H1041" s="7">
        <v>134.05000000000001</v>
      </c>
      <c r="I1041" t="s">
        <v>103</v>
      </c>
      <c r="J1041" t="s">
        <v>42</v>
      </c>
      <c r="K1041">
        <v>10</v>
      </c>
      <c r="L1041" s="7">
        <f t="shared" si="49"/>
        <v>670.25</v>
      </c>
      <c r="M1041" s="7"/>
      <c r="O1041">
        <f t="shared" si="50"/>
        <v>2</v>
      </c>
      <c r="Q1041" t="s">
        <v>104</v>
      </c>
    </row>
    <row r="1042" spans="1:17" x14ac:dyDescent="0.3">
      <c r="A1042" t="s">
        <v>1897</v>
      </c>
      <c r="B1042" s="6">
        <v>44940</v>
      </c>
      <c r="C1042" s="6" t="str">
        <f t="shared" si="48"/>
        <v>Jan</v>
      </c>
      <c r="D1042" t="s">
        <v>1898</v>
      </c>
      <c r="E1042" t="s">
        <v>31</v>
      </c>
      <c r="F1042" t="s">
        <v>344</v>
      </c>
      <c r="G1042">
        <v>5</v>
      </c>
      <c r="H1042" s="7">
        <v>261.55</v>
      </c>
      <c r="I1042" t="s">
        <v>64</v>
      </c>
      <c r="J1042" t="s">
        <v>42</v>
      </c>
      <c r="K1042">
        <v>15</v>
      </c>
      <c r="L1042" s="7">
        <f t="shared" si="49"/>
        <v>1307.75</v>
      </c>
      <c r="M1042" s="7"/>
      <c r="O1042">
        <f t="shared" si="50"/>
        <v>2</v>
      </c>
      <c r="Q1042" t="s">
        <v>65</v>
      </c>
    </row>
    <row r="1043" spans="1:17" x14ac:dyDescent="0.3">
      <c r="A1043" t="s">
        <v>1899</v>
      </c>
      <c r="B1043" s="6">
        <v>45019</v>
      </c>
      <c r="C1043" s="6" t="str">
        <f t="shared" si="48"/>
        <v>Apr</v>
      </c>
      <c r="D1043" t="s">
        <v>1042</v>
      </c>
      <c r="E1043" t="s">
        <v>19</v>
      </c>
      <c r="F1043" t="s">
        <v>292</v>
      </c>
      <c r="G1043">
        <v>6</v>
      </c>
      <c r="H1043" s="7">
        <v>362.5</v>
      </c>
      <c r="I1043" t="s">
        <v>46</v>
      </c>
      <c r="J1043" t="s">
        <v>22</v>
      </c>
      <c r="K1043">
        <v>15</v>
      </c>
      <c r="L1043" s="7">
        <f t="shared" si="49"/>
        <v>2175</v>
      </c>
      <c r="M1043" s="7"/>
      <c r="O1043">
        <f t="shared" si="50"/>
        <v>2</v>
      </c>
      <c r="Q1043" t="s">
        <v>47</v>
      </c>
    </row>
    <row r="1044" spans="1:17" x14ac:dyDescent="0.3">
      <c r="A1044" t="s">
        <v>1900</v>
      </c>
      <c r="B1044" s="6">
        <v>45150</v>
      </c>
      <c r="C1044" s="6" t="str">
        <f t="shared" si="48"/>
        <v>Aug</v>
      </c>
      <c r="D1044" t="s">
        <v>645</v>
      </c>
      <c r="E1044" t="s">
        <v>19</v>
      </c>
      <c r="F1044" t="s">
        <v>316</v>
      </c>
      <c r="G1044">
        <v>9</v>
      </c>
      <c r="H1044" s="7">
        <v>91.21</v>
      </c>
      <c r="I1044" t="s">
        <v>103</v>
      </c>
      <c r="J1044" t="s">
        <v>87</v>
      </c>
      <c r="K1044">
        <v>20</v>
      </c>
      <c r="L1044" s="7">
        <f t="shared" si="49"/>
        <v>820.89</v>
      </c>
      <c r="M1044" s="7"/>
      <c r="O1044">
        <f t="shared" si="50"/>
        <v>2</v>
      </c>
      <c r="Q1044" t="s">
        <v>104</v>
      </c>
    </row>
    <row r="1045" spans="1:17" x14ac:dyDescent="0.3">
      <c r="A1045" t="s">
        <v>1901</v>
      </c>
      <c r="B1045" s="6">
        <v>45068</v>
      </c>
      <c r="C1045" s="6" t="str">
        <f t="shared" si="48"/>
        <v>May</v>
      </c>
      <c r="D1045" t="s">
        <v>1620</v>
      </c>
      <c r="E1045" t="s">
        <v>19</v>
      </c>
      <c r="F1045" t="s">
        <v>242</v>
      </c>
      <c r="G1045">
        <v>2</v>
      </c>
      <c r="H1045" s="7">
        <v>275.70999999999998</v>
      </c>
      <c r="I1045" t="s">
        <v>103</v>
      </c>
      <c r="J1045" t="s">
        <v>42</v>
      </c>
      <c r="K1045">
        <v>15</v>
      </c>
      <c r="L1045" s="7">
        <f t="shared" si="49"/>
        <v>551.41999999999996</v>
      </c>
      <c r="M1045" s="7"/>
      <c r="O1045">
        <f t="shared" si="50"/>
        <v>2</v>
      </c>
      <c r="Q1045" t="s">
        <v>104</v>
      </c>
    </row>
    <row r="1046" spans="1:17" x14ac:dyDescent="0.3">
      <c r="A1046" t="s">
        <v>1902</v>
      </c>
      <c r="B1046" s="6">
        <v>45142</v>
      </c>
      <c r="C1046" s="6" t="str">
        <f t="shared" si="48"/>
        <v>Aug</v>
      </c>
      <c r="D1046" t="s">
        <v>1516</v>
      </c>
      <c r="E1046" t="s">
        <v>26</v>
      </c>
      <c r="F1046" t="s">
        <v>334</v>
      </c>
      <c r="G1046">
        <v>5</v>
      </c>
      <c r="H1046" s="7">
        <v>358.66</v>
      </c>
      <c r="I1046" t="s">
        <v>32</v>
      </c>
      <c r="J1046" t="s">
        <v>42</v>
      </c>
      <c r="K1046">
        <v>10</v>
      </c>
      <c r="L1046" s="7">
        <f t="shared" si="49"/>
        <v>1793.3000000000002</v>
      </c>
      <c r="M1046" s="7"/>
      <c r="O1046">
        <f t="shared" si="50"/>
        <v>2</v>
      </c>
      <c r="Q1046" t="s">
        <v>33</v>
      </c>
    </row>
    <row r="1047" spans="1:17" x14ac:dyDescent="0.3">
      <c r="A1047" t="s">
        <v>1903</v>
      </c>
      <c r="B1047" s="6">
        <v>45015</v>
      </c>
      <c r="C1047" s="6" t="str">
        <f t="shared" si="48"/>
        <v>Mar</v>
      </c>
      <c r="D1047" t="s">
        <v>1904</v>
      </c>
      <c r="E1047" t="s">
        <v>62</v>
      </c>
      <c r="F1047" t="s">
        <v>975</v>
      </c>
      <c r="G1047">
        <v>3</v>
      </c>
      <c r="H1047" s="7">
        <v>225.09</v>
      </c>
      <c r="I1047" t="s">
        <v>46</v>
      </c>
      <c r="J1047" t="s">
        <v>28</v>
      </c>
      <c r="K1047">
        <v>10</v>
      </c>
      <c r="L1047" s="7">
        <f t="shared" si="49"/>
        <v>675.27</v>
      </c>
      <c r="M1047" s="7"/>
      <c r="O1047">
        <f t="shared" si="50"/>
        <v>2</v>
      </c>
      <c r="Q1047" t="s">
        <v>47</v>
      </c>
    </row>
    <row r="1048" spans="1:17" x14ac:dyDescent="0.3">
      <c r="A1048" t="s">
        <v>1905</v>
      </c>
      <c r="B1048" s="6">
        <v>45227</v>
      </c>
      <c r="C1048" s="6" t="str">
        <f t="shared" si="48"/>
        <v>Oct</v>
      </c>
      <c r="D1048" t="s">
        <v>1140</v>
      </c>
      <c r="E1048" t="s">
        <v>26</v>
      </c>
      <c r="F1048" t="s">
        <v>331</v>
      </c>
      <c r="G1048">
        <v>5</v>
      </c>
      <c r="H1048" s="7">
        <v>18.41</v>
      </c>
      <c r="I1048" t="s">
        <v>21</v>
      </c>
      <c r="J1048" t="s">
        <v>22</v>
      </c>
      <c r="K1048">
        <v>0</v>
      </c>
      <c r="L1048" s="7">
        <f t="shared" si="49"/>
        <v>92.05</v>
      </c>
      <c r="M1048" s="7"/>
      <c r="O1048">
        <f t="shared" si="50"/>
        <v>2</v>
      </c>
      <c r="Q1048" t="s">
        <v>23</v>
      </c>
    </row>
    <row r="1049" spans="1:17" x14ac:dyDescent="0.3">
      <c r="A1049" t="s">
        <v>1906</v>
      </c>
      <c r="B1049" s="6">
        <v>45258</v>
      </c>
      <c r="C1049" s="6" t="str">
        <f t="shared" si="48"/>
        <v>Nov</v>
      </c>
      <c r="D1049" t="s">
        <v>1386</v>
      </c>
      <c r="E1049" t="s">
        <v>31</v>
      </c>
      <c r="F1049" t="s">
        <v>420</v>
      </c>
      <c r="G1049">
        <v>6</v>
      </c>
      <c r="H1049" s="7">
        <v>227.39</v>
      </c>
      <c r="I1049" t="s">
        <v>19</v>
      </c>
      <c r="J1049" t="s">
        <v>22</v>
      </c>
      <c r="K1049">
        <v>0</v>
      </c>
      <c r="L1049" s="7">
        <f t="shared" si="49"/>
        <v>1364.34</v>
      </c>
      <c r="M1049" s="7"/>
      <c r="O1049">
        <f t="shared" si="50"/>
        <v>2</v>
      </c>
      <c r="Q1049" t="s">
        <v>19</v>
      </c>
    </row>
    <row r="1050" spans="1:17" x14ac:dyDescent="0.3">
      <c r="A1050" t="s">
        <v>1907</v>
      </c>
      <c r="B1050" s="6">
        <v>44971</v>
      </c>
      <c r="C1050" s="6" t="str">
        <f t="shared" si="48"/>
        <v>Feb</v>
      </c>
      <c r="D1050" t="s">
        <v>1908</v>
      </c>
      <c r="E1050" t="s">
        <v>31</v>
      </c>
      <c r="F1050" t="s">
        <v>708</v>
      </c>
      <c r="G1050">
        <v>8</v>
      </c>
      <c r="H1050" s="7">
        <v>151.74</v>
      </c>
      <c r="I1050" t="s">
        <v>32</v>
      </c>
      <c r="J1050" t="s">
        <v>87</v>
      </c>
      <c r="K1050">
        <v>0</v>
      </c>
      <c r="L1050" s="7">
        <f t="shared" si="49"/>
        <v>1213.92</v>
      </c>
      <c r="M1050" s="7"/>
      <c r="O1050">
        <f t="shared" si="50"/>
        <v>2</v>
      </c>
      <c r="Q1050" t="s">
        <v>33</v>
      </c>
    </row>
    <row r="1051" spans="1:17" x14ac:dyDescent="0.3">
      <c r="A1051" t="s">
        <v>1909</v>
      </c>
      <c r="B1051" s="6">
        <v>44959</v>
      </c>
      <c r="C1051" s="6" t="str">
        <f t="shared" si="48"/>
        <v>Feb</v>
      </c>
      <c r="D1051" t="s">
        <v>1910</v>
      </c>
      <c r="E1051" t="s">
        <v>31</v>
      </c>
      <c r="F1051" t="s">
        <v>436</v>
      </c>
      <c r="G1051">
        <v>1</v>
      </c>
      <c r="H1051" s="7">
        <v>252.16</v>
      </c>
      <c r="I1051" t="s">
        <v>19</v>
      </c>
      <c r="J1051" t="s">
        <v>22</v>
      </c>
      <c r="K1051">
        <v>10</v>
      </c>
      <c r="L1051" s="7">
        <f t="shared" si="49"/>
        <v>252.16</v>
      </c>
      <c r="M1051" s="7"/>
      <c r="O1051">
        <f t="shared" si="50"/>
        <v>2</v>
      </c>
      <c r="Q1051" t="s">
        <v>19</v>
      </c>
    </row>
    <row r="1052" spans="1:17" x14ac:dyDescent="0.3">
      <c r="A1052" t="s">
        <v>1911</v>
      </c>
      <c r="B1052" s="6">
        <v>44948</v>
      </c>
      <c r="C1052" s="6" t="str">
        <f t="shared" si="48"/>
        <v>Jan</v>
      </c>
      <c r="D1052" t="s">
        <v>1625</v>
      </c>
      <c r="E1052" t="s">
        <v>19</v>
      </c>
      <c r="F1052" t="s">
        <v>1568</v>
      </c>
      <c r="G1052">
        <v>8</v>
      </c>
      <c r="H1052" s="7">
        <v>66.680000000000007</v>
      </c>
      <c r="I1052" t="s">
        <v>46</v>
      </c>
      <c r="J1052" t="s">
        <v>22</v>
      </c>
      <c r="K1052">
        <v>15</v>
      </c>
      <c r="L1052" s="7">
        <f t="shared" si="49"/>
        <v>533.44000000000005</v>
      </c>
      <c r="M1052" s="7"/>
      <c r="O1052">
        <f t="shared" si="50"/>
        <v>2</v>
      </c>
      <c r="Q1052" t="s">
        <v>47</v>
      </c>
    </row>
    <row r="1053" spans="1:17" x14ac:dyDescent="0.3">
      <c r="A1053" t="s">
        <v>1912</v>
      </c>
      <c r="B1053" s="6">
        <v>44956</v>
      </c>
      <c r="C1053" s="6" t="str">
        <f t="shared" si="48"/>
        <v>Jan</v>
      </c>
      <c r="D1053" t="s">
        <v>1913</v>
      </c>
      <c r="E1053" t="s">
        <v>19</v>
      </c>
      <c r="F1053" t="s">
        <v>201</v>
      </c>
      <c r="G1053">
        <v>7</v>
      </c>
      <c r="H1053" s="7">
        <v>327.98</v>
      </c>
      <c r="I1053" t="s">
        <v>32</v>
      </c>
      <c r="J1053" t="s">
        <v>19</v>
      </c>
      <c r="K1053">
        <v>20</v>
      </c>
      <c r="L1053" s="7">
        <f t="shared" si="49"/>
        <v>2295.86</v>
      </c>
      <c r="M1053" s="7"/>
      <c r="O1053">
        <f t="shared" si="50"/>
        <v>2</v>
      </c>
      <c r="Q1053" t="s">
        <v>33</v>
      </c>
    </row>
    <row r="1054" spans="1:17" x14ac:dyDescent="0.3">
      <c r="A1054" t="s">
        <v>1914</v>
      </c>
      <c r="B1054" s="6">
        <v>45048</v>
      </c>
      <c r="C1054" s="6" t="str">
        <f t="shared" si="48"/>
        <v>May</v>
      </c>
      <c r="D1054" t="s">
        <v>400</v>
      </c>
      <c r="E1054" t="s">
        <v>40</v>
      </c>
      <c r="F1054" t="s">
        <v>237</v>
      </c>
      <c r="G1054">
        <v>1</v>
      </c>
      <c r="H1054" s="7">
        <v>31.1</v>
      </c>
      <c r="I1054" t="s">
        <v>21</v>
      </c>
      <c r="J1054" t="s">
        <v>87</v>
      </c>
      <c r="K1054">
        <v>5</v>
      </c>
      <c r="L1054" s="7">
        <f t="shared" si="49"/>
        <v>31.1</v>
      </c>
      <c r="M1054" s="7"/>
      <c r="O1054">
        <f t="shared" si="50"/>
        <v>2</v>
      </c>
      <c r="Q1054" t="s">
        <v>23</v>
      </c>
    </row>
    <row r="1055" spans="1:17" x14ac:dyDescent="0.3">
      <c r="A1055" t="s">
        <v>1915</v>
      </c>
      <c r="B1055" s="6">
        <v>45023</v>
      </c>
      <c r="C1055" s="6" t="str">
        <f t="shared" si="48"/>
        <v>Apr</v>
      </c>
      <c r="D1055" t="s">
        <v>1916</v>
      </c>
      <c r="E1055" t="s">
        <v>36</v>
      </c>
      <c r="F1055" t="s">
        <v>41</v>
      </c>
      <c r="G1055">
        <v>2</v>
      </c>
      <c r="H1055" s="7">
        <v>225.85</v>
      </c>
      <c r="I1055" t="s">
        <v>19</v>
      </c>
      <c r="J1055" t="s">
        <v>72</v>
      </c>
      <c r="K1055">
        <v>15</v>
      </c>
      <c r="L1055" s="7">
        <f t="shared" si="49"/>
        <v>451.7</v>
      </c>
      <c r="M1055" s="7"/>
      <c r="O1055">
        <f t="shared" si="50"/>
        <v>2</v>
      </c>
      <c r="Q1055" t="s">
        <v>19</v>
      </c>
    </row>
    <row r="1056" spans="1:17" x14ac:dyDescent="0.3">
      <c r="A1056" t="s">
        <v>1917</v>
      </c>
      <c r="B1056" s="6">
        <v>45210</v>
      </c>
      <c r="C1056" s="6" t="str">
        <f t="shared" si="48"/>
        <v>Oct</v>
      </c>
      <c r="D1056" t="s">
        <v>1918</v>
      </c>
      <c r="E1056" t="s">
        <v>50</v>
      </c>
      <c r="F1056" t="s">
        <v>188</v>
      </c>
      <c r="G1056">
        <v>3</v>
      </c>
      <c r="H1056" s="7">
        <v>252.16</v>
      </c>
      <c r="I1056" t="s">
        <v>103</v>
      </c>
      <c r="J1056" t="s">
        <v>72</v>
      </c>
      <c r="K1056">
        <v>10</v>
      </c>
      <c r="L1056" s="7">
        <f t="shared" si="49"/>
        <v>756.48</v>
      </c>
      <c r="M1056" s="7"/>
      <c r="O1056">
        <f t="shared" si="50"/>
        <v>2</v>
      </c>
      <c r="Q1056" t="s">
        <v>104</v>
      </c>
    </row>
    <row r="1057" spans="1:17" x14ac:dyDescent="0.3">
      <c r="A1057" t="s">
        <v>1919</v>
      </c>
      <c r="B1057" s="6">
        <v>44984</v>
      </c>
      <c r="C1057" s="6" t="str">
        <f t="shared" si="48"/>
        <v>Feb</v>
      </c>
      <c r="D1057" t="s">
        <v>300</v>
      </c>
      <c r="E1057" t="s">
        <v>31</v>
      </c>
      <c r="F1057" t="s">
        <v>480</v>
      </c>
      <c r="G1057">
        <v>1</v>
      </c>
      <c r="H1057" s="7">
        <v>152.49</v>
      </c>
      <c r="I1057" t="s">
        <v>46</v>
      </c>
      <c r="J1057" t="s">
        <v>19</v>
      </c>
      <c r="K1057">
        <v>10</v>
      </c>
      <c r="L1057" s="7">
        <f t="shared" si="49"/>
        <v>152.49</v>
      </c>
      <c r="M1057" s="7"/>
      <c r="O1057">
        <f t="shared" si="50"/>
        <v>2</v>
      </c>
      <c r="Q1057" t="s">
        <v>47</v>
      </c>
    </row>
    <row r="1058" spans="1:17" x14ac:dyDescent="0.3">
      <c r="A1058" t="s">
        <v>1920</v>
      </c>
      <c r="B1058" s="6">
        <v>45237</v>
      </c>
      <c r="C1058" s="6" t="str">
        <f t="shared" si="48"/>
        <v>Nov</v>
      </c>
      <c r="D1058" t="s">
        <v>187</v>
      </c>
      <c r="E1058" t="s">
        <v>50</v>
      </c>
      <c r="F1058" t="s">
        <v>369</v>
      </c>
      <c r="G1058">
        <v>9</v>
      </c>
      <c r="H1058" s="7">
        <v>230.26</v>
      </c>
      <c r="I1058" t="s">
        <v>46</v>
      </c>
      <c r="J1058" t="s">
        <v>19</v>
      </c>
      <c r="K1058">
        <v>10</v>
      </c>
      <c r="L1058" s="7">
        <f t="shared" si="49"/>
        <v>2072.34</v>
      </c>
      <c r="M1058" s="7"/>
      <c r="O1058">
        <f t="shared" si="50"/>
        <v>2</v>
      </c>
      <c r="Q1058" t="s">
        <v>47</v>
      </c>
    </row>
    <row r="1059" spans="1:17" x14ac:dyDescent="0.3">
      <c r="A1059" t="s">
        <v>1921</v>
      </c>
      <c r="B1059" s="6">
        <v>45232</v>
      </c>
      <c r="C1059" s="6" t="str">
        <f t="shared" si="48"/>
        <v>Nov</v>
      </c>
      <c r="D1059" t="s">
        <v>1922</v>
      </c>
      <c r="E1059" t="s">
        <v>19</v>
      </c>
      <c r="F1059" t="s">
        <v>142</v>
      </c>
      <c r="G1059">
        <v>8</v>
      </c>
      <c r="H1059" s="7">
        <v>85.96</v>
      </c>
      <c r="I1059" t="s">
        <v>19</v>
      </c>
      <c r="J1059" t="s">
        <v>19</v>
      </c>
      <c r="K1059">
        <v>0</v>
      </c>
      <c r="L1059" s="7">
        <f t="shared" si="49"/>
        <v>687.68</v>
      </c>
      <c r="M1059" s="7"/>
      <c r="O1059">
        <f t="shared" si="50"/>
        <v>2</v>
      </c>
      <c r="Q1059" t="s">
        <v>19</v>
      </c>
    </row>
    <row r="1060" spans="1:17" x14ac:dyDescent="0.3">
      <c r="A1060" t="s">
        <v>1923</v>
      </c>
      <c r="B1060" s="6">
        <v>45069</v>
      </c>
      <c r="C1060" s="6" t="str">
        <f t="shared" si="48"/>
        <v>May</v>
      </c>
      <c r="D1060" t="s">
        <v>226</v>
      </c>
      <c r="E1060" t="s">
        <v>19</v>
      </c>
      <c r="F1060" t="s">
        <v>375</v>
      </c>
      <c r="G1060">
        <v>2</v>
      </c>
      <c r="H1060" s="7">
        <v>155.54</v>
      </c>
      <c r="I1060" t="s">
        <v>46</v>
      </c>
      <c r="J1060" t="s">
        <v>28</v>
      </c>
      <c r="K1060">
        <v>15</v>
      </c>
      <c r="L1060" s="7">
        <f t="shared" si="49"/>
        <v>311.08</v>
      </c>
      <c r="M1060" s="7"/>
      <c r="O1060">
        <f t="shared" si="50"/>
        <v>2</v>
      </c>
      <c r="Q1060" t="s">
        <v>47</v>
      </c>
    </row>
    <row r="1061" spans="1:17" x14ac:dyDescent="0.3">
      <c r="A1061" t="s">
        <v>1924</v>
      </c>
      <c r="B1061" s="6">
        <v>44965</v>
      </c>
      <c r="C1061" s="6" t="str">
        <f t="shared" si="48"/>
        <v>Feb</v>
      </c>
      <c r="D1061" t="s">
        <v>440</v>
      </c>
      <c r="E1061" t="s">
        <v>31</v>
      </c>
      <c r="F1061" t="s">
        <v>350</v>
      </c>
      <c r="G1061">
        <v>9</v>
      </c>
      <c r="H1061" s="7">
        <v>312.45</v>
      </c>
      <c r="I1061" t="s">
        <v>32</v>
      </c>
      <c r="J1061" t="s">
        <v>19</v>
      </c>
      <c r="K1061">
        <v>0</v>
      </c>
      <c r="L1061" s="7">
        <f t="shared" si="49"/>
        <v>2812.0499999999997</v>
      </c>
      <c r="M1061" s="7"/>
      <c r="O1061">
        <f t="shared" si="50"/>
        <v>3</v>
      </c>
      <c r="Q1061" t="s">
        <v>33</v>
      </c>
    </row>
    <row r="1062" spans="1:17" x14ac:dyDescent="0.3">
      <c r="A1062" t="s">
        <v>1925</v>
      </c>
      <c r="B1062" s="6">
        <v>45028</v>
      </c>
      <c r="C1062" s="6" t="str">
        <f t="shared" si="48"/>
        <v>Apr</v>
      </c>
      <c r="D1062" t="s">
        <v>1908</v>
      </c>
      <c r="E1062" t="s">
        <v>50</v>
      </c>
      <c r="F1062" t="s">
        <v>270</v>
      </c>
      <c r="G1062">
        <v>7</v>
      </c>
      <c r="H1062" s="7">
        <v>154.38999999999999</v>
      </c>
      <c r="I1062" t="s">
        <v>64</v>
      </c>
      <c r="J1062" t="s">
        <v>87</v>
      </c>
      <c r="K1062">
        <v>5</v>
      </c>
      <c r="L1062" s="7">
        <f t="shared" si="49"/>
        <v>1080.73</v>
      </c>
      <c r="M1062" s="7"/>
      <c r="O1062">
        <f t="shared" si="50"/>
        <v>2</v>
      </c>
      <c r="Q1062" t="s">
        <v>65</v>
      </c>
    </row>
    <row r="1063" spans="1:17" x14ac:dyDescent="0.3">
      <c r="A1063" t="s">
        <v>1926</v>
      </c>
      <c r="B1063" s="6">
        <v>45056</v>
      </c>
      <c r="C1063" s="6" t="str">
        <f t="shared" si="48"/>
        <v>May</v>
      </c>
      <c r="D1063" t="s">
        <v>388</v>
      </c>
      <c r="E1063" t="s">
        <v>26</v>
      </c>
      <c r="F1063" t="s">
        <v>84</v>
      </c>
      <c r="G1063">
        <v>9</v>
      </c>
      <c r="H1063" s="7">
        <v>450.37</v>
      </c>
      <c r="I1063" t="s">
        <v>64</v>
      </c>
      <c r="J1063" t="s">
        <v>87</v>
      </c>
      <c r="K1063">
        <v>10</v>
      </c>
      <c r="L1063" s="7">
        <f t="shared" si="49"/>
        <v>4053.33</v>
      </c>
      <c r="M1063" s="7"/>
      <c r="O1063">
        <f t="shared" si="50"/>
        <v>5</v>
      </c>
      <c r="Q1063" t="s">
        <v>65</v>
      </c>
    </row>
    <row r="1064" spans="1:17" x14ac:dyDescent="0.3">
      <c r="A1064" t="s">
        <v>1927</v>
      </c>
      <c r="B1064" s="6">
        <v>44979</v>
      </c>
      <c r="C1064" s="6" t="str">
        <f t="shared" si="48"/>
        <v>Feb</v>
      </c>
      <c r="D1064" t="s">
        <v>510</v>
      </c>
      <c r="E1064" t="s">
        <v>50</v>
      </c>
      <c r="F1064" t="s">
        <v>386</v>
      </c>
      <c r="G1064">
        <v>6</v>
      </c>
      <c r="H1064" s="7">
        <v>316.06</v>
      </c>
      <c r="I1064" t="s">
        <v>32</v>
      </c>
      <c r="J1064" t="s">
        <v>22</v>
      </c>
      <c r="K1064">
        <v>0</v>
      </c>
      <c r="L1064" s="7">
        <f t="shared" si="49"/>
        <v>1896.3600000000001</v>
      </c>
      <c r="M1064" s="7"/>
      <c r="O1064">
        <f t="shared" si="50"/>
        <v>2</v>
      </c>
      <c r="Q1064" t="s">
        <v>33</v>
      </c>
    </row>
    <row r="1065" spans="1:17" x14ac:dyDescent="0.3">
      <c r="A1065" t="s">
        <v>1928</v>
      </c>
      <c r="B1065" s="6">
        <v>44927</v>
      </c>
      <c r="C1065" s="6" t="str">
        <f t="shared" si="48"/>
        <v>Jan</v>
      </c>
      <c r="D1065" t="s">
        <v>272</v>
      </c>
      <c r="E1065" t="s">
        <v>50</v>
      </c>
      <c r="F1065" t="s">
        <v>988</v>
      </c>
      <c r="G1065">
        <v>6</v>
      </c>
      <c r="H1065" s="7">
        <v>222.13</v>
      </c>
      <c r="I1065" t="s">
        <v>19</v>
      </c>
      <c r="J1065" t="s">
        <v>28</v>
      </c>
      <c r="K1065">
        <v>5</v>
      </c>
      <c r="L1065" s="7">
        <f t="shared" si="49"/>
        <v>1332.78</v>
      </c>
      <c r="M1065" s="7"/>
      <c r="O1065">
        <f t="shared" si="50"/>
        <v>2</v>
      </c>
      <c r="Q1065" t="s">
        <v>19</v>
      </c>
    </row>
    <row r="1066" spans="1:17" x14ac:dyDescent="0.3">
      <c r="A1066" t="s">
        <v>1929</v>
      </c>
      <c r="B1066" s="6">
        <v>45145</v>
      </c>
      <c r="C1066" s="6" t="str">
        <f t="shared" si="48"/>
        <v>Aug</v>
      </c>
      <c r="D1066" t="s">
        <v>1135</v>
      </c>
      <c r="E1066" t="s">
        <v>19</v>
      </c>
      <c r="F1066" t="s">
        <v>289</v>
      </c>
      <c r="G1066">
        <v>4</v>
      </c>
      <c r="H1066" s="7">
        <v>24.18</v>
      </c>
      <c r="I1066" t="s">
        <v>46</v>
      </c>
      <c r="J1066" t="s">
        <v>19</v>
      </c>
      <c r="K1066">
        <v>10</v>
      </c>
      <c r="L1066" s="7">
        <f t="shared" si="49"/>
        <v>96.72</v>
      </c>
      <c r="M1066" s="7"/>
      <c r="O1066">
        <f t="shared" si="50"/>
        <v>2</v>
      </c>
      <c r="Q1066" t="s">
        <v>47</v>
      </c>
    </row>
    <row r="1067" spans="1:17" x14ac:dyDescent="0.3">
      <c r="A1067" t="s">
        <v>1930</v>
      </c>
      <c r="B1067" s="6">
        <v>45176</v>
      </c>
      <c r="C1067" s="6" t="str">
        <f t="shared" si="48"/>
        <v>Sep</v>
      </c>
      <c r="D1067" t="s">
        <v>380</v>
      </c>
      <c r="E1067" t="s">
        <v>31</v>
      </c>
      <c r="F1067" t="s">
        <v>363</v>
      </c>
      <c r="G1067">
        <v>2</v>
      </c>
      <c r="H1067" s="7">
        <v>252.28</v>
      </c>
      <c r="I1067" t="s">
        <v>64</v>
      </c>
      <c r="J1067" t="s">
        <v>42</v>
      </c>
      <c r="K1067">
        <v>0</v>
      </c>
      <c r="L1067" s="7">
        <f t="shared" si="49"/>
        <v>504.56</v>
      </c>
      <c r="M1067" s="7"/>
      <c r="O1067">
        <f t="shared" si="50"/>
        <v>2</v>
      </c>
      <c r="Q1067" t="s">
        <v>65</v>
      </c>
    </row>
    <row r="1068" spans="1:17" x14ac:dyDescent="0.3">
      <c r="A1068" t="s">
        <v>1931</v>
      </c>
      <c r="B1068" s="6">
        <v>45151</v>
      </c>
      <c r="C1068" s="6" t="str">
        <f t="shared" si="48"/>
        <v>Aug</v>
      </c>
      <c r="D1068" t="s">
        <v>621</v>
      </c>
      <c r="E1068" t="s">
        <v>62</v>
      </c>
      <c r="F1068" t="s">
        <v>1251</v>
      </c>
      <c r="G1068">
        <v>7</v>
      </c>
      <c r="H1068" s="7">
        <v>383.56</v>
      </c>
      <c r="I1068" t="s">
        <v>46</v>
      </c>
      <c r="J1068" t="s">
        <v>22</v>
      </c>
      <c r="K1068">
        <v>0</v>
      </c>
      <c r="L1068" s="7">
        <f t="shared" si="49"/>
        <v>2684.92</v>
      </c>
      <c r="M1068" s="7"/>
      <c r="O1068">
        <f t="shared" si="50"/>
        <v>3</v>
      </c>
      <c r="Q1068" t="s">
        <v>47</v>
      </c>
    </row>
    <row r="1069" spans="1:17" x14ac:dyDescent="0.3">
      <c r="A1069" t="s">
        <v>1932</v>
      </c>
      <c r="B1069" s="6">
        <v>44991</v>
      </c>
      <c r="C1069" s="6" t="str">
        <f t="shared" si="48"/>
        <v>Mar</v>
      </c>
      <c r="D1069" t="s">
        <v>1933</v>
      </c>
      <c r="E1069" t="s">
        <v>36</v>
      </c>
      <c r="F1069" t="s">
        <v>627</v>
      </c>
      <c r="G1069">
        <v>5</v>
      </c>
      <c r="H1069" s="7">
        <v>136.44999999999999</v>
      </c>
      <c r="I1069" t="s">
        <v>19</v>
      </c>
      <c r="J1069" t="s">
        <v>87</v>
      </c>
      <c r="K1069">
        <v>20</v>
      </c>
      <c r="L1069" s="7">
        <f t="shared" si="49"/>
        <v>682.25</v>
      </c>
      <c r="M1069" s="7"/>
      <c r="O1069">
        <f t="shared" si="50"/>
        <v>2</v>
      </c>
      <c r="Q1069" t="s">
        <v>19</v>
      </c>
    </row>
    <row r="1070" spans="1:17" x14ac:dyDescent="0.3">
      <c r="A1070" t="s">
        <v>1934</v>
      </c>
      <c r="B1070" s="6">
        <v>45156</v>
      </c>
      <c r="C1070" s="6" t="str">
        <f t="shared" si="48"/>
        <v>Aug</v>
      </c>
      <c r="D1070" t="s">
        <v>1935</v>
      </c>
      <c r="E1070" t="s">
        <v>36</v>
      </c>
      <c r="F1070" t="s">
        <v>68</v>
      </c>
      <c r="G1070">
        <v>6</v>
      </c>
      <c r="H1070" s="7">
        <v>404.35</v>
      </c>
      <c r="I1070" t="s">
        <v>64</v>
      </c>
      <c r="J1070" t="s">
        <v>22</v>
      </c>
      <c r="K1070">
        <v>10</v>
      </c>
      <c r="L1070" s="7">
        <f t="shared" si="49"/>
        <v>2426.1000000000004</v>
      </c>
      <c r="M1070" s="7"/>
      <c r="O1070">
        <f t="shared" si="50"/>
        <v>2</v>
      </c>
      <c r="Q1070" t="s">
        <v>65</v>
      </c>
    </row>
    <row r="1071" spans="1:17" x14ac:dyDescent="0.3">
      <c r="A1071" t="s">
        <v>1936</v>
      </c>
      <c r="B1071" s="6">
        <v>45063</v>
      </c>
      <c r="C1071" s="6" t="str">
        <f t="shared" si="48"/>
        <v>May</v>
      </c>
      <c r="D1071" t="s">
        <v>1426</v>
      </c>
      <c r="E1071" t="s">
        <v>19</v>
      </c>
      <c r="F1071" t="s">
        <v>63</v>
      </c>
      <c r="G1071">
        <v>2</v>
      </c>
      <c r="H1071" s="7">
        <v>129.63999999999999</v>
      </c>
      <c r="I1071" t="s">
        <v>64</v>
      </c>
      <c r="J1071" t="s">
        <v>28</v>
      </c>
      <c r="K1071">
        <v>10</v>
      </c>
      <c r="L1071" s="7">
        <f t="shared" si="49"/>
        <v>259.27999999999997</v>
      </c>
      <c r="M1071" s="7"/>
      <c r="O1071">
        <f t="shared" si="50"/>
        <v>2</v>
      </c>
      <c r="Q1071" t="s">
        <v>65</v>
      </c>
    </row>
    <row r="1072" spans="1:17" x14ac:dyDescent="0.3">
      <c r="A1072" t="s">
        <v>1937</v>
      </c>
      <c r="B1072" s="6">
        <v>45000</v>
      </c>
      <c r="C1072" s="6" t="str">
        <f t="shared" si="48"/>
        <v>Mar</v>
      </c>
      <c r="D1072" t="s">
        <v>943</v>
      </c>
      <c r="E1072" t="s">
        <v>19</v>
      </c>
      <c r="F1072" t="s">
        <v>598</v>
      </c>
      <c r="G1072">
        <v>5</v>
      </c>
      <c r="H1072" s="7">
        <v>412.75</v>
      </c>
      <c r="I1072" t="s">
        <v>19</v>
      </c>
      <c r="J1072" t="s">
        <v>72</v>
      </c>
      <c r="K1072">
        <v>10</v>
      </c>
      <c r="L1072" s="7">
        <f t="shared" si="49"/>
        <v>2063.75</v>
      </c>
      <c r="M1072" s="7"/>
      <c r="O1072">
        <f t="shared" si="50"/>
        <v>2</v>
      </c>
      <c r="Q1072" t="s">
        <v>19</v>
      </c>
    </row>
    <row r="1073" spans="1:17" x14ac:dyDescent="0.3">
      <c r="A1073" t="s">
        <v>1938</v>
      </c>
      <c r="B1073" s="6">
        <v>44986</v>
      </c>
      <c r="C1073" s="6" t="str">
        <f t="shared" si="48"/>
        <v>Mar</v>
      </c>
      <c r="D1073" t="s">
        <v>1725</v>
      </c>
      <c r="E1073" t="s">
        <v>36</v>
      </c>
      <c r="F1073" t="s">
        <v>359</v>
      </c>
      <c r="G1073">
        <v>4</v>
      </c>
      <c r="H1073" s="7">
        <v>47.21</v>
      </c>
      <c r="I1073" t="s">
        <v>103</v>
      </c>
      <c r="J1073" t="s">
        <v>72</v>
      </c>
      <c r="K1073">
        <v>20</v>
      </c>
      <c r="L1073" s="7">
        <f t="shared" si="49"/>
        <v>188.84</v>
      </c>
      <c r="M1073" s="7"/>
      <c r="O1073">
        <f t="shared" si="50"/>
        <v>2</v>
      </c>
      <c r="Q1073" t="s">
        <v>104</v>
      </c>
    </row>
    <row r="1074" spans="1:17" x14ac:dyDescent="0.3">
      <c r="A1074" t="s">
        <v>1939</v>
      </c>
      <c r="B1074" s="6">
        <v>44990</v>
      </c>
      <c r="C1074" s="6" t="str">
        <f t="shared" si="48"/>
        <v>Mar</v>
      </c>
      <c r="D1074" t="s">
        <v>1940</v>
      </c>
      <c r="E1074" t="s">
        <v>62</v>
      </c>
      <c r="F1074" t="s">
        <v>1282</v>
      </c>
      <c r="G1074">
        <v>9</v>
      </c>
      <c r="H1074" s="7">
        <v>433.76</v>
      </c>
      <c r="I1074" t="s">
        <v>32</v>
      </c>
      <c r="J1074" t="s">
        <v>19</v>
      </c>
      <c r="K1074">
        <v>5</v>
      </c>
      <c r="L1074" s="7">
        <f t="shared" si="49"/>
        <v>3903.84</v>
      </c>
      <c r="M1074" s="7"/>
      <c r="O1074">
        <f t="shared" si="50"/>
        <v>5</v>
      </c>
      <c r="Q1074" t="s">
        <v>33</v>
      </c>
    </row>
    <row r="1075" spans="1:17" x14ac:dyDescent="0.3">
      <c r="A1075" t="s">
        <v>1941</v>
      </c>
      <c r="B1075" s="6">
        <v>44991</v>
      </c>
      <c r="C1075" s="6" t="str">
        <f t="shared" si="48"/>
        <v>Mar</v>
      </c>
      <c r="D1075" t="s">
        <v>1942</v>
      </c>
      <c r="E1075" t="s">
        <v>62</v>
      </c>
      <c r="F1075" t="s">
        <v>214</v>
      </c>
      <c r="G1075">
        <v>6</v>
      </c>
      <c r="H1075" s="7">
        <v>252.1</v>
      </c>
      <c r="I1075" t="s">
        <v>21</v>
      </c>
      <c r="J1075" t="s">
        <v>42</v>
      </c>
      <c r="K1075">
        <v>5</v>
      </c>
      <c r="L1075" s="7">
        <f t="shared" si="49"/>
        <v>1512.6</v>
      </c>
      <c r="M1075" s="7"/>
      <c r="O1075">
        <f t="shared" si="50"/>
        <v>2</v>
      </c>
      <c r="Q1075" t="s">
        <v>23</v>
      </c>
    </row>
    <row r="1076" spans="1:17" x14ac:dyDescent="0.3">
      <c r="A1076" t="s">
        <v>1943</v>
      </c>
      <c r="B1076" s="6">
        <v>45153</v>
      </c>
      <c r="C1076" s="6" t="str">
        <f t="shared" si="48"/>
        <v>Aug</v>
      </c>
      <c r="D1076" t="s">
        <v>1859</v>
      </c>
      <c r="E1076" t="s">
        <v>50</v>
      </c>
      <c r="F1076" t="s">
        <v>54</v>
      </c>
      <c r="G1076">
        <v>2</v>
      </c>
      <c r="H1076" s="7">
        <v>151.79</v>
      </c>
      <c r="I1076" t="s">
        <v>21</v>
      </c>
      <c r="J1076" t="s">
        <v>28</v>
      </c>
      <c r="K1076">
        <v>10</v>
      </c>
      <c r="L1076" s="7">
        <f t="shared" si="49"/>
        <v>303.58</v>
      </c>
      <c r="M1076" s="7"/>
      <c r="O1076">
        <f t="shared" si="50"/>
        <v>2</v>
      </c>
      <c r="Q1076" t="s">
        <v>23</v>
      </c>
    </row>
    <row r="1077" spans="1:17" x14ac:dyDescent="0.3">
      <c r="A1077" t="s">
        <v>1944</v>
      </c>
      <c r="B1077" s="6">
        <v>45139</v>
      </c>
      <c r="C1077" s="6" t="str">
        <f t="shared" si="48"/>
        <v>Aug</v>
      </c>
      <c r="D1077" t="s">
        <v>1846</v>
      </c>
      <c r="E1077" t="s">
        <v>36</v>
      </c>
      <c r="F1077" t="s">
        <v>176</v>
      </c>
      <c r="G1077">
        <v>1</v>
      </c>
      <c r="H1077" s="7">
        <v>136.22999999999999</v>
      </c>
      <c r="I1077" t="s">
        <v>19</v>
      </c>
      <c r="J1077" t="s">
        <v>87</v>
      </c>
      <c r="K1077">
        <v>10</v>
      </c>
      <c r="L1077" s="7">
        <f t="shared" si="49"/>
        <v>136.22999999999999</v>
      </c>
      <c r="M1077" s="7"/>
      <c r="O1077">
        <f t="shared" si="50"/>
        <v>2</v>
      </c>
      <c r="Q1077" t="s">
        <v>19</v>
      </c>
    </row>
    <row r="1078" spans="1:17" x14ac:dyDescent="0.3">
      <c r="A1078" t="s">
        <v>1945</v>
      </c>
      <c r="B1078" s="6">
        <v>45107</v>
      </c>
      <c r="C1078" s="6" t="str">
        <f t="shared" si="48"/>
        <v>Jun</v>
      </c>
      <c r="D1078" t="s">
        <v>405</v>
      </c>
      <c r="E1078" t="s">
        <v>62</v>
      </c>
      <c r="F1078" t="s">
        <v>1206</v>
      </c>
      <c r="G1078">
        <v>5</v>
      </c>
      <c r="H1078" s="7">
        <v>218.85</v>
      </c>
      <c r="I1078" t="s">
        <v>103</v>
      </c>
      <c r="J1078" t="s">
        <v>42</v>
      </c>
      <c r="K1078">
        <v>5</v>
      </c>
      <c r="L1078" s="7">
        <f t="shared" si="49"/>
        <v>1094.25</v>
      </c>
      <c r="M1078" s="7"/>
      <c r="O1078">
        <f t="shared" si="50"/>
        <v>2</v>
      </c>
      <c r="Q1078" t="s">
        <v>104</v>
      </c>
    </row>
    <row r="1079" spans="1:17" x14ac:dyDescent="0.3">
      <c r="A1079" t="s">
        <v>1946</v>
      </c>
      <c r="B1079" s="6">
        <v>44944</v>
      </c>
      <c r="C1079" s="6" t="str">
        <f t="shared" si="48"/>
        <v>Jan</v>
      </c>
      <c r="D1079" t="s">
        <v>1947</v>
      </c>
      <c r="E1079" t="s">
        <v>19</v>
      </c>
      <c r="F1079" t="s">
        <v>657</v>
      </c>
      <c r="G1079">
        <v>9</v>
      </c>
      <c r="H1079" s="7">
        <v>499.53</v>
      </c>
      <c r="I1079" t="s">
        <v>19</v>
      </c>
      <c r="J1079" t="s">
        <v>19</v>
      </c>
      <c r="K1079">
        <v>10</v>
      </c>
      <c r="L1079" s="7">
        <f t="shared" si="49"/>
        <v>4495.7699999999995</v>
      </c>
      <c r="M1079" s="7"/>
      <c r="O1079">
        <f t="shared" si="50"/>
        <v>5</v>
      </c>
      <c r="Q1079" t="s">
        <v>19</v>
      </c>
    </row>
    <row r="1080" spans="1:17" x14ac:dyDescent="0.3">
      <c r="A1080" t="s">
        <v>1948</v>
      </c>
      <c r="B1080" s="6">
        <v>45121</v>
      </c>
      <c r="C1080" s="6" t="str">
        <f t="shared" si="48"/>
        <v>Jul</v>
      </c>
      <c r="D1080" t="s">
        <v>1949</v>
      </c>
      <c r="E1080" t="s">
        <v>31</v>
      </c>
      <c r="F1080" t="s">
        <v>154</v>
      </c>
      <c r="G1080">
        <v>6</v>
      </c>
      <c r="H1080" s="7">
        <v>114.06</v>
      </c>
      <c r="I1080" t="s">
        <v>21</v>
      </c>
      <c r="J1080" t="s">
        <v>72</v>
      </c>
      <c r="K1080">
        <v>5</v>
      </c>
      <c r="L1080" s="7">
        <f t="shared" si="49"/>
        <v>684.36</v>
      </c>
      <c r="M1080" s="7"/>
      <c r="O1080">
        <f t="shared" si="50"/>
        <v>2</v>
      </c>
      <c r="Q1080" t="s">
        <v>23</v>
      </c>
    </row>
    <row r="1081" spans="1:17" x14ac:dyDescent="0.3">
      <c r="A1081" t="s">
        <v>1950</v>
      </c>
      <c r="B1081" s="6">
        <v>45245</v>
      </c>
      <c r="C1081" s="6" t="str">
        <f t="shared" si="48"/>
        <v>Nov</v>
      </c>
      <c r="D1081" t="s">
        <v>877</v>
      </c>
      <c r="E1081" t="s">
        <v>40</v>
      </c>
      <c r="F1081" t="s">
        <v>504</v>
      </c>
      <c r="G1081">
        <v>7</v>
      </c>
      <c r="H1081" s="7">
        <v>56.09</v>
      </c>
      <c r="I1081" t="s">
        <v>103</v>
      </c>
      <c r="J1081" t="s">
        <v>19</v>
      </c>
      <c r="K1081">
        <v>15</v>
      </c>
      <c r="L1081" s="7">
        <f t="shared" si="49"/>
        <v>392.63</v>
      </c>
      <c r="M1081" s="7"/>
      <c r="O1081">
        <f t="shared" si="50"/>
        <v>2</v>
      </c>
      <c r="Q1081" t="s">
        <v>104</v>
      </c>
    </row>
    <row r="1082" spans="1:17" x14ac:dyDescent="0.3">
      <c r="A1082" t="s">
        <v>1951</v>
      </c>
      <c r="B1082" s="6">
        <v>45146</v>
      </c>
      <c r="C1082" s="6" t="str">
        <f t="shared" si="48"/>
        <v>Aug</v>
      </c>
      <c r="D1082" t="s">
        <v>1759</v>
      </c>
      <c r="E1082" t="s">
        <v>31</v>
      </c>
      <c r="F1082" t="s">
        <v>145</v>
      </c>
      <c r="G1082">
        <v>5</v>
      </c>
      <c r="H1082" s="7">
        <v>294.58999999999997</v>
      </c>
      <c r="I1082" t="s">
        <v>64</v>
      </c>
      <c r="J1082" t="s">
        <v>28</v>
      </c>
      <c r="K1082">
        <v>0</v>
      </c>
      <c r="L1082" s="7">
        <f t="shared" si="49"/>
        <v>1472.9499999999998</v>
      </c>
      <c r="M1082" s="7"/>
      <c r="O1082">
        <f t="shared" si="50"/>
        <v>2</v>
      </c>
      <c r="Q1082" t="s">
        <v>65</v>
      </c>
    </row>
    <row r="1083" spans="1:17" x14ac:dyDescent="0.3">
      <c r="A1083" t="s">
        <v>1952</v>
      </c>
      <c r="B1083" s="6">
        <v>45204</v>
      </c>
      <c r="C1083" s="6" t="str">
        <f t="shared" si="48"/>
        <v>Oct</v>
      </c>
      <c r="D1083" t="s">
        <v>1451</v>
      </c>
      <c r="E1083" t="s">
        <v>19</v>
      </c>
      <c r="F1083" t="s">
        <v>353</v>
      </c>
      <c r="G1083">
        <v>6</v>
      </c>
      <c r="H1083" s="7">
        <v>246.83</v>
      </c>
      <c r="I1083" t="s">
        <v>46</v>
      </c>
      <c r="J1083" t="s">
        <v>19</v>
      </c>
      <c r="K1083">
        <v>10</v>
      </c>
      <c r="L1083" s="7">
        <f t="shared" si="49"/>
        <v>1480.98</v>
      </c>
      <c r="M1083" s="7"/>
      <c r="O1083">
        <f t="shared" si="50"/>
        <v>2</v>
      </c>
      <c r="Q1083" t="s">
        <v>47</v>
      </c>
    </row>
    <row r="1084" spans="1:17" x14ac:dyDescent="0.3">
      <c r="A1084" t="s">
        <v>1953</v>
      </c>
      <c r="B1084" s="6">
        <v>44993</v>
      </c>
      <c r="C1084" s="6" t="str">
        <f t="shared" si="48"/>
        <v>Mar</v>
      </c>
      <c r="D1084" t="s">
        <v>639</v>
      </c>
      <c r="E1084" t="s">
        <v>40</v>
      </c>
      <c r="F1084" t="s">
        <v>94</v>
      </c>
      <c r="G1084">
        <v>5</v>
      </c>
      <c r="H1084" s="7">
        <v>264.48</v>
      </c>
      <c r="I1084" t="s">
        <v>19</v>
      </c>
      <c r="J1084" t="s">
        <v>22</v>
      </c>
      <c r="K1084">
        <v>15</v>
      </c>
      <c r="L1084" s="7">
        <f t="shared" si="49"/>
        <v>1322.4</v>
      </c>
      <c r="M1084" s="7"/>
      <c r="O1084">
        <f t="shared" si="50"/>
        <v>2</v>
      </c>
      <c r="Q1084" t="s">
        <v>19</v>
      </c>
    </row>
    <row r="1085" spans="1:17" x14ac:dyDescent="0.3">
      <c r="A1085" t="s">
        <v>1954</v>
      </c>
      <c r="B1085" s="6">
        <v>44964</v>
      </c>
      <c r="C1085" s="6" t="str">
        <f t="shared" si="48"/>
        <v>Feb</v>
      </c>
      <c r="D1085" t="s">
        <v>1011</v>
      </c>
      <c r="E1085" t="s">
        <v>40</v>
      </c>
      <c r="F1085" t="s">
        <v>107</v>
      </c>
      <c r="G1085">
        <v>9</v>
      </c>
      <c r="H1085" s="7">
        <v>252.16</v>
      </c>
      <c r="I1085" t="s">
        <v>21</v>
      </c>
      <c r="J1085" t="s">
        <v>22</v>
      </c>
      <c r="K1085">
        <v>10</v>
      </c>
      <c r="L1085" s="7">
        <f t="shared" si="49"/>
        <v>2269.44</v>
      </c>
      <c r="M1085" s="7"/>
      <c r="O1085">
        <f t="shared" si="50"/>
        <v>2</v>
      </c>
      <c r="Q1085" t="s">
        <v>23</v>
      </c>
    </row>
    <row r="1086" spans="1:17" x14ac:dyDescent="0.3">
      <c r="A1086" t="s">
        <v>1955</v>
      </c>
      <c r="B1086" s="6">
        <v>45038</v>
      </c>
      <c r="C1086" s="6" t="str">
        <f t="shared" si="48"/>
        <v>Apr</v>
      </c>
      <c r="D1086" t="s">
        <v>679</v>
      </c>
      <c r="E1086" t="s">
        <v>19</v>
      </c>
      <c r="F1086" t="s">
        <v>375</v>
      </c>
      <c r="G1086">
        <v>6</v>
      </c>
      <c r="H1086" s="7">
        <v>137.24</v>
      </c>
      <c r="I1086" t="s">
        <v>32</v>
      </c>
      <c r="J1086" t="s">
        <v>87</v>
      </c>
      <c r="K1086">
        <v>10</v>
      </c>
      <c r="L1086" s="7">
        <f t="shared" si="49"/>
        <v>823.44</v>
      </c>
      <c r="M1086" s="7"/>
      <c r="O1086">
        <f t="shared" si="50"/>
        <v>2</v>
      </c>
      <c r="Q1086" t="s">
        <v>33</v>
      </c>
    </row>
    <row r="1087" spans="1:17" x14ac:dyDescent="0.3">
      <c r="A1087" t="s">
        <v>1956</v>
      </c>
      <c r="B1087" s="6">
        <v>44971</v>
      </c>
      <c r="C1087" s="6" t="str">
        <f t="shared" si="48"/>
        <v>Feb</v>
      </c>
      <c r="D1087" t="s">
        <v>1388</v>
      </c>
      <c r="E1087" t="s">
        <v>19</v>
      </c>
      <c r="F1087" t="s">
        <v>128</v>
      </c>
      <c r="G1087">
        <v>8</v>
      </c>
      <c r="H1087" s="7">
        <v>455.78</v>
      </c>
      <c r="I1087" t="s">
        <v>19</v>
      </c>
      <c r="J1087" t="s">
        <v>42</v>
      </c>
      <c r="K1087">
        <v>15</v>
      </c>
      <c r="L1087" s="7">
        <f t="shared" si="49"/>
        <v>3646.24</v>
      </c>
      <c r="M1087" s="7"/>
      <c r="O1087">
        <f t="shared" si="50"/>
        <v>5</v>
      </c>
      <c r="Q1087" t="s">
        <v>19</v>
      </c>
    </row>
    <row r="1088" spans="1:17" x14ac:dyDescent="0.3">
      <c r="A1088" t="s">
        <v>1957</v>
      </c>
      <c r="B1088" s="6">
        <v>45284</v>
      </c>
      <c r="C1088" s="6" t="str">
        <f t="shared" si="48"/>
        <v>Dec</v>
      </c>
      <c r="D1088" t="s">
        <v>1958</v>
      </c>
      <c r="E1088" t="s">
        <v>50</v>
      </c>
      <c r="F1088" t="s">
        <v>975</v>
      </c>
      <c r="G1088">
        <v>2</v>
      </c>
      <c r="H1088" s="7">
        <v>220.66</v>
      </c>
      <c r="I1088" t="s">
        <v>21</v>
      </c>
      <c r="J1088" t="s">
        <v>19</v>
      </c>
      <c r="K1088">
        <v>0</v>
      </c>
      <c r="L1088" s="7">
        <f t="shared" si="49"/>
        <v>441.32</v>
      </c>
      <c r="M1088" s="7"/>
      <c r="O1088">
        <f t="shared" si="50"/>
        <v>2</v>
      </c>
      <c r="Q1088" t="s">
        <v>23</v>
      </c>
    </row>
    <row r="1089" spans="1:17" x14ac:dyDescent="0.3">
      <c r="A1089" t="s">
        <v>1959</v>
      </c>
      <c r="B1089" s="6">
        <v>45047</v>
      </c>
      <c r="C1089" s="6" t="str">
        <f t="shared" si="48"/>
        <v>May</v>
      </c>
      <c r="D1089" t="s">
        <v>130</v>
      </c>
      <c r="E1089" t="s">
        <v>62</v>
      </c>
      <c r="F1089" t="s">
        <v>687</v>
      </c>
      <c r="G1089">
        <v>9</v>
      </c>
      <c r="H1089" s="7">
        <v>68.900000000000006</v>
      </c>
      <c r="I1089" t="s">
        <v>64</v>
      </c>
      <c r="J1089" t="s">
        <v>42</v>
      </c>
      <c r="K1089">
        <v>0</v>
      </c>
      <c r="L1089" s="7">
        <f t="shared" si="49"/>
        <v>620.1</v>
      </c>
      <c r="M1089" s="7"/>
      <c r="O1089">
        <f t="shared" si="50"/>
        <v>2</v>
      </c>
      <c r="Q1089" t="s">
        <v>65</v>
      </c>
    </row>
    <row r="1090" spans="1:17" x14ac:dyDescent="0.3">
      <c r="A1090" t="s">
        <v>1960</v>
      </c>
      <c r="B1090" s="6">
        <v>45291</v>
      </c>
      <c r="C1090" s="6" t="str">
        <f t="shared" si="48"/>
        <v>Dec</v>
      </c>
      <c r="D1090" t="s">
        <v>1167</v>
      </c>
      <c r="E1090" t="s">
        <v>26</v>
      </c>
      <c r="F1090" t="s">
        <v>415</v>
      </c>
      <c r="G1090">
        <v>5</v>
      </c>
      <c r="H1090" s="7">
        <v>372.44</v>
      </c>
      <c r="I1090" t="s">
        <v>21</v>
      </c>
      <c r="J1090" t="s">
        <v>72</v>
      </c>
      <c r="K1090">
        <v>20</v>
      </c>
      <c r="L1090" s="7">
        <f t="shared" si="49"/>
        <v>1862.2</v>
      </c>
      <c r="M1090" s="7"/>
      <c r="O1090">
        <f t="shared" si="50"/>
        <v>2</v>
      </c>
      <c r="Q1090" t="s">
        <v>23</v>
      </c>
    </row>
    <row r="1091" spans="1:17" x14ac:dyDescent="0.3">
      <c r="A1091" t="s">
        <v>1961</v>
      </c>
      <c r="B1091" s="6">
        <v>45029</v>
      </c>
      <c r="C1091" s="6" t="str">
        <f t="shared" ref="C1091:C1154" si="51">TEXT(B1091,"MMM")</f>
        <v>Apr</v>
      </c>
      <c r="D1091" t="s">
        <v>1022</v>
      </c>
      <c r="E1091" t="s">
        <v>50</v>
      </c>
      <c r="F1091" t="s">
        <v>1693</v>
      </c>
      <c r="G1091">
        <v>7</v>
      </c>
      <c r="H1091" s="7">
        <v>323.33999999999997</v>
      </c>
      <c r="I1091" t="s">
        <v>103</v>
      </c>
      <c r="J1091" t="s">
        <v>22</v>
      </c>
      <c r="K1091">
        <v>5</v>
      </c>
      <c r="L1091" s="7">
        <f t="shared" ref="L1091:L1154" si="52">G1091*H1091</f>
        <v>2263.3799999999997</v>
      </c>
      <c r="M1091" s="7"/>
      <c r="O1091">
        <f t="shared" si="50"/>
        <v>2</v>
      </c>
      <c r="Q1091" t="s">
        <v>104</v>
      </c>
    </row>
    <row r="1092" spans="1:17" x14ac:dyDescent="0.3">
      <c r="A1092" t="s">
        <v>1962</v>
      </c>
      <c r="B1092" s="6">
        <v>45110</v>
      </c>
      <c r="C1092" s="6" t="str">
        <f t="shared" si="51"/>
        <v>Jul</v>
      </c>
      <c r="D1092" t="s">
        <v>1963</v>
      </c>
      <c r="E1092" t="s">
        <v>62</v>
      </c>
      <c r="F1092" t="s">
        <v>165</v>
      </c>
      <c r="G1092">
        <v>1</v>
      </c>
      <c r="H1092" s="7">
        <v>161.29</v>
      </c>
      <c r="I1092" t="s">
        <v>19</v>
      </c>
      <c r="J1092" t="s">
        <v>42</v>
      </c>
      <c r="K1092">
        <v>20</v>
      </c>
      <c r="L1092" s="7">
        <f t="shared" si="52"/>
        <v>161.29</v>
      </c>
      <c r="M1092" s="7"/>
      <c r="O1092">
        <f t="shared" ref="O1092:O1155" si="53">IF(L1092&gt;3500,5,IF(L1092&gt;3000,4,IF(L1092&gt;2500,3,IF(L1092&gt;2000,2,IF(L1092&gt;1000,2,2)))))</f>
        <v>2</v>
      </c>
      <c r="Q1092" t="s">
        <v>19</v>
      </c>
    </row>
    <row r="1093" spans="1:17" x14ac:dyDescent="0.3">
      <c r="A1093" t="s">
        <v>1964</v>
      </c>
      <c r="B1093" s="6">
        <v>45200</v>
      </c>
      <c r="C1093" s="6" t="str">
        <f t="shared" si="51"/>
        <v>Oct</v>
      </c>
      <c r="D1093" t="s">
        <v>187</v>
      </c>
      <c r="E1093" t="s">
        <v>19</v>
      </c>
      <c r="F1093" t="s">
        <v>415</v>
      </c>
      <c r="G1093">
        <v>5</v>
      </c>
      <c r="H1093" s="7">
        <v>312.64999999999998</v>
      </c>
      <c r="I1093" t="s">
        <v>103</v>
      </c>
      <c r="J1093" t="s">
        <v>72</v>
      </c>
      <c r="K1093">
        <v>0</v>
      </c>
      <c r="L1093" s="7">
        <f t="shared" si="52"/>
        <v>1563.25</v>
      </c>
      <c r="M1093" s="7"/>
      <c r="O1093">
        <f t="shared" si="53"/>
        <v>2</v>
      </c>
      <c r="Q1093" t="s">
        <v>104</v>
      </c>
    </row>
    <row r="1094" spans="1:17" x14ac:dyDescent="0.3">
      <c r="A1094" t="s">
        <v>1965</v>
      </c>
      <c r="B1094" s="6">
        <v>45269</v>
      </c>
      <c r="C1094" s="6" t="str">
        <f t="shared" si="51"/>
        <v>Dec</v>
      </c>
      <c r="D1094" t="s">
        <v>1203</v>
      </c>
      <c r="E1094" t="s">
        <v>40</v>
      </c>
      <c r="F1094" t="s">
        <v>308</v>
      </c>
      <c r="G1094">
        <v>2</v>
      </c>
      <c r="H1094" s="7">
        <v>113.83</v>
      </c>
      <c r="I1094" t="s">
        <v>103</v>
      </c>
      <c r="J1094" t="s">
        <v>87</v>
      </c>
      <c r="K1094">
        <v>15</v>
      </c>
      <c r="L1094" s="7">
        <f t="shared" si="52"/>
        <v>227.66</v>
      </c>
      <c r="M1094" s="7"/>
      <c r="O1094">
        <f t="shared" si="53"/>
        <v>2</v>
      </c>
      <c r="Q1094" t="s">
        <v>104</v>
      </c>
    </row>
    <row r="1095" spans="1:17" x14ac:dyDescent="0.3">
      <c r="A1095" t="s">
        <v>1966</v>
      </c>
      <c r="B1095" s="6">
        <v>45196</v>
      </c>
      <c r="C1095" s="6" t="str">
        <f t="shared" si="51"/>
        <v>Sep</v>
      </c>
      <c r="D1095" t="s">
        <v>919</v>
      </c>
      <c r="E1095" t="s">
        <v>50</v>
      </c>
      <c r="F1095" t="s">
        <v>406</v>
      </c>
      <c r="G1095">
        <v>6</v>
      </c>
      <c r="H1095" s="7">
        <v>225.2</v>
      </c>
      <c r="I1095" t="s">
        <v>103</v>
      </c>
      <c r="J1095" t="s">
        <v>87</v>
      </c>
      <c r="K1095">
        <v>5</v>
      </c>
      <c r="L1095" s="7">
        <f t="shared" si="52"/>
        <v>1351.1999999999998</v>
      </c>
      <c r="M1095" s="7"/>
      <c r="O1095">
        <f t="shared" si="53"/>
        <v>2</v>
      </c>
      <c r="Q1095" t="s">
        <v>104</v>
      </c>
    </row>
    <row r="1096" spans="1:17" x14ac:dyDescent="0.3">
      <c r="A1096" t="s">
        <v>1967</v>
      </c>
      <c r="B1096" s="6">
        <v>45007</v>
      </c>
      <c r="C1096" s="6" t="str">
        <f t="shared" si="51"/>
        <v>Mar</v>
      </c>
      <c r="D1096" t="s">
        <v>1968</v>
      </c>
      <c r="E1096" t="s">
        <v>36</v>
      </c>
      <c r="F1096" t="s">
        <v>173</v>
      </c>
      <c r="G1096">
        <v>1</v>
      </c>
      <c r="H1096" s="7">
        <v>450.21</v>
      </c>
      <c r="I1096" t="s">
        <v>32</v>
      </c>
      <c r="J1096" t="s">
        <v>72</v>
      </c>
      <c r="K1096">
        <v>15</v>
      </c>
      <c r="L1096" s="7">
        <f t="shared" si="52"/>
        <v>450.21</v>
      </c>
      <c r="M1096" s="7"/>
      <c r="O1096">
        <f t="shared" si="53"/>
        <v>2</v>
      </c>
      <c r="Q1096" t="s">
        <v>33</v>
      </c>
    </row>
    <row r="1097" spans="1:17" x14ac:dyDescent="0.3">
      <c r="A1097" t="s">
        <v>1969</v>
      </c>
      <c r="B1097" s="6">
        <v>45096</v>
      </c>
      <c r="C1097" s="6" t="str">
        <f t="shared" si="51"/>
        <v>Jun</v>
      </c>
      <c r="D1097" t="s">
        <v>1970</v>
      </c>
      <c r="E1097" t="s">
        <v>50</v>
      </c>
      <c r="F1097" t="s">
        <v>142</v>
      </c>
      <c r="G1097">
        <v>3</v>
      </c>
      <c r="H1097" s="7">
        <v>71.099999999999994</v>
      </c>
      <c r="I1097" t="s">
        <v>32</v>
      </c>
      <c r="J1097" t="s">
        <v>28</v>
      </c>
      <c r="K1097">
        <v>20</v>
      </c>
      <c r="L1097" s="7">
        <f t="shared" si="52"/>
        <v>213.29999999999998</v>
      </c>
      <c r="M1097" s="7"/>
      <c r="O1097">
        <f t="shared" si="53"/>
        <v>2</v>
      </c>
      <c r="Q1097" t="s">
        <v>33</v>
      </c>
    </row>
    <row r="1098" spans="1:17" x14ac:dyDescent="0.3">
      <c r="A1098" t="s">
        <v>1971</v>
      </c>
      <c r="B1098" s="6">
        <v>45048</v>
      </c>
      <c r="C1098" s="6" t="str">
        <f t="shared" si="51"/>
        <v>May</v>
      </c>
      <c r="D1098" t="s">
        <v>1684</v>
      </c>
      <c r="E1098" t="s">
        <v>19</v>
      </c>
      <c r="F1098" t="s">
        <v>263</v>
      </c>
      <c r="G1098">
        <v>5</v>
      </c>
      <c r="H1098" s="7">
        <v>196.41</v>
      </c>
      <c r="I1098" t="s">
        <v>21</v>
      </c>
      <c r="J1098" t="s">
        <v>42</v>
      </c>
      <c r="K1098">
        <v>10</v>
      </c>
      <c r="L1098" s="7">
        <f t="shared" si="52"/>
        <v>982.05</v>
      </c>
      <c r="M1098" s="7"/>
      <c r="O1098">
        <f t="shared" si="53"/>
        <v>2</v>
      </c>
      <c r="Q1098" t="s">
        <v>23</v>
      </c>
    </row>
    <row r="1099" spans="1:17" x14ac:dyDescent="0.3">
      <c r="A1099" t="s">
        <v>1972</v>
      </c>
      <c r="B1099" s="6">
        <v>44929</v>
      </c>
      <c r="C1099" s="6" t="str">
        <f t="shared" si="51"/>
        <v>Jan</v>
      </c>
      <c r="D1099" t="s">
        <v>1543</v>
      </c>
      <c r="E1099" t="s">
        <v>50</v>
      </c>
      <c r="F1099" t="s">
        <v>939</v>
      </c>
      <c r="G1099">
        <v>4</v>
      </c>
      <c r="H1099" s="7">
        <v>411.47</v>
      </c>
      <c r="I1099" t="s">
        <v>46</v>
      </c>
      <c r="J1099" t="s">
        <v>22</v>
      </c>
      <c r="K1099">
        <v>15</v>
      </c>
      <c r="L1099" s="7">
        <f t="shared" si="52"/>
        <v>1645.88</v>
      </c>
      <c r="M1099" s="7"/>
      <c r="O1099">
        <f t="shared" si="53"/>
        <v>2</v>
      </c>
      <c r="Q1099" t="s">
        <v>47</v>
      </c>
    </row>
    <row r="1100" spans="1:17" x14ac:dyDescent="0.3">
      <c r="A1100" t="s">
        <v>1973</v>
      </c>
      <c r="B1100" s="6">
        <v>45229</v>
      </c>
      <c r="C1100" s="6" t="str">
        <f t="shared" si="51"/>
        <v>Oct</v>
      </c>
      <c r="D1100" t="s">
        <v>382</v>
      </c>
      <c r="E1100" t="s">
        <v>36</v>
      </c>
      <c r="F1100" t="s">
        <v>319</v>
      </c>
      <c r="G1100">
        <v>3</v>
      </c>
      <c r="H1100" s="7">
        <v>484.9</v>
      </c>
      <c r="I1100" t="s">
        <v>103</v>
      </c>
      <c r="J1100" t="s">
        <v>72</v>
      </c>
      <c r="K1100">
        <v>20</v>
      </c>
      <c r="L1100" s="7">
        <f t="shared" si="52"/>
        <v>1454.6999999999998</v>
      </c>
      <c r="M1100" s="7"/>
      <c r="O1100">
        <f t="shared" si="53"/>
        <v>2</v>
      </c>
      <c r="Q1100" t="s">
        <v>104</v>
      </c>
    </row>
    <row r="1101" spans="1:17" x14ac:dyDescent="0.3">
      <c r="A1101" t="s">
        <v>1974</v>
      </c>
      <c r="B1101" s="6">
        <v>45287</v>
      </c>
      <c r="C1101" s="6" t="str">
        <f t="shared" si="51"/>
        <v>Dec</v>
      </c>
      <c r="D1101" t="s">
        <v>1975</v>
      </c>
      <c r="E1101" t="s">
        <v>19</v>
      </c>
      <c r="F1101" t="s">
        <v>51</v>
      </c>
      <c r="G1101">
        <v>5</v>
      </c>
      <c r="H1101" s="7">
        <v>229.69</v>
      </c>
      <c r="I1101" t="s">
        <v>32</v>
      </c>
      <c r="J1101" t="s">
        <v>42</v>
      </c>
      <c r="K1101">
        <v>20</v>
      </c>
      <c r="L1101" s="7">
        <f t="shared" si="52"/>
        <v>1148.45</v>
      </c>
      <c r="M1101" s="7"/>
      <c r="O1101">
        <f t="shared" si="53"/>
        <v>2</v>
      </c>
      <c r="Q1101" t="s">
        <v>33</v>
      </c>
    </row>
    <row r="1102" spans="1:17" x14ac:dyDescent="0.3">
      <c r="A1102" t="s">
        <v>1976</v>
      </c>
      <c r="B1102" s="6">
        <v>45074</v>
      </c>
      <c r="C1102" s="6" t="str">
        <f t="shared" si="51"/>
        <v>May</v>
      </c>
      <c r="D1102" t="s">
        <v>1977</v>
      </c>
      <c r="E1102" t="s">
        <v>19</v>
      </c>
      <c r="F1102" t="s">
        <v>913</v>
      </c>
      <c r="G1102">
        <v>8</v>
      </c>
      <c r="H1102" s="7">
        <v>255.96</v>
      </c>
      <c r="I1102" t="s">
        <v>103</v>
      </c>
      <c r="J1102" t="s">
        <v>28</v>
      </c>
      <c r="K1102">
        <v>20</v>
      </c>
      <c r="L1102" s="7">
        <f t="shared" si="52"/>
        <v>2047.68</v>
      </c>
      <c r="M1102" s="7"/>
      <c r="O1102">
        <f t="shared" si="53"/>
        <v>2</v>
      </c>
      <c r="Q1102" t="s">
        <v>104</v>
      </c>
    </row>
    <row r="1103" spans="1:17" x14ac:dyDescent="0.3">
      <c r="A1103" t="s">
        <v>1978</v>
      </c>
      <c r="B1103" s="6">
        <v>45242</v>
      </c>
      <c r="C1103" s="6" t="str">
        <f t="shared" si="51"/>
        <v>Nov</v>
      </c>
      <c r="D1103" t="s">
        <v>1414</v>
      </c>
      <c r="E1103" t="s">
        <v>26</v>
      </c>
      <c r="F1103" t="s">
        <v>110</v>
      </c>
      <c r="G1103">
        <v>4</v>
      </c>
      <c r="H1103" s="7">
        <v>288.23</v>
      </c>
      <c r="I1103" t="s">
        <v>46</v>
      </c>
      <c r="J1103" t="s">
        <v>19</v>
      </c>
      <c r="K1103">
        <v>10</v>
      </c>
      <c r="L1103" s="7">
        <f t="shared" si="52"/>
        <v>1152.92</v>
      </c>
      <c r="M1103" s="7"/>
      <c r="O1103">
        <f t="shared" si="53"/>
        <v>2</v>
      </c>
      <c r="Q1103" t="s">
        <v>47</v>
      </c>
    </row>
    <row r="1104" spans="1:17" x14ac:dyDescent="0.3">
      <c r="A1104" t="s">
        <v>1979</v>
      </c>
      <c r="B1104" s="6">
        <v>45264</v>
      </c>
      <c r="C1104" s="6" t="str">
        <f t="shared" si="51"/>
        <v>Dec</v>
      </c>
      <c r="D1104" t="s">
        <v>1980</v>
      </c>
      <c r="E1104" t="s">
        <v>19</v>
      </c>
      <c r="F1104" t="s">
        <v>708</v>
      </c>
      <c r="G1104">
        <v>1</v>
      </c>
      <c r="H1104" s="7">
        <v>466.51</v>
      </c>
      <c r="I1104" t="s">
        <v>19</v>
      </c>
      <c r="J1104" t="s">
        <v>72</v>
      </c>
      <c r="K1104">
        <v>10</v>
      </c>
      <c r="L1104" s="7">
        <f t="shared" si="52"/>
        <v>466.51</v>
      </c>
      <c r="M1104" s="7"/>
      <c r="O1104">
        <f t="shared" si="53"/>
        <v>2</v>
      </c>
      <c r="Q1104" t="s">
        <v>19</v>
      </c>
    </row>
    <row r="1105" spans="1:17" x14ac:dyDescent="0.3">
      <c r="A1105" t="s">
        <v>1981</v>
      </c>
      <c r="B1105" s="6">
        <v>45136</v>
      </c>
      <c r="C1105" s="6" t="str">
        <f t="shared" si="51"/>
        <v>Jul</v>
      </c>
      <c r="D1105" t="s">
        <v>1848</v>
      </c>
      <c r="E1105" t="s">
        <v>26</v>
      </c>
      <c r="F1105" t="s">
        <v>383</v>
      </c>
      <c r="G1105">
        <v>7</v>
      </c>
      <c r="H1105" s="7">
        <v>429.81</v>
      </c>
      <c r="I1105" t="s">
        <v>19</v>
      </c>
      <c r="J1105" t="s">
        <v>87</v>
      </c>
      <c r="K1105">
        <v>10</v>
      </c>
      <c r="L1105" s="7">
        <f t="shared" si="52"/>
        <v>3008.67</v>
      </c>
      <c r="M1105" s="7"/>
      <c r="O1105">
        <f t="shared" si="53"/>
        <v>4</v>
      </c>
      <c r="Q1105" t="s">
        <v>19</v>
      </c>
    </row>
    <row r="1106" spans="1:17" x14ac:dyDescent="0.3">
      <c r="A1106" t="s">
        <v>1982</v>
      </c>
      <c r="B1106" s="6">
        <v>44980</v>
      </c>
      <c r="C1106" s="6" t="str">
        <f t="shared" si="51"/>
        <v>Feb</v>
      </c>
      <c r="D1106" t="s">
        <v>1806</v>
      </c>
      <c r="E1106" t="s">
        <v>19</v>
      </c>
      <c r="F1106" t="s">
        <v>423</v>
      </c>
      <c r="G1106">
        <v>8</v>
      </c>
      <c r="H1106" s="7">
        <v>89.45</v>
      </c>
      <c r="I1106" t="s">
        <v>21</v>
      </c>
      <c r="J1106" t="s">
        <v>42</v>
      </c>
      <c r="K1106">
        <v>5</v>
      </c>
      <c r="L1106" s="7">
        <f t="shared" si="52"/>
        <v>715.6</v>
      </c>
      <c r="M1106" s="7"/>
      <c r="O1106">
        <f t="shared" si="53"/>
        <v>2</v>
      </c>
      <c r="Q1106" t="s">
        <v>23</v>
      </c>
    </row>
    <row r="1107" spans="1:17" x14ac:dyDescent="0.3">
      <c r="A1107" t="s">
        <v>1983</v>
      </c>
      <c r="B1107" s="6">
        <v>45147</v>
      </c>
      <c r="C1107" s="6" t="str">
        <f t="shared" si="51"/>
        <v>Aug</v>
      </c>
      <c r="D1107" t="s">
        <v>1518</v>
      </c>
      <c r="E1107" t="s">
        <v>50</v>
      </c>
      <c r="F1107" t="s">
        <v>1146</v>
      </c>
      <c r="G1107">
        <v>3</v>
      </c>
      <c r="H1107" s="7">
        <v>252.16</v>
      </c>
      <c r="I1107" t="s">
        <v>32</v>
      </c>
      <c r="J1107" t="s">
        <v>19</v>
      </c>
      <c r="K1107">
        <v>10</v>
      </c>
      <c r="L1107" s="7">
        <f t="shared" si="52"/>
        <v>756.48</v>
      </c>
      <c r="M1107" s="7"/>
      <c r="O1107">
        <f t="shared" si="53"/>
        <v>2</v>
      </c>
      <c r="Q1107" t="s">
        <v>33</v>
      </c>
    </row>
    <row r="1108" spans="1:17" x14ac:dyDescent="0.3">
      <c r="A1108" t="s">
        <v>1984</v>
      </c>
      <c r="B1108" s="6">
        <v>45030</v>
      </c>
      <c r="C1108" s="6" t="str">
        <f t="shared" si="51"/>
        <v>Apr</v>
      </c>
      <c r="D1108" t="s">
        <v>1426</v>
      </c>
      <c r="E1108" t="s">
        <v>40</v>
      </c>
      <c r="F1108" t="s">
        <v>344</v>
      </c>
      <c r="G1108">
        <v>6</v>
      </c>
      <c r="H1108" s="7">
        <v>234.68</v>
      </c>
      <c r="I1108" t="s">
        <v>64</v>
      </c>
      <c r="J1108" t="s">
        <v>42</v>
      </c>
      <c r="K1108">
        <v>10</v>
      </c>
      <c r="L1108" s="7">
        <f t="shared" si="52"/>
        <v>1408.08</v>
      </c>
      <c r="M1108" s="7"/>
      <c r="O1108">
        <f t="shared" si="53"/>
        <v>2</v>
      </c>
      <c r="Q1108" t="s">
        <v>65</v>
      </c>
    </row>
    <row r="1109" spans="1:17" x14ac:dyDescent="0.3">
      <c r="A1109" t="s">
        <v>1985</v>
      </c>
      <c r="B1109" s="6">
        <v>44944</v>
      </c>
      <c r="C1109" s="6" t="str">
        <f t="shared" si="51"/>
        <v>Jan</v>
      </c>
      <c r="D1109" t="s">
        <v>1963</v>
      </c>
      <c r="E1109" t="s">
        <v>40</v>
      </c>
      <c r="F1109" t="s">
        <v>176</v>
      </c>
      <c r="G1109">
        <v>2</v>
      </c>
      <c r="H1109" s="7">
        <v>395.6</v>
      </c>
      <c r="I1109" t="s">
        <v>103</v>
      </c>
      <c r="J1109" t="s">
        <v>72</v>
      </c>
      <c r="K1109">
        <v>10</v>
      </c>
      <c r="L1109" s="7">
        <f t="shared" si="52"/>
        <v>791.2</v>
      </c>
      <c r="M1109" s="7"/>
      <c r="O1109">
        <f t="shared" si="53"/>
        <v>2</v>
      </c>
      <c r="Q1109" t="s">
        <v>104</v>
      </c>
    </row>
    <row r="1110" spans="1:17" x14ac:dyDescent="0.3">
      <c r="A1110" t="s">
        <v>1986</v>
      </c>
      <c r="B1110" s="6">
        <v>44947</v>
      </c>
      <c r="C1110" s="6" t="str">
        <f t="shared" si="51"/>
        <v>Jan</v>
      </c>
      <c r="D1110" t="s">
        <v>1209</v>
      </c>
      <c r="E1110" t="s">
        <v>40</v>
      </c>
      <c r="F1110" t="s">
        <v>472</v>
      </c>
      <c r="G1110">
        <v>7</v>
      </c>
      <c r="H1110" s="7">
        <v>303.43</v>
      </c>
      <c r="I1110" t="s">
        <v>64</v>
      </c>
      <c r="J1110" t="s">
        <v>87</v>
      </c>
      <c r="K1110">
        <v>15</v>
      </c>
      <c r="L1110" s="7">
        <f t="shared" si="52"/>
        <v>2124.0100000000002</v>
      </c>
      <c r="M1110" s="7"/>
      <c r="O1110">
        <f t="shared" si="53"/>
        <v>2</v>
      </c>
      <c r="Q1110" t="s">
        <v>65</v>
      </c>
    </row>
    <row r="1111" spans="1:17" x14ac:dyDescent="0.3">
      <c r="A1111" t="s">
        <v>1987</v>
      </c>
      <c r="B1111" s="6">
        <v>45098</v>
      </c>
      <c r="C1111" s="6" t="str">
        <f t="shared" si="51"/>
        <v>Jun</v>
      </c>
      <c r="D1111" t="s">
        <v>1988</v>
      </c>
      <c r="E1111" t="s">
        <v>26</v>
      </c>
      <c r="F1111" t="s">
        <v>366</v>
      </c>
      <c r="G1111">
        <v>8</v>
      </c>
      <c r="H1111" s="7">
        <v>328.84</v>
      </c>
      <c r="I1111" t="s">
        <v>103</v>
      </c>
      <c r="J1111" t="s">
        <v>87</v>
      </c>
      <c r="K1111">
        <v>10</v>
      </c>
      <c r="L1111" s="7">
        <f t="shared" si="52"/>
        <v>2630.72</v>
      </c>
      <c r="M1111" s="7"/>
      <c r="O1111">
        <f t="shared" si="53"/>
        <v>3</v>
      </c>
      <c r="Q1111" t="s">
        <v>104</v>
      </c>
    </row>
    <row r="1112" spans="1:17" x14ac:dyDescent="0.3">
      <c r="A1112" t="s">
        <v>1989</v>
      </c>
      <c r="B1112" s="6">
        <v>44993</v>
      </c>
      <c r="C1112" s="6" t="str">
        <f t="shared" si="51"/>
        <v>Mar</v>
      </c>
      <c r="D1112" t="s">
        <v>98</v>
      </c>
      <c r="E1112" t="s">
        <v>19</v>
      </c>
      <c r="F1112" t="s">
        <v>350</v>
      </c>
      <c r="G1112">
        <v>6</v>
      </c>
      <c r="H1112" s="7">
        <v>499.11</v>
      </c>
      <c r="I1112" t="s">
        <v>19</v>
      </c>
      <c r="J1112" t="s">
        <v>42</v>
      </c>
      <c r="K1112">
        <v>5</v>
      </c>
      <c r="L1112" s="7">
        <f t="shared" si="52"/>
        <v>2994.66</v>
      </c>
      <c r="M1112" s="7"/>
      <c r="O1112">
        <f t="shared" si="53"/>
        <v>3</v>
      </c>
      <c r="Q1112" t="s">
        <v>19</v>
      </c>
    </row>
    <row r="1113" spans="1:17" x14ac:dyDescent="0.3">
      <c r="A1113" t="s">
        <v>1990</v>
      </c>
      <c r="B1113" s="6">
        <v>45018</v>
      </c>
      <c r="C1113" s="6" t="str">
        <f t="shared" si="51"/>
        <v>Apr</v>
      </c>
      <c r="D1113" t="s">
        <v>1991</v>
      </c>
      <c r="E1113" t="s">
        <v>62</v>
      </c>
      <c r="F1113" t="s">
        <v>372</v>
      </c>
      <c r="G1113">
        <v>6</v>
      </c>
      <c r="H1113" s="7">
        <v>42.11</v>
      </c>
      <c r="I1113" t="s">
        <v>46</v>
      </c>
      <c r="J1113" t="s">
        <v>42</v>
      </c>
      <c r="K1113">
        <v>20</v>
      </c>
      <c r="L1113" s="7">
        <f t="shared" si="52"/>
        <v>252.66</v>
      </c>
      <c r="M1113" s="7"/>
      <c r="O1113">
        <f t="shared" si="53"/>
        <v>2</v>
      </c>
      <c r="Q1113" t="s">
        <v>47</v>
      </c>
    </row>
    <row r="1114" spans="1:17" x14ac:dyDescent="0.3">
      <c r="A1114" t="s">
        <v>1992</v>
      </c>
      <c r="B1114" s="6">
        <v>44943</v>
      </c>
      <c r="C1114" s="6" t="str">
        <f t="shared" si="51"/>
        <v>Jan</v>
      </c>
      <c r="D1114" t="s">
        <v>1993</v>
      </c>
      <c r="E1114" t="s">
        <v>19</v>
      </c>
      <c r="F1114" t="s">
        <v>176</v>
      </c>
      <c r="G1114">
        <v>5</v>
      </c>
      <c r="H1114" s="7">
        <v>115.39</v>
      </c>
      <c r="I1114" t="s">
        <v>46</v>
      </c>
      <c r="J1114" t="s">
        <v>19</v>
      </c>
      <c r="K1114">
        <v>15</v>
      </c>
      <c r="L1114" s="7">
        <f t="shared" si="52"/>
        <v>576.95000000000005</v>
      </c>
      <c r="M1114" s="7"/>
      <c r="O1114">
        <f t="shared" si="53"/>
        <v>2</v>
      </c>
      <c r="Q1114" t="s">
        <v>47</v>
      </c>
    </row>
    <row r="1115" spans="1:17" x14ac:dyDescent="0.3">
      <c r="A1115" t="s">
        <v>1994</v>
      </c>
      <c r="B1115" s="6">
        <v>45235</v>
      </c>
      <c r="C1115" s="6" t="str">
        <f t="shared" si="51"/>
        <v>Nov</v>
      </c>
      <c r="D1115" t="s">
        <v>1995</v>
      </c>
      <c r="E1115" t="s">
        <v>31</v>
      </c>
      <c r="F1115" t="s">
        <v>833</v>
      </c>
      <c r="G1115">
        <v>8</v>
      </c>
      <c r="H1115" s="7">
        <v>206.91</v>
      </c>
      <c r="I1115" t="s">
        <v>32</v>
      </c>
      <c r="J1115" t="s">
        <v>28</v>
      </c>
      <c r="K1115">
        <v>0</v>
      </c>
      <c r="L1115" s="7">
        <f t="shared" si="52"/>
        <v>1655.28</v>
      </c>
      <c r="M1115" s="7"/>
      <c r="O1115">
        <f t="shared" si="53"/>
        <v>2</v>
      </c>
      <c r="Q1115" t="s">
        <v>33</v>
      </c>
    </row>
    <row r="1116" spans="1:17" x14ac:dyDescent="0.3">
      <c r="A1116" t="s">
        <v>1996</v>
      </c>
      <c r="B1116" s="6">
        <v>45236</v>
      </c>
      <c r="C1116" s="6" t="str">
        <f t="shared" si="51"/>
        <v>Nov</v>
      </c>
      <c r="D1116" t="s">
        <v>1997</v>
      </c>
      <c r="E1116" t="s">
        <v>36</v>
      </c>
      <c r="F1116" t="s">
        <v>234</v>
      </c>
      <c r="G1116">
        <v>1</v>
      </c>
      <c r="H1116" s="7">
        <v>177.15</v>
      </c>
      <c r="I1116" t="s">
        <v>103</v>
      </c>
      <c r="J1116" t="s">
        <v>72</v>
      </c>
      <c r="K1116">
        <v>10</v>
      </c>
      <c r="L1116" s="7">
        <f t="shared" si="52"/>
        <v>177.15</v>
      </c>
      <c r="M1116" s="7"/>
      <c r="O1116">
        <f t="shared" si="53"/>
        <v>2</v>
      </c>
      <c r="Q1116" t="s">
        <v>104</v>
      </c>
    </row>
    <row r="1117" spans="1:17" x14ac:dyDescent="0.3">
      <c r="A1117" t="s">
        <v>1998</v>
      </c>
      <c r="B1117" s="6">
        <v>44953</v>
      </c>
      <c r="C1117" s="6" t="str">
        <f t="shared" si="51"/>
        <v>Jan</v>
      </c>
      <c r="D1117" t="s">
        <v>1378</v>
      </c>
      <c r="E1117" t="s">
        <v>62</v>
      </c>
      <c r="F1117" t="s">
        <v>325</v>
      </c>
      <c r="G1117">
        <v>4</v>
      </c>
      <c r="H1117" s="7">
        <v>15.71</v>
      </c>
      <c r="I1117" t="s">
        <v>46</v>
      </c>
      <c r="J1117" t="s">
        <v>28</v>
      </c>
      <c r="K1117">
        <v>20</v>
      </c>
      <c r="L1117" s="7">
        <f t="shared" si="52"/>
        <v>62.84</v>
      </c>
      <c r="M1117" s="7"/>
      <c r="O1117">
        <f t="shared" si="53"/>
        <v>2</v>
      </c>
      <c r="Q1117" t="s">
        <v>47</v>
      </c>
    </row>
    <row r="1118" spans="1:17" x14ac:dyDescent="0.3">
      <c r="A1118" t="s">
        <v>1999</v>
      </c>
      <c r="B1118" s="6">
        <v>45173</v>
      </c>
      <c r="C1118" s="6" t="str">
        <f t="shared" si="51"/>
        <v>Sep</v>
      </c>
      <c r="D1118" t="s">
        <v>1179</v>
      </c>
      <c r="E1118" t="s">
        <v>31</v>
      </c>
      <c r="F1118" t="s">
        <v>1237</v>
      </c>
      <c r="G1118">
        <v>4</v>
      </c>
      <c r="H1118" s="7">
        <v>50.43</v>
      </c>
      <c r="I1118" t="s">
        <v>103</v>
      </c>
      <c r="J1118" t="s">
        <v>87</v>
      </c>
      <c r="K1118">
        <v>20</v>
      </c>
      <c r="L1118" s="7">
        <f t="shared" si="52"/>
        <v>201.72</v>
      </c>
      <c r="M1118" s="7"/>
      <c r="O1118">
        <f t="shared" si="53"/>
        <v>2</v>
      </c>
      <c r="Q1118" t="s">
        <v>104</v>
      </c>
    </row>
    <row r="1119" spans="1:17" x14ac:dyDescent="0.3">
      <c r="A1119" t="s">
        <v>2000</v>
      </c>
      <c r="B1119" s="6">
        <v>45282</v>
      </c>
      <c r="C1119" s="6" t="str">
        <f t="shared" si="51"/>
        <v>Dec</v>
      </c>
      <c r="D1119" t="s">
        <v>2001</v>
      </c>
      <c r="E1119" t="s">
        <v>62</v>
      </c>
      <c r="F1119" t="s">
        <v>303</v>
      </c>
      <c r="G1119">
        <v>3</v>
      </c>
      <c r="H1119" s="7">
        <v>342.07</v>
      </c>
      <c r="I1119" t="s">
        <v>64</v>
      </c>
      <c r="J1119" t="s">
        <v>42</v>
      </c>
      <c r="K1119">
        <v>15</v>
      </c>
      <c r="L1119" s="7">
        <f t="shared" si="52"/>
        <v>1026.21</v>
      </c>
      <c r="M1119" s="7"/>
      <c r="O1119">
        <f t="shared" si="53"/>
        <v>2</v>
      </c>
      <c r="Q1119" t="s">
        <v>65</v>
      </c>
    </row>
    <row r="1120" spans="1:17" x14ac:dyDescent="0.3">
      <c r="A1120" t="s">
        <v>2002</v>
      </c>
      <c r="B1120" s="6">
        <v>45161</v>
      </c>
      <c r="C1120" s="6" t="str">
        <f t="shared" si="51"/>
        <v>Aug</v>
      </c>
      <c r="D1120" t="s">
        <v>315</v>
      </c>
      <c r="E1120" t="s">
        <v>19</v>
      </c>
      <c r="F1120" t="s">
        <v>504</v>
      </c>
      <c r="G1120">
        <v>3</v>
      </c>
      <c r="H1120" s="7">
        <v>440.27</v>
      </c>
      <c r="I1120" t="s">
        <v>32</v>
      </c>
      <c r="J1120" t="s">
        <v>87</v>
      </c>
      <c r="K1120">
        <v>0</v>
      </c>
      <c r="L1120" s="7">
        <f t="shared" si="52"/>
        <v>1320.81</v>
      </c>
      <c r="M1120" s="7"/>
      <c r="O1120">
        <f t="shared" si="53"/>
        <v>2</v>
      </c>
      <c r="Q1120" t="s">
        <v>33</v>
      </c>
    </row>
    <row r="1121" spans="1:17" x14ac:dyDescent="0.3">
      <c r="A1121" t="s">
        <v>2003</v>
      </c>
      <c r="B1121" s="6">
        <v>45023</v>
      </c>
      <c r="C1121" s="6" t="str">
        <f t="shared" si="51"/>
        <v>Apr</v>
      </c>
      <c r="D1121" t="s">
        <v>527</v>
      </c>
      <c r="E1121" t="s">
        <v>62</v>
      </c>
      <c r="F1121" t="s">
        <v>662</v>
      </c>
      <c r="G1121">
        <v>4</v>
      </c>
      <c r="H1121" s="7">
        <v>259.54000000000002</v>
      </c>
      <c r="I1121" t="s">
        <v>46</v>
      </c>
      <c r="J1121" t="s">
        <v>22</v>
      </c>
      <c r="K1121">
        <v>10</v>
      </c>
      <c r="L1121" s="7">
        <f t="shared" si="52"/>
        <v>1038.1600000000001</v>
      </c>
      <c r="M1121" s="7"/>
      <c r="O1121">
        <f t="shared" si="53"/>
        <v>2</v>
      </c>
      <c r="Q1121" t="s">
        <v>47</v>
      </c>
    </row>
    <row r="1122" spans="1:17" x14ac:dyDescent="0.3">
      <c r="A1122" t="s">
        <v>2004</v>
      </c>
      <c r="B1122" s="6">
        <v>45100</v>
      </c>
      <c r="C1122" s="6" t="str">
        <f t="shared" si="51"/>
        <v>Jun</v>
      </c>
      <c r="D1122" t="s">
        <v>207</v>
      </c>
      <c r="E1122" t="s">
        <v>50</v>
      </c>
      <c r="F1122" t="s">
        <v>363</v>
      </c>
      <c r="G1122">
        <v>5</v>
      </c>
      <c r="H1122" s="7">
        <v>271.89999999999998</v>
      </c>
      <c r="I1122" t="s">
        <v>64</v>
      </c>
      <c r="J1122" t="s">
        <v>42</v>
      </c>
      <c r="K1122">
        <v>5</v>
      </c>
      <c r="L1122" s="7">
        <f t="shared" si="52"/>
        <v>1359.5</v>
      </c>
      <c r="M1122" s="7"/>
      <c r="O1122">
        <f t="shared" si="53"/>
        <v>2</v>
      </c>
      <c r="Q1122" t="s">
        <v>65</v>
      </c>
    </row>
    <row r="1123" spans="1:17" x14ac:dyDescent="0.3">
      <c r="A1123" t="s">
        <v>2005</v>
      </c>
      <c r="B1123" s="6">
        <v>44981</v>
      </c>
      <c r="C1123" s="6" t="str">
        <f t="shared" si="51"/>
        <v>Feb</v>
      </c>
      <c r="D1123" t="s">
        <v>1662</v>
      </c>
      <c r="E1123" t="s">
        <v>26</v>
      </c>
      <c r="F1123" t="s">
        <v>1117</v>
      </c>
      <c r="G1123">
        <v>2</v>
      </c>
      <c r="H1123" s="7">
        <v>131.27000000000001</v>
      </c>
      <c r="I1123" t="s">
        <v>103</v>
      </c>
      <c r="J1123" t="s">
        <v>72</v>
      </c>
      <c r="K1123">
        <v>10</v>
      </c>
      <c r="L1123" s="7">
        <f t="shared" si="52"/>
        <v>262.54000000000002</v>
      </c>
      <c r="M1123" s="7"/>
      <c r="O1123">
        <f t="shared" si="53"/>
        <v>2</v>
      </c>
      <c r="Q1123" t="s">
        <v>104</v>
      </c>
    </row>
    <row r="1124" spans="1:17" x14ac:dyDescent="0.3">
      <c r="A1124" t="s">
        <v>2006</v>
      </c>
      <c r="B1124" s="6">
        <v>45290</v>
      </c>
      <c r="C1124" s="6" t="str">
        <f t="shared" si="51"/>
        <v>Dec</v>
      </c>
      <c r="D1124" t="s">
        <v>824</v>
      </c>
      <c r="E1124" t="s">
        <v>19</v>
      </c>
      <c r="F1124" t="s">
        <v>347</v>
      </c>
      <c r="G1124">
        <v>9</v>
      </c>
      <c r="H1124" s="7">
        <v>385.1</v>
      </c>
      <c r="I1124" t="s">
        <v>46</v>
      </c>
      <c r="J1124" t="s">
        <v>42</v>
      </c>
      <c r="K1124">
        <v>20</v>
      </c>
      <c r="L1124" s="7">
        <f t="shared" si="52"/>
        <v>3465.9</v>
      </c>
      <c r="M1124" s="7"/>
      <c r="O1124">
        <f t="shared" si="53"/>
        <v>4</v>
      </c>
      <c r="Q1124" t="s">
        <v>47</v>
      </c>
    </row>
    <row r="1125" spans="1:17" x14ac:dyDescent="0.3">
      <c r="A1125" t="s">
        <v>2007</v>
      </c>
      <c r="B1125" s="6">
        <v>45112</v>
      </c>
      <c r="C1125" s="6" t="str">
        <f t="shared" si="51"/>
        <v>Jul</v>
      </c>
      <c r="D1125" t="s">
        <v>1442</v>
      </c>
      <c r="E1125" t="s">
        <v>19</v>
      </c>
      <c r="F1125" t="s">
        <v>504</v>
      </c>
      <c r="G1125">
        <v>2</v>
      </c>
      <c r="H1125" s="7">
        <v>377.14</v>
      </c>
      <c r="I1125" t="s">
        <v>103</v>
      </c>
      <c r="J1125" t="s">
        <v>87</v>
      </c>
      <c r="K1125">
        <v>10</v>
      </c>
      <c r="L1125" s="7">
        <f t="shared" si="52"/>
        <v>754.28</v>
      </c>
      <c r="M1125" s="7"/>
      <c r="O1125">
        <f t="shared" si="53"/>
        <v>2</v>
      </c>
      <c r="Q1125" t="s">
        <v>104</v>
      </c>
    </row>
    <row r="1126" spans="1:17" x14ac:dyDescent="0.3">
      <c r="A1126" t="s">
        <v>2008</v>
      </c>
      <c r="B1126" s="6">
        <v>45101</v>
      </c>
      <c r="C1126" s="6" t="str">
        <f t="shared" si="51"/>
        <v>Jun</v>
      </c>
      <c r="D1126" t="s">
        <v>2009</v>
      </c>
      <c r="E1126" t="s">
        <v>50</v>
      </c>
      <c r="F1126" t="s">
        <v>90</v>
      </c>
      <c r="G1126">
        <v>5</v>
      </c>
      <c r="H1126" s="7">
        <v>296.24</v>
      </c>
      <c r="I1126" t="s">
        <v>103</v>
      </c>
      <c r="J1126" t="s">
        <v>42</v>
      </c>
      <c r="K1126">
        <v>20</v>
      </c>
      <c r="L1126" s="7">
        <f t="shared" si="52"/>
        <v>1481.2</v>
      </c>
      <c r="M1126" s="7"/>
      <c r="O1126">
        <f t="shared" si="53"/>
        <v>2</v>
      </c>
      <c r="Q1126" t="s">
        <v>104</v>
      </c>
    </row>
    <row r="1127" spans="1:17" x14ac:dyDescent="0.3">
      <c r="A1127" t="s">
        <v>2010</v>
      </c>
      <c r="B1127" s="6">
        <v>44930</v>
      </c>
      <c r="C1127" s="6" t="str">
        <f t="shared" si="51"/>
        <v>Jan</v>
      </c>
      <c r="D1127" t="s">
        <v>207</v>
      </c>
      <c r="E1127" t="s">
        <v>40</v>
      </c>
      <c r="F1127" t="s">
        <v>386</v>
      </c>
      <c r="G1127">
        <v>9</v>
      </c>
      <c r="H1127" s="7">
        <v>110.27</v>
      </c>
      <c r="I1127" t="s">
        <v>32</v>
      </c>
      <c r="J1127" t="s">
        <v>22</v>
      </c>
      <c r="K1127">
        <v>10</v>
      </c>
      <c r="L1127" s="7">
        <f t="shared" si="52"/>
        <v>992.43</v>
      </c>
      <c r="M1127" s="7"/>
      <c r="O1127">
        <f t="shared" si="53"/>
        <v>2</v>
      </c>
      <c r="Q1127" t="s">
        <v>33</v>
      </c>
    </row>
    <row r="1128" spans="1:17" x14ac:dyDescent="0.3">
      <c r="A1128" t="s">
        <v>2011</v>
      </c>
      <c r="B1128" s="6">
        <v>45034</v>
      </c>
      <c r="C1128" s="6" t="str">
        <f t="shared" si="51"/>
        <v>Apr</v>
      </c>
      <c r="D1128" t="s">
        <v>2012</v>
      </c>
      <c r="E1128" t="s">
        <v>36</v>
      </c>
      <c r="F1128" t="s">
        <v>145</v>
      </c>
      <c r="G1128">
        <v>9</v>
      </c>
      <c r="H1128" s="7">
        <v>53.02</v>
      </c>
      <c r="I1128" t="s">
        <v>19</v>
      </c>
      <c r="J1128" t="s">
        <v>28</v>
      </c>
      <c r="K1128">
        <v>20</v>
      </c>
      <c r="L1128" s="7">
        <f t="shared" si="52"/>
        <v>477.18</v>
      </c>
      <c r="M1128" s="7"/>
      <c r="O1128">
        <f t="shared" si="53"/>
        <v>2</v>
      </c>
      <c r="Q1128" t="s">
        <v>19</v>
      </c>
    </row>
    <row r="1129" spans="1:17" x14ac:dyDescent="0.3">
      <c r="A1129" t="s">
        <v>2013</v>
      </c>
      <c r="B1129" s="6">
        <v>45282</v>
      </c>
      <c r="C1129" s="6" t="str">
        <f t="shared" si="51"/>
        <v>Dec</v>
      </c>
      <c r="D1129" t="s">
        <v>629</v>
      </c>
      <c r="E1129" t="s">
        <v>36</v>
      </c>
      <c r="F1129" t="s">
        <v>575</v>
      </c>
      <c r="G1129">
        <v>8</v>
      </c>
      <c r="H1129" s="7">
        <v>36.799999999999997</v>
      </c>
      <c r="I1129" t="s">
        <v>103</v>
      </c>
      <c r="J1129" t="s">
        <v>22</v>
      </c>
      <c r="K1129">
        <v>20</v>
      </c>
      <c r="L1129" s="7">
        <f t="shared" si="52"/>
        <v>294.39999999999998</v>
      </c>
      <c r="M1129" s="7"/>
      <c r="O1129">
        <f t="shared" si="53"/>
        <v>2</v>
      </c>
      <c r="Q1129" t="s">
        <v>104</v>
      </c>
    </row>
    <row r="1130" spans="1:17" x14ac:dyDescent="0.3">
      <c r="A1130" t="s">
        <v>2014</v>
      </c>
      <c r="B1130" s="6">
        <v>45222</v>
      </c>
      <c r="C1130" s="6" t="str">
        <f t="shared" si="51"/>
        <v>Oct</v>
      </c>
      <c r="D1130" t="s">
        <v>1187</v>
      </c>
      <c r="E1130" t="s">
        <v>26</v>
      </c>
      <c r="F1130" t="s">
        <v>1237</v>
      </c>
      <c r="G1130">
        <v>1</v>
      </c>
      <c r="H1130" s="7">
        <v>298.38</v>
      </c>
      <c r="I1130" t="s">
        <v>46</v>
      </c>
      <c r="J1130" t="s">
        <v>72</v>
      </c>
      <c r="K1130">
        <v>15</v>
      </c>
      <c r="L1130" s="7">
        <f t="shared" si="52"/>
        <v>298.38</v>
      </c>
      <c r="M1130" s="7"/>
      <c r="O1130">
        <f t="shared" si="53"/>
        <v>2</v>
      </c>
      <c r="Q1130" t="s">
        <v>47</v>
      </c>
    </row>
    <row r="1131" spans="1:17" x14ac:dyDescent="0.3">
      <c r="A1131" t="s">
        <v>2015</v>
      </c>
      <c r="B1131" s="6">
        <v>45052</v>
      </c>
      <c r="C1131" s="6" t="str">
        <f t="shared" si="51"/>
        <v>May</v>
      </c>
      <c r="D1131" t="s">
        <v>760</v>
      </c>
      <c r="E1131" t="s">
        <v>31</v>
      </c>
      <c r="F1131" t="s">
        <v>267</v>
      </c>
      <c r="G1131">
        <v>1</v>
      </c>
      <c r="H1131" s="7">
        <v>413.39</v>
      </c>
      <c r="I1131" t="s">
        <v>32</v>
      </c>
      <c r="J1131" t="s">
        <v>42</v>
      </c>
      <c r="K1131">
        <v>0</v>
      </c>
      <c r="L1131" s="7">
        <f t="shared" si="52"/>
        <v>413.39</v>
      </c>
      <c r="M1131" s="7"/>
      <c r="O1131">
        <f t="shared" si="53"/>
        <v>2</v>
      </c>
      <c r="Q1131" t="s">
        <v>33</v>
      </c>
    </row>
    <row r="1132" spans="1:17" x14ac:dyDescent="0.3">
      <c r="A1132" t="s">
        <v>2016</v>
      </c>
      <c r="B1132" s="6">
        <v>45121</v>
      </c>
      <c r="C1132" s="6" t="str">
        <f t="shared" si="51"/>
        <v>Jul</v>
      </c>
      <c r="D1132" t="s">
        <v>2017</v>
      </c>
      <c r="E1132" t="s">
        <v>19</v>
      </c>
      <c r="F1132" t="s">
        <v>263</v>
      </c>
      <c r="G1132">
        <v>9</v>
      </c>
      <c r="H1132" s="7">
        <v>429.87</v>
      </c>
      <c r="I1132" t="s">
        <v>46</v>
      </c>
      <c r="J1132" t="s">
        <v>72</v>
      </c>
      <c r="K1132">
        <v>20</v>
      </c>
      <c r="L1132" s="7">
        <f t="shared" si="52"/>
        <v>3868.83</v>
      </c>
      <c r="M1132" s="7"/>
      <c r="O1132">
        <f t="shared" si="53"/>
        <v>5</v>
      </c>
      <c r="Q1132" t="s">
        <v>47</v>
      </c>
    </row>
    <row r="1133" spans="1:17" x14ac:dyDescent="0.3">
      <c r="A1133" t="s">
        <v>2018</v>
      </c>
      <c r="B1133" s="6">
        <v>45072</v>
      </c>
      <c r="C1133" s="6" t="str">
        <f t="shared" si="51"/>
        <v>May</v>
      </c>
      <c r="D1133" t="s">
        <v>312</v>
      </c>
      <c r="E1133" t="s">
        <v>50</v>
      </c>
      <c r="F1133" t="s">
        <v>344</v>
      </c>
      <c r="G1133">
        <v>8</v>
      </c>
      <c r="H1133" s="7">
        <v>234.49</v>
      </c>
      <c r="I1133" t="s">
        <v>64</v>
      </c>
      <c r="J1133" t="s">
        <v>22</v>
      </c>
      <c r="K1133">
        <v>5</v>
      </c>
      <c r="L1133" s="7">
        <f t="shared" si="52"/>
        <v>1875.92</v>
      </c>
      <c r="M1133" s="7"/>
      <c r="O1133">
        <f t="shared" si="53"/>
        <v>2</v>
      </c>
      <c r="Q1133" t="s">
        <v>65</v>
      </c>
    </row>
    <row r="1134" spans="1:17" x14ac:dyDescent="0.3">
      <c r="A1134" t="s">
        <v>2019</v>
      </c>
      <c r="B1134" s="6">
        <v>45144</v>
      </c>
      <c r="C1134" s="6" t="str">
        <f t="shared" si="51"/>
        <v>Aug</v>
      </c>
      <c r="D1134" t="s">
        <v>2020</v>
      </c>
      <c r="E1134" t="s">
        <v>40</v>
      </c>
      <c r="F1134" t="s">
        <v>366</v>
      </c>
      <c r="G1134">
        <v>9</v>
      </c>
      <c r="H1134" s="7">
        <v>393.21</v>
      </c>
      <c r="I1134" t="s">
        <v>103</v>
      </c>
      <c r="J1134" t="s">
        <v>28</v>
      </c>
      <c r="K1134">
        <v>5</v>
      </c>
      <c r="L1134" s="7">
        <f t="shared" si="52"/>
        <v>3538.89</v>
      </c>
      <c r="M1134" s="7"/>
      <c r="O1134">
        <f t="shared" si="53"/>
        <v>5</v>
      </c>
      <c r="Q1134" t="s">
        <v>104</v>
      </c>
    </row>
    <row r="1135" spans="1:17" x14ac:dyDescent="0.3">
      <c r="A1135" t="s">
        <v>2021</v>
      </c>
      <c r="B1135" s="6">
        <v>45223</v>
      </c>
      <c r="C1135" s="6" t="str">
        <f t="shared" si="51"/>
        <v>Oct</v>
      </c>
      <c r="D1135" t="s">
        <v>2022</v>
      </c>
      <c r="E1135" t="s">
        <v>40</v>
      </c>
      <c r="F1135" t="s">
        <v>325</v>
      </c>
      <c r="G1135">
        <v>7</v>
      </c>
      <c r="H1135" s="7">
        <v>473.71</v>
      </c>
      <c r="I1135" t="s">
        <v>103</v>
      </c>
      <c r="J1135" t="s">
        <v>42</v>
      </c>
      <c r="K1135">
        <v>10</v>
      </c>
      <c r="L1135" s="7">
        <f t="shared" si="52"/>
        <v>3315.97</v>
      </c>
      <c r="M1135" s="7"/>
      <c r="O1135">
        <f t="shared" si="53"/>
        <v>4</v>
      </c>
      <c r="Q1135" t="s">
        <v>104</v>
      </c>
    </row>
    <row r="1136" spans="1:17" x14ac:dyDescent="0.3">
      <c r="A1136" t="s">
        <v>2023</v>
      </c>
      <c r="B1136" s="6">
        <v>45193</v>
      </c>
      <c r="C1136" s="6" t="str">
        <f t="shared" si="51"/>
        <v>Sep</v>
      </c>
      <c r="D1136" t="s">
        <v>1042</v>
      </c>
      <c r="E1136" t="s">
        <v>36</v>
      </c>
      <c r="F1136" t="s">
        <v>472</v>
      </c>
      <c r="G1136">
        <v>3</v>
      </c>
      <c r="H1136" s="7">
        <v>141.21</v>
      </c>
      <c r="I1136" t="s">
        <v>103</v>
      </c>
      <c r="J1136" t="s">
        <v>22</v>
      </c>
      <c r="K1136">
        <v>20</v>
      </c>
      <c r="L1136" s="7">
        <f t="shared" si="52"/>
        <v>423.63</v>
      </c>
      <c r="M1136" s="7"/>
      <c r="O1136">
        <f t="shared" si="53"/>
        <v>2</v>
      </c>
      <c r="Q1136" t="s">
        <v>104</v>
      </c>
    </row>
    <row r="1137" spans="1:17" x14ac:dyDescent="0.3">
      <c r="A1137" t="s">
        <v>2024</v>
      </c>
      <c r="B1137" s="6">
        <v>45043</v>
      </c>
      <c r="C1137" s="6" t="str">
        <f t="shared" si="51"/>
        <v>Apr</v>
      </c>
      <c r="D1137" t="s">
        <v>144</v>
      </c>
      <c r="E1137" t="s">
        <v>40</v>
      </c>
      <c r="F1137" t="s">
        <v>347</v>
      </c>
      <c r="G1137">
        <v>3</v>
      </c>
      <c r="H1137" s="7">
        <v>201.99</v>
      </c>
      <c r="I1137" t="s">
        <v>21</v>
      </c>
      <c r="J1137" t="s">
        <v>87</v>
      </c>
      <c r="K1137">
        <v>20</v>
      </c>
      <c r="L1137" s="7">
        <f t="shared" si="52"/>
        <v>605.97</v>
      </c>
      <c r="M1137" s="7"/>
      <c r="O1137">
        <f t="shared" si="53"/>
        <v>2</v>
      </c>
      <c r="Q1137" t="s">
        <v>23</v>
      </c>
    </row>
    <row r="1138" spans="1:17" x14ac:dyDescent="0.3">
      <c r="A1138" t="s">
        <v>2025</v>
      </c>
      <c r="B1138" s="6">
        <v>45205</v>
      </c>
      <c r="C1138" s="6" t="str">
        <f t="shared" si="51"/>
        <v>Oct</v>
      </c>
      <c r="D1138" t="s">
        <v>2026</v>
      </c>
      <c r="E1138" t="s">
        <v>31</v>
      </c>
      <c r="F1138" t="s">
        <v>328</v>
      </c>
      <c r="G1138">
        <v>2</v>
      </c>
      <c r="H1138" s="7">
        <v>466.08</v>
      </c>
      <c r="I1138" t="s">
        <v>64</v>
      </c>
      <c r="J1138" t="s">
        <v>28</v>
      </c>
      <c r="K1138">
        <v>20</v>
      </c>
      <c r="L1138" s="7">
        <f t="shared" si="52"/>
        <v>932.16</v>
      </c>
      <c r="M1138" s="7"/>
      <c r="O1138">
        <f t="shared" si="53"/>
        <v>2</v>
      </c>
      <c r="Q1138" t="s">
        <v>65</v>
      </c>
    </row>
    <row r="1139" spans="1:17" x14ac:dyDescent="0.3">
      <c r="A1139" t="s">
        <v>2027</v>
      </c>
      <c r="B1139" s="6">
        <v>44945</v>
      </c>
      <c r="C1139" s="6" t="str">
        <f t="shared" si="51"/>
        <v>Jan</v>
      </c>
      <c r="D1139" t="s">
        <v>312</v>
      </c>
      <c r="E1139" t="s">
        <v>19</v>
      </c>
      <c r="F1139" t="s">
        <v>1693</v>
      </c>
      <c r="G1139">
        <v>5</v>
      </c>
      <c r="H1139" s="7">
        <v>172.42</v>
      </c>
      <c r="I1139" t="s">
        <v>64</v>
      </c>
      <c r="J1139" t="s">
        <v>28</v>
      </c>
      <c r="K1139">
        <v>10</v>
      </c>
      <c r="L1139" s="7">
        <f t="shared" si="52"/>
        <v>862.09999999999991</v>
      </c>
      <c r="M1139" s="7"/>
      <c r="O1139">
        <f t="shared" si="53"/>
        <v>2</v>
      </c>
      <c r="Q1139" t="s">
        <v>65</v>
      </c>
    </row>
    <row r="1140" spans="1:17" x14ac:dyDescent="0.3">
      <c r="A1140" t="s">
        <v>2028</v>
      </c>
      <c r="B1140" s="6">
        <v>45261</v>
      </c>
      <c r="C1140" s="6" t="str">
        <f t="shared" si="51"/>
        <v>Dec</v>
      </c>
      <c r="D1140" t="s">
        <v>1015</v>
      </c>
      <c r="E1140" t="s">
        <v>31</v>
      </c>
      <c r="F1140" t="s">
        <v>975</v>
      </c>
      <c r="G1140">
        <v>3</v>
      </c>
      <c r="H1140" s="7">
        <v>457.37</v>
      </c>
      <c r="I1140" t="s">
        <v>64</v>
      </c>
      <c r="J1140" t="s">
        <v>72</v>
      </c>
      <c r="K1140">
        <v>20</v>
      </c>
      <c r="L1140" s="7">
        <f t="shared" si="52"/>
        <v>1372.1100000000001</v>
      </c>
      <c r="M1140" s="7"/>
      <c r="O1140">
        <f t="shared" si="53"/>
        <v>2</v>
      </c>
      <c r="Q1140" t="s">
        <v>65</v>
      </c>
    </row>
    <row r="1141" spans="1:17" x14ac:dyDescent="0.3">
      <c r="A1141" t="s">
        <v>2029</v>
      </c>
      <c r="B1141" s="6">
        <v>44976</v>
      </c>
      <c r="C1141" s="6" t="str">
        <f t="shared" si="51"/>
        <v>Feb</v>
      </c>
      <c r="D1141" t="s">
        <v>112</v>
      </c>
      <c r="E1141" t="s">
        <v>50</v>
      </c>
      <c r="F1141" t="s">
        <v>474</v>
      </c>
      <c r="G1141">
        <v>6</v>
      </c>
      <c r="H1141" s="7">
        <v>490.62</v>
      </c>
      <c r="I1141" t="s">
        <v>46</v>
      </c>
      <c r="J1141" t="s">
        <v>28</v>
      </c>
      <c r="K1141">
        <v>20</v>
      </c>
      <c r="L1141" s="7">
        <f t="shared" si="52"/>
        <v>2943.7200000000003</v>
      </c>
      <c r="M1141" s="7"/>
      <c r="O1141">
        <f t="shared" si="53"/>
        <v>3</v>
      </c>
      <c r="Q1141" t="s">
        <v>47</v>
      </c>
    </row>
    <row r="1142" spans="1:17" x14ac:dyDescent="0.3">
      <c r="A1142" t="s">
        <v>2030</v>
      </c>
      <c r="B1142" s="6">
        <v>45266</v>
      </c>
      <c r="C1142" s="6" t="str">
        <f t="shared" si="51"/>
        <v>Dec</v>
      </c>
      <c r="D1142" t="s">
        <v>675</v>
      </c>
      <c r="E1142" t="s">
        <v>36</v>
      </c>
      <c r="F1142" t="s">
        <v>822</v>
      </c>
      <c r="G1142">
        <v>2</v>
      </c>
      <c r="H1142" s="7">
        <v>332.6</v>
      </c>
      <c r="I1142" t="s">
        <v>21</v>
      </c>
      <c r="J1142" t="s">
        <v>28</v>
      </c>
      <c r="K1142">
        <v>5</v>
      </c>
      <c r="L1142" s="7">
        <f t="shared" si="52"/>
        <v>665.2</v>
      </c>
      <c r="M1142" s="7"/>
      <c r="O1142">
        <f t="shared" si="53"/>
        <v>2</v>
      </c>
      <c r="Q1142" t="s">
        <v>23</v>
      </c>
    </row>
    <row r="1143" spans="1:17" x14ac:dyDescent="0.3">
      <c r="A1143" t="s">
        <v>2031</v>
      </c>
      <c r="B1143" s="6">
        <v>45017</v>
      </c>
      <c r="C1143" s="6" t="str">
        <f t="shared" si="51"/>
        <v>Apr</v>
      </c>
      <c r="D1143" t="s">
        <v>2032</v>
      </c>
      <c r="E1143" t="s">
        <v>31</v>
      </c>
      <c r="F1143" t="s">
        <v>193</v>
      </c>
      <c r="G1143">
        <v>3</v>
      </c>
      <c r="H1143" s="7">
        <v>409.36</v>
      </c>
      <c r="I1143" t="s">
        <v>32</v>
      </c>
      <c r="J1143" t="s">
        <v>42</v>
      </c>
      <c r="K1143">
        <v>0</v>
      </c>
      <c r="L1143" s="7">
        <f t="shared" si="52"/>
        <v>1228.08</v>
      </c>
      <c r="M1143" s="7"/>
      <c r="O1143">
        <f t="shared" si="53"/>
        <v>2</v>
      </c>
      <c r="Q1143" t="s">
        <v>33</v>
      </c>
    </row>
    <row r="1144" spans="1:17" x14ac:dyDescent="0.3">
      <c r="A1144" t="s">
        <v>2033</v>
      </c>
      <c r="B1144" s="6">
        <v>44935</v>
      </c>
      <c r="C1144" s="6" t="str">
        <f t="shared" si="51"/>
        <v>Jan</v>
      </c>
      <c r="D1144" t="s">
        <v>230</v>
      </c>
      <c r="E1144" t="s">
        <v>19</v>
      </c>
      <c r="F1144" t="s">
        <v>322</v>
      </c>
      <c r="G1144">
        <v>5</v>
      </c>
      <c r="H1144" s="7">
        <v>376.03</v>
      </c>
      <c r="I1144" t="s">
        <v>64</v>
      </c>
      <c r="J1144" t="s">
        <v>19</v>
      </c>
      <c r="K1144">
        <v>0</v>
      </c>
      <c r="L1144" s="7">
        <f t="shared" si="52"/>
        <v>1880.1499999999999</v>
      </c>
      <c r="M1144" s="7"/>
      <c r="O1144">
        <f t="shared" si="53"/>
        <v>2</v>
      </c>
      <c r="Q1144" t="s">
        <v>65</v>
      </c>
    </row>
    <row r="1145" spans="1:17" x14ac:dyDescent="0.3">
      <c r="A1145" t="s">
        <v>2034</v>
      </c>
      <c r="B1145" s="6">
        <v>44992</v>
      </c>
      <c r="C1145" s="6" t="str">
        <f t="shared" si="51"/>
        <v>Mar</v>
      </c>
      <c r="D1145" t="s">
        <v>958</v>
      </c>
      <c r="E1145" t="s">
        <v>50</v>
      </c>
      <c r="F1145" t="s">
        <v>856</v>
      </c>
      <c r="G1145">
        <v>1</v>
      </c>
      <c r="H1145" s="7">
        <v>351.27</v>
      </c>
      <c r="I1145" t="s">
        <v>64</v>
      </c>
      <c r="J1145" t="s">
        <v>87</v>
      </c>
      <c r="K1145">
        <v>10</v>
      </c>
      <c r="L1145" s="7">
        <f t="shared" si="52"/>
        <v>351.27</v>
      </c>
      <c r="M1145" s="7"/>
      <c r="O1145">
        <f t="shared" si="53"/>
        <v>2</v>
      </c>
      <c r="Q1145" t="s">
        <v>65</v>
      </c>
    </row>
    <row r="1146" spans="1:17" x14ac:dyDescent="0.3">
      <c r="A1146" t="s">
        <v>2035</v>
      </c>
      <c r="B1146" s="6">
        <v>45245</v>
      </c>
      <c r="C1146" s="6" t="str">
        <f t="shared" si="51"/>
        <v>Nov</v>
      </c>
      <c r="D1146" t="s">
        <v>2036</v>
      </c>
      <c r="E1146" t="s">
        <v>40</v>
      </c>
      <c r="F1146" t="s">
        <v>237</v>
      </c>
      <c r="G1146">
        <v>1</v>
      </c>
      <c r="H1146" s="7">
        <v>156.93</v>
      </c>
      <c r="I1146" t="s">
        <v>21</v>
      </c>
      <c r="J1146" t="s">
        <v>42</v>
      </c>
      <c r="K1146">
        <v>5</v>
      </c>
      <c r="L1146" s="7">
        <f t="shared" si="52"/>
        <v>156.93</v>
      </c>
      <c r="M1146" s="7"/>
      <c r="O1146">
        <f t="shared" si="53"/>
        <v>2</v>
      </c>
      <c r="Q1146" t="s">
        <v>23</v>
      </c>
    </row>
    <row r="1147" spans="1:17" x14ac:dyDescent="0.3">
      <c r="A1147" t="s">
        <v>2037</v>
      </c>
      <c r="B1147" s="6">
        <v>45171</v>
      </c>
      <c r="C1147" s="6" t="str">
        <f t="shared" si="51"/>
        <v>Sep</v>
      </c>
      <c r="D1147" t="s">
        <v>1935</v>
      </c>
      <c r="E1147" t="s">
        <v>62</v>
      </c>
      <c r="F1147" t="s">
        <v>386</v>
      </c>
      <c r="G1147">
        <v>9</v>
      </c>
      <c r="H1147" s="7">
        <v>33.26</v>
      </c>
      <c r="I1147" t="s">
        <v>19</v>
      </c>
      <c r="J1147" t="s">
        <v>72</v>
      </c>
      <c r="K1147">
        <v>20</v>
      </c>
      <c r="L1147" s="7">
        <f t="shared" si="52"/>
        <v>299.33999999999997</v>
      </c>
      <c r="M1147" s="7"/>
      <c r="O1147">
        <f t="shared" si="53"/>
        <v>2</v>
      </c>
      <c r="Q1147" t="s">
        <v>19</v>
      </c>
    </row>
    <row r="1148" spans="1:17" x14ac:dyDescent="0.3">
      <c r="A1148" t="s">
        <v>2038</v>
      </c>
      <c r="B1148" s="6">
        <v>45166</v>
      </c>
      <c r="C1148" s="6" t="str">
        <f t="shared" si="51"/>
        <v>Aug</v>
      </c>
      <c r="D1148" t="s">
        <v>380</v>
      </c>
      <c r="E1148" t="s">
        <v>31</v>
      </c>
      <c r="F1148" t="s">
        <v>423</v>
      </c>
      <c r="G1148">
        <v>7</v>
      </c>
      <c r="H1148" s="7">
        <v>174.81</v>
      </c>
      <c r="I1148" t="s">
        <v>103</v>
      </c>
      <c r="J1148" t="s">
        <v>72</v>
      </c>
      <c r="K1148">
        <v>0</v>
      </c>
      <c r="L1148" s="7">
        <f t="shared" si="52"/>
        <v>1223.67</v>
      </c>
      <c r="M1148" s="7"/>
      <c r="O1148">
        <f t="shared" si="53"/>
        <v>2</v>
      </c>
      <c r="Q1148" t="s">
        <v>104</v>
      </c>
    </row>
    <row r="1149" spans="1:17" x14ac:dyDescent="0.3">
      <c r="A1149" t="s">
        <v>2039</v>
      </c>
      <c r="B1149" s="6">
        <v>45082</v>
      </c>
      <c r="C1149" s="6" t="str">
        <f t="shared" si="51"/>
        <v>Jun</v>
      </c>
      <c r="D1149" t="s">
        <v>2040</v>
      </c>
      <c r="E1149" t="s">
        <v>62</v>
      </c>
      <c r="F1149" t="s">
        <v>248</v>
      </c>
      <c r="G1149">
        <v>1</v>
      </c>
      <c r="H1149" s="7">
        <v>335.13</v>
      </c>
      <c r="I1149" t="s">
        <v>21</v>
      </c>
      <c r="J1149" t="s">
        <v>72</v>
      </c>
      <c r="K1149">
        <v>15</v>
      </c>
      <c r="L1149" s="7">
        <f t="shared" si="52"/>
        <v>335.13</v>
      </c>
      <c r="M1149" s="7"/>
      <c r="O1149">
        <f t="shared" si="53"/>
        <v>2</v>
      </c>
      <c r="Q1149" t="s">
        <v>23</v>
      </c>
    </row>
    <row r="1150" spans="1:17" x14ac:dyDescent="0.3">
      <c r="A1150" t="s">
        <v>2041</v>
      </c>
      <c r="B1150" s="6">
        <v>44988</v>
      </c>
      <c r="C1150" s="6" t="str">
        <f t="shared" si="51"/>
        <v>Mar</v>
      </c>
      <c r="D1150" t="s">
        <v>2042</v>
      </c>
      <c r="E1150" t="s">
        <v>31</v>
      </c>
      <c r="F1150" t="s">
        <v>511</v>
      </c>
      <c r="G1150">
        <v>8</v>
      </c>
      <c r="H1150" s="7">
        <v>55.75</v>
      </c>
      <c r="I1150" t="s">
        <v>46</v>
      </c>
      <c r="J1150" t="s">
        <v>42</v>
      </c>
      <c r="K1150">
        <v>15</v>
      </c>
      <c r="L1150" s="7">
        <f t="shared" si="52"/>
        <v>446</v>
      </c>
      <c r="M1150" s="7"/>
      <c r="O1150">
        <f t="shared" si="53"/>
        <v>2</v>
      </c>
      <c r="Q1150" t="s">
        <v>47</v>
      </c>
    </row>
    <row r="1151" spans="1:17" x14ac:dyDescent="0.3">
      <c r="A1151" t="s">
        <v>2043</v>
      </c>
      <c r="B1151" s="6">
        <v>45290</v>
      </c>
      <c r="C1151" s="6" t="str">
        <f t="shared" si="51"/>
        <v>Dec</v>
      </c>
      <c r="D1151" t="s">
        <v>2044</v>
      </c>
      <c r="E1151" t="s">
        <v>26</v>
      </c>
      <c r="F1151" t="s">
        <v>59</v>
      </c>
      <c r="G1151">
        <v>3</v>
      </c>
      <c r="H1151" s="7">
        <v>10.9</v>
      </c>
      <c r="I1151" t="s">
        <v>103</v>
      </c>
      <c r="J1151" t="s">
        <v>19</v>
      </c>
      <c r="K1151">
        <v>15</v>
      </c>
      <c r="L1151" s="7">
        <f t="shared" si="52"/>
        <v>32.700000000000003</v>
      </c>
      <c r="M1151" s="7"/>
      <c r="O1151">
        <f t="shared" si="53"/>
        <v>2</v>
      </c>
      <c r="Q1151" t="s">
        <v>104</v>
      </c>
    </row>
    <row r="1152" spans="1:17" x14ac:dyDescent="0.3">
      <c r="A1152" t="s">
        <v>2045</v>
      </c>
      <c r="B1152" s="6">
        <v>44988</v>
      </c>
      <c r="C1152" s="6" t="str">
        <f t="shared" si="51"/>
        <v>Mar</v>
      </c>
      <c r="D1152" t="s">
        <v>1705</v>
      </c>
      <c r="E1152" t="s">
        <v>50</v>
      </c>
      <c r="F1152" t="s">
        <v>488</v>
      </c>
      <c r="G1152">
        <v>5</v>
      </c>
      <c r="H1152" s="7">
        <v>74.150000000000006</v>
      </c>
      <c r="I1152" t="s">
        <v>32</v>
      </c>
      <c r="J1152" t="s">
        <v>19</v>
      </c>
      <c r="K1152">
        <v>20</v>
      </c>
      <c r="L1152" s="7">
        <f t="shared" si="52"/>
        <v>370.75</v>
      </c>
      <c r="M1152" s="7"/>
      <c r="O1152">
        <f t="shared" si="53"/>
        <v>2</v>
      </c>
      <c r="Q1152" t="s">
        <v>33</v>
      </c>
    </row>
    <row r="1153" spans="1:17" x14ac:dyDescent="0.3">
      <c r="A1153" t="s">
        <v>2046</v>
      </c>
      <c r="B1153" s="6">
        <v>45263</v>
      </c>
      <c r="C1153" s="6" t="str">
        <f t="shared" si="51"/>
        <v>Dec</v>
      </c>
      <c r="D1153" t="s">
        <v>811</v>
      </c>
      <c r="E1153" t="s">
        <v>62</v>
      </c>
      <c r="F1153" t="s">
        <v>90</v>
      </c>
      <c r="G1153">
        <v>5</v>
      </c>
      <c r="H1153" s="7">
        <v>359.29</v>
      </c>
      <c r="I1153" t="s">
        <v>64</v>
      </c>
      <c r="J1153" t="s">
        <v>72</v>
      </c>
      <c r="K1153">
        <v>20</v>
      </c>
      <c r="L1153" s="7">
        <f t="shared" si="52"/>
        <v>1796.45</v>
      </c>
      <c r="M1153" s="7"/>
      <c r="O1153">
        <f t="shared" si="53"/>
        <v>2</v>
      </c>
      <c r="Q1153" t="s">
        <v>65</v>
      </c>
    </row>
    <row r="1154" spans="1:17" x14ac:dyDescent="0.3">
      <c r="A1154" t="s">
        <v>2047</v>
      </c>
      <c r="B1154" s="6">
        <v>45252</v>
      </c>
      <c r="C1154" s="6" t="str">
        <f t="shared" si="51"/>
        <v>Nov</v>
      </c>
      <c r="D1154" t="s">
        <v>2048</v>
      </c>
      <c r="E1154" t="s">
        <v>26</v>
      </c>
      <c r="F1154" t="s">
        <v>113</v>
      </c>
      <c r="G1154">
        <v>1</v>
      </c>
      <c r="H1154" s="7">
        <v>252.16</v>
      </c>
      <c r="I1154" t="s">
        <v>32</v>
      </c>
      <c r="J1154" t="s">
        <v>19</v>
      </c>
      <c r="K1154">
        <v>10</v>
      </c>
      <c r="L1154" s="7">
        <f t="shared" si="52"/>
        <v>252.16</v>
      </c>
      <c r="M1154" s="7"/>
      <c r="O1154">
        <f t="shared" si="53"/>
        <v>2</v>
      </c>
      <c r="Q1154" t="s">
        <v>33</v>
      </c>
    </row>
    <row r="1155" spans="1:17" x14ac:dyDescent="0.3">
      <c r="A1155" t="s">
        <v>2049</v>
      </c>
      <c r="B1155" s="6">
        <v>45032</v>
      </c>
      <c r="C1155" s="6" t="str">
        <f t="shared" ref="C1155:C1218" si="54">TEXT(B1155,"MMM")</f>
        <v>Apr</v>
      </c>
      <c r="D1155" t="s">
        <v>1697</v>
      </c>
      <c r="E1155" t="s">
        <v>19</v>
      </c>
      <c r="F1155" t="s">
        <v>789</v>
      </c>
      <c r="G1155">
        <v>7</v>
      </c>
      <c r="H1155" s="7">
        <v>491.62</v>
      </c>
      <c r="I1155" t="s">
        <v>46</v>
      </c>
      <c r="J1155" t="s">
        <v>19</v>
      </c>
      <c r="K1155">
        <v>10</v>
      </c>
      <c r="L1155" s="7">
        <f t="shared" ref="L1155:L1218" si="55">G1155*H1155</f>
        <v>3441.34</v>
      </c>
      <c r="M1155" s="7"/>
      <c r="O1155">
        <f t="shared" si="53"/>
        <v>4</v>
      </c>
      <c r="Q1155" t="s">
        <v>47</v>
      </c>
    </row>
    <row r="1156" spans="1:17" x14ac:dyDescent="0.3">
      <c r="A1156" t="s">
        <v>2050</v>
      </c>
      <c r="B1156" s="6">
        <v>44961</v>
      </c>
      <c r="C1156" s="6" t="str">
        <f t="shared" si="54"/>
        <v>Feb</v>
      </c>
      <c r="D1156" t="s">
        <v>541</v>
      </c>
      <c r="E1156" t="s">
        <v>36</v>
      </c>
      <c r="F1156" t="s">
        <v>263</v>
      </c>
      <c r="G1156">
        <v>5</v>
      </c>
      <c r="H1156" s="7">
        <v>249.52</v>
      </c>
      <c r="I1156" t="s">
        <v>46</v>
      </c>
      <c r="J1156" t="s">
        <v>22</v>
      </c>
      <c r="K1156">
        <v>10</v>
      </c>
      <c r="L1156" s="7">
        <f t="shared" si="55"/>
        <v>1247.6000000000001</v>
      </c>
      <c r="M1156" s="7"/>
      <c r="O1156">
        <f t="shared" ref="O1156:O1219" si="56">IF(L1156&gt;3500,5,IF(L1156&gt;3000,4,IF(L1156&gt;2500,3,IF(L1156&gt;2000,2,IF(L1156&gt;1000,2,2)))))</f>
        <v>2</v>
      </c>
      <c r="Q1156" t="s">
        <v>47</v>
      </c>
    </row>
    <row r="1157" spans="1:17" x14ac:dyDescent="0.3">
      <c r="A1157" t="s">
        <v>2051</v>
      </c>
      <c r="B1157" s="6">
        <v>45044</v>
      </c>
      <c r="C1157" s="6" t="str">
        <f t="shared" si="54"/>
        <v>Apr</v>
      </c>
      <c r="D1157" t="s">
        <v>501</v>
      </c>
      <c r="E1157" t="s">
        <v>36</v>
      </c>
      <c r="F1157" t="s">
        <v>642</v>
      </c>
      <c r="G1157">
        <v>6</v>
      </c>
      <c r="H1157" s="7">
        <v>435.33</v>
      </c>
      <c r="I1157" t="s">
        <v>64</v>
      </c>
      <c r="J1157" t="s">
        <v>19</v>
      </c>
      <c r="K1157">
        <v>10</v>
      </c>
      <c r="L1157" s="7">
        <f t="shared" si="55"/>
        <v>2611.98</v>
      </c>
      <c r="M1157" s="7"/>
      <c r="O1157">
        <f t="shared" si="56"/>
        <v>3</v>
      </c>
      <c r="Q1157" t="s">
        <v>65</v>
      </c>
    </row>
    <row r="1158" spans="1:17" x14ac:dyDescent="0.3">
      <c r="A1158" t="s">
        <v>2052</v>
      </c>
      <c r="B1158" s="6">
        <v>45203</v>
      </c>
      <c r="C1158" s="6" t="str">
        <f t="shared" si="54"/>
        <v>Oct</v>
      </c>
      <c r="D1158" t="s">
        <v>1603</v>
      </c>
      <c r="E1158" t="s">
        <v>19</v>
      </c>
      <c r="F1158" t="s">
        <v>51</v>
      </c>
      <c r="G1158">
        <v>6</v>
      </c>
      <c r="H1158" s="7">
        <v>369.73</v>
      </c>
      <c r="I1158" t="s">
        <v>103</v>
      </c>
      <c r="J1158" t="s">
        <v>22</v>
      </c>
      <c r="K1158">
        <v>15</v>
      </c>
      <c r="L1158" s="7">
        <f t="shared" si="55"/>
        <v>2218.38</v>
      </c>
      <c r="M1158" s="7"/>
      <c r="O1158">
        <f t="shared" si="56"/>
        <v>2</v>
      </c>
      <c r="Q1158" t="s">
        <v>104</v>
      </c>
    </row>
    <row r="1159" spans="1:17" x14ac:dyDescent="0.3">
      <c r="A1159" t="s">
        <v>2053</v>
      </c>
      <c r="B1159" s="6">
        <v>44964</v>
      </c>
      <c r="C1159" s="6" t="str">
        <f t="shared" si="54"/>
        <v>Feb</v>
      </c>
      <c r="D1159" t="s">
        <v>1285</v>
      </c>
      <c r="E1159" t="s">
        <v>62</v>
      </c>
      <c r="F1159" t="s">
        <v>586</v>
      </c>
      <c r="G1159">
        <v>8</v>
      </c>
      <c r="H1159" s="7">
        <v>252.16</v>
      </c>
      <c r="I1159" t="s">
        <v>19</v>
      </c>
      <c r="J1159" t="s">
        <v>42</v>
      </c>
      <c r="K1159">
        <v>20</v>
      </c>
      <c r="L1159" s="7">
        <f t="shared" si="55"/>
        <v>2017.28</v>
      </c>
      <c r="M1159" s="7"/>
      <c r="O1159">
        <f t="shared" si="56"/>
        <v>2</v>
      </c>
      <c r="Q1159" t="s">
        <v>19</v>
      </c>
    </row>
    <row r="1160" spans="1:17" x14ac:dyDescent="0.3">
      <c r="A1160" t="s">
        <v>2054</v>
      </c>
      <c r="B1160" s="6">
        <v>45151</v>
      </c>
      <c r="C1160" s="6" t="str">
        <f t="shared" si="54"/>
        <v>Aug</v>
      </c>
      <c r="D1160" t="s">
        <v>1408</v>
      </c>
      <c r="E1160" t="s">
        <v>40</v>
      </c>
      <c r="F1160" t="s">
        <v>278</v>
      </c>
      <c r="G1160">
        <v>9</v>
      </c>
      <c r="H1160" s="7">
        <v>288.52</v>
      </c>
      <c r="I1160" t="s">
        <v>19</v>
      </c>
      <c r="J1160" t="s">
        <v>28</v>
      </c>
      <c r="K1160">
        <v>15</v>
      </c>
      <c r="L1160" s="7">
        <f t="shared" si="55"/>
        <v>2596.6799999999998</v>
      </c>
      <c r="M1160" s="7"/>
      <c r="O1160">
        <f t="shared" si="56"/>
        <v>3</v>
      </c>
      <c r="Q1160" t="s">
        <v>19</v>
      </c>
    </row>
    <row r="1161" spans="1:17" x14ac:dyDescent="0.3">
      <c r="A1161" t="s">
        <v>2055</v>
      </c>
      <c r="B1161" s="6">
        <v>45079</v>
      </c>
      <c r="C1161" s="6" t="str">
        <f t="shared" si="54"/>
        <v>Jun</v>
      </c>
      <c r="D1161" t="s">
        <v>70</v>
      </c>
      <c r="E1161" t="s">
        <v>19</v>
      </c>
      <c r="F1161" t="s">
        <v>1194</v>
      </c>
      <c r="G1161">
        <v>2</v>
      </c>
      <c r="H1161" s="7">
        <v>72.930000000000007</v>
      </c>
      <c r="I1161" t="s">
        <v>19</v>
      </c>
      <c r="J1161" t="s">
        <v>72</v>
      </c>
      <c r="K1161">
        <v>10</v>
      </c>
      <c r="L1161" s="7">
        <f t="shared" si="55"/>
        <v>145.86000000000001</v>
      </c>
      <c r="M1161" s="7"/>
      <c r="O1161">
        <f t="shared" si="56"/>
        <v>2</v>
      </c>
      <c r="Q1161" t="s">
        <v>19</v>
      </c>
    </row>
    <row r="1162" spans="1:17" x14ac:dyDescent="0.3">
      <c r="A1162" t="s">
        <v>2056</v>
      </c>
      <c r="B1162" s="6">
        <v>45118</v>
      </c>
      <c r="C1162" s="6" t="str">
        <f t="shared" si="54"/>
        <v>Jul</v>
      </c>
      <c r="D1162" t="s">
        <v>2057</v>
      </c>
      <c r="E1162" t="s">
        <v>19</v>
      </c>
      <c r="F1162" t="s">
        <v>267</v>
      </c>
      <c r="G1162">
        <v>9</v>
      </c>
      <c r="H1162" s="7">
        <v>469.14</v>
      </c>
      <c r="I1162" t="s">
        <v>32</v>
      </c>
      <c r="J1162" t="s">
        <v>72</v>
      </c>
      <c r="K1162">
        <v>20</v>
      </c>
      <c r="L1162" s="7">
        <f t="shared" si="55"/>
        <v>4222.26</v>
      </c>
      <c r="M1162" s="7"/>
      <c r="O1162">
        <f t="shared" si="56"/>
        <v>5</v>
      </c>
      <c r="Q1162" t="s">
        <v>33</v>
      </c>
    </row>
    <row r="1163" spans="1:17" x14ac:dyDescent="0.3">
      <c r="A1163" t="s">
        <v>2058</v>
      </c>
      <c r="B1163" s="6">
        <v>45058</v>
      </c>
      <c r="C1163" s="6" t="str">
        <f t="shared" si="54"/>
        <v>May</v>
      </c>
      <c r="D1163" t="s">
        <v>2059</v>
      </c>
      <c r="E1163" t="s">
        <v>62</v>
      </c>
      <c r="F1163" t="s">
        <v>1180</v>
      </c>
      <c r="G1163">
        <v>9</v>
      </c>
      <c r="H1163" s="7">
        <v>179.21</v>
      </c>
      <c r="I1163" t="s">
        <v>32</v>
      </c>
      <c r="J1163" t="s">
        <v>87</v>
      </c>
      <c r="K1163">
        <v>5</v>
      </c>
      <c r="L1163" s="7">
        <f t="shared" si="55"/>
        <v>1612.89</v>
      </c>
      <c r="M1163" s="7"/>
      <c r="O1163">
        <f t="shared" si="56"/>
        <v>2</v>
      </c>
      <c r="Q1163" t="s">
        <v>33</v>
      </c>
    </row>
    <row r="1164" spans="1:17" x14ac:dyDescent="0.3">
      <c r="A1164" t="s">
        <v>2060</v>
      </c>
      <c r="B1164" s="6">
        <v>45226</v>
      </c>
      <c r="C1164" s="6" t="str">
        <f t="shared" si="54"/>
        <v>Oct</v>
      </c>
      <c r="D1164" t="s">
        <v>2061</v>
      </c>
      <c r="E1164" t="s">
        <v>62</v>
      </c>
      <c r="F1164" t="s">
        <v>41</v>
      </c>
      <c r="G1164">
        <v>7</v>
      </c>
      <c r="H1164" s="7">
        <v>225.84</v>
      </c>
      <c r="I1164" t="s">
        <v>64</v>
      </c>
      <c r="J1164" t="s">
        <v>22</v>
      </c>
      <c r="K1164">
        <v>0</v>
      </c>
      <c r="L1164" s="7">
        <f t="shared" si="55"/>
        <v>1580.88</v>
      </c>
      <c r="M1164" s="7"/>
      <c r="O1164">
        <f t="shared" si="56"/>
        <v>2</v>
      </c>
      <c r="Q1164" t="s">
        <v>65</v>
      </c>
    </row>
    <row r="1165" spans="1:17" x14ac:dyDescent="0.3">
      <c r="A1165" t="s">
        <v>2062</v>
      </c>
      <c r="B1165" s="6">
        <v>45003</v>
      </c>
      <c r="C1165" s="6" t="str">
        <f t="shared" si="54"/>
        <v>Mar</v>
      </c>
      <c r="D1165" t="s">
        <v>679</v>
      </c>
      <c r="E1165" t="s">
        <v>36</v>
      </c>
      <c r="F1165" t="s">
        <v>107</v>
      </c>
      <c r="G1165">
        <v>1</v>
      </c>
      <c r="H1165" s="7">
        <v>337.47</v>
      </c>
      <c r="I1165" t="s">
        <v>21</v>
      </c>
      <c r="J1165" t="s">
        <v>42</v>
      </c>
      <c r="K1165">
        <v>0</v>
      </c>
      <c r="L1165" s="7">
        <f t="shared" si="55"/>
        <v>337.47</v>
      </c>
      <c r="M1165" s="7"/>
      <c r="O1165">
        <f t="shared" si="56"/>
        <v>2</v>
      </c>
      <c r="Q1165" t="s">
        <v>23</v>
      </c>
    </row>
    <row r="1166" spans="1:17" x14ac:dyDescent="0.3">
      <c r="A1166" t="s">
        <v>2063</v>
      </c>
      <c r="B1166" s="6">
        <v>44964</v>
      </c>
      <c r="C1166" s="6" t="str">
        <f t="shared" si="54"/>
        <v>Feb</v>
      </c>
      <c r="D1166" t="s">
        <v>1426</v>
      </c>
      <c r="E1166" t="s">
        <v>26</v>
      </c>
      <c r="F1166" t="s">
        <v>145</v>
      </c>
      <c r="G1166">
        <v>7</v>
      </c>
      <c r="H1166" s="7">
        <v>170.28</v>
      </c>
      <c r="I1166" t="s">
        <v>21</v>
      </c>
      <c r="J1166" t="s">
        <v>42</v>
      </c>
      <c r="K1166">
        <v>10</v>
      </c>
      <c r="L1166" s="7">
        <f t="shared" si="55"/>
        <v>1191.96</v>
      </c>
      <c r="M1166" s="7"/>
      <c r="O1166">
        <f t="shared" si="56"/>
        <v>2</v>
      </c>
      <c r="Q1166" t="s">
        <v>23</v>
      </c>
    </row>
    <row r="1167" spans="1:17" x14ac:dyDescent="0.3">
      <c r="A1167" t="s">
        <v>2064</v>
      </c>
      <c r="B1167" s="6">
        <v>45044</v>
      </c>
      <c r="C1167" s="6" t="str">
        <f t="shared" si="54"/>
        <v>Apr</v>
      </c>
      <c r="D1167" t="s">
        <v>626</v>
      </c>
      <c r="E1167" t="s">
        <v>26</v>
      </c>
      <c r="F1167" t="s">
        <v>289</v>
      </c>
      <c r="G1167">
        <v>5</v>
      </c>
      <c r="H1167" s="7">
        <v>130.86000000000001</v>
      </c>
      <c r="I1167" t="s">
        <v>64</v>
      </c>
      <c r="J1167" t="s">
        <v>72</v>
      </c>
      <c r="K1167">
        <v>15</v>
      </c>
      <c r="L1167" s="7">
        <f t="shared" si="55"/>
        <v>654.30000000000007</v>
      </c>
      <c r="M1167" s="7"/>
      <c r="O1167">
        <f t="shared" si="56"/>
        <v>2</v>
      </c>
      <c r="Q1167" t="s">
        <v>65</v>
      </c>
    </row>
    <row r="1168" spans="1:17" x14ac:dyDescent="0.3">
      <c r="A1168" t="s">
        <v>2065</v>
      </c>
      <c r="B1168" s="6">
        <v>45161</v>
      </c>
      <c r="C1168" s="6" t="str">
        <f t="shared" si="54"/>
        <v>Aug</v>
      </c>
      <c r="D1168" t="s">
        <v>221</v>
      </c>
      <c r="E1168" t="s">
        <v>40</v>
      </c>
      <c r="F1168" t="s">
        <v>145</v>
      </c>
      <c r="G1168">
        <v>6</v>
      </c>
      <c r="H1168" s="7">
        <v>317.37</v>
      </c>
      <c r="I1168" t="s">
        <v>103</v>
      </c>
      <c r="J1168" t="s">
        <v>72</v>
      </c>
      <c r="K1168">
        <v>5</v>
      </c>
      <c r="L1168" s="7">
        <f t="shared" si="55"/>
        <v>1904.22</v>
      </c>
      <c r="M1168" s="7"/>
      <c r="O1168">
        <f t="shared" si="56"/>
        <v>2</v>
      </c>
      <c r="Q1168" t="s">
        <v>104</v>
      </c>
    </row>
    <row r="1169" spans="1:17" x14ac:dyDescent="0.3">
      <c r="A1169" t="s">
        <v>2066</v>
      </c>
      <c r="B1169" s="6">
        <v>45250</v>
      </c>
      <c r="C1169" s="6" t="str">
        <f t="shared" si="54"/>
        <v>Nov</v>
      </c>
      <c r="D1169" t="s">
        <v>1256</v>
      </c>
      <c r="E1169" t="s">
        <v>26</v>
      </c>
      <c r="F1169" t="s">
        <v>412</v>
      </c>
      <c r="G1169">
        <v>7</v>
      </c>
      <c r="H1169" s="7">
        <v>17.37</v>
      </c>
      <c r="I1169" t="s">
        <v>103</v>
      </c>
      <c r="J1169" t="s">
        <v>19</v>
      </c>
      <c r="K1169">
        <v>20</v>
      </c>
      <c r="L1169" s="7">
        <f t="shared" si="55"/>
        <v>121.59</v>
      </c>
      <c r="M1169" s="7"/>
      <c r="O1169">
        <f t="shared" si="56"/>
        <v>2</v>
      </c>
      <c r="Q1169" t="s">
        <v>104</v>
      </c>
    </row>
    <row r="1170" spans="1:17" x14ac:dyDescent="0.3">
      <c r="A1170" t="s">
        <v>2067</v>
      </c>
      <c r="B1170" s="6">
        <v>45138</v>
      </c>
      <c r="C1170" s="6" t="str">
        <f t="shared" si="54"/>
        <v>Jul</v>
      </c>
      <c r="D1170" t="s">
        <v>1446</v>
      </c>
      <c r="E1170" t="s">
        <v>50</v>
      </c>
      <c r="F1170" t="s">
        <v>1038</v>
      </c>
      <c r="G1170">
        <v>5</v>
      </c>
      <c r="H1170" s="7">
        <v>361.76</v>
      </c>
      <c r="I1170" t="s">
        <v>46</v>
      </c>
      <c r="J1170" t="s">
        <v>42</v>
      </c>
      <c r="K1170">
        <v>15</v>
      </c>
      <c r="L1170" s="7">
        <f t="shared" si="55"/>
        <v>1808.8</v>
      </c>
      <c r="M1170" s="7"/>
      <c r="O1170">
        <f t="shared" si="56"/>
        <v>2</v>
      </c>
      <c r="Q1170" t="s">
        <v>47</v>
      </c>
    </row>
    <row r="1171" spans="1:17" x14ac:dyDescent="0.3">
      <c r="A1171" t="s">
        <v>2068</v>
      </c>
      <c r="B1171" s="6">
        <v>45022</v>
      </c>
      <c r="C1171" s="6" t="str">
        <f t="shared" si="54"/>
        <v>Apr</v>
      </c>
      <c r="D1171" t="s">
        <v>1191</v>
      </c>
      <c r="E1171" t="s">
        <v>19</v>
      </c>
      <c r="F1171" t="s">
        <v>179</v>
      </c>
      <c r="G1171">
        <v>7</v>
      </c>
      <c r="H1171" s="7">
        <v>259.44</v>
      </c>
      <c r="I1171" t="s">
        <v>103</v>
      </c>
      <c r="J1171" t="s">
        <v>72</v>
      </c>
      <c r="K1171">
        <v>10</v>
      </c>
      <c r="L1171" s="7">
        <f t="shared" si="55"/>
        <v>1816.08</v>
      </c>
      <c r="M1171" s="7"/>
      <c r="O1171">
        <f t="shared" si="56"/>
        <v>2</v>
      </c>
      <c r="Q1171" t="s">
        <v>104</v>
      </c>
    </row>
    <row r="1172" spans="1:17" x14ac:dyDescent="0.3">
      <c r="A1172" t="s">
        <v>2069</v>
      </c>
      <c r="B1172" s="6">
        <v>45168</v>
      </c>
      <c r="C1172" s="6" t="str">
        <f t="shared" si="54"/>
        <v>Aug</v>
      </c>
      <c r="D1172" t="s">
        <v>1426</v>
      </c>
      <c r="E1172" t="s">
        <v>19</v>
      </c>
      <c r="F1172" t="s">
        <v>1182</v>
      </c>
      <c r="G1172">
        <v>9</v>
      </c>
      <c r="H1172" s="7">
        <v>304.85000000000002</v>
      </c>
      <c r="I1172" t="s">
        <v>32</v>
      </c>
      <c r="J1172" t="s">
        <v>22</v>
      </c>
      <c r="K1172">
        <v>15</v>
      </c>
      <c r="L1172" s="7">
        <f t="shared" si="55"/>
        <v>2743.65</v>
      </c>
      <c r="M1172" s="7"/>
      <c r="O1172">
        <f t="shared" si="56"/>
        <v>3</v>
      </c>
      <c r="Q1172" t="s">
        <v>33</v>
      </c>
    </row>
    <row r="1173" spans="1:17" x14ac:dyDescent="0.3">
      <c r="A1173" t="s">
        <v>2070</v>
      </c>
      <c r="B1173" s="6">
        <v>45262</v>
      </c>
      <c r="C1173" s="6" t="str">
        <f t="shared" si="54"/>
        <v>Dec</v>
      </c>
      <c r="D1173" t="s">
        <v>1410</v>
      </c>
      <c r="E1173" t="s">
        <v>26</v>
      </c>
      <c r="F1173" t="s">
        <v>1142</v>
      </c>
      <c r="G1173">
        <v>3</v>
      </c>
      <c r="H1173" s="7">
        <v>317.77999999999997</v>
      </c>
      <c r="I1173" t="s">
        <v>21</v>
      </c>
      <c r="J1173" t="s">
        <v>28</v>
      </c>
      <c r="K1173">
        <v>10</v>
      </c>
      <c r="L1173" s="7">
        <f t="shared" si="55"/>
        <v>953.33999999999992</v>
      </c>
      <c r="M1173" s="7"/>
      <c r="O1173">
        <f t="shared" si="56"/>
        <v>2</v>
      </c>
      <c r="Q1173" t="s">
        <v>23</v>
      </c>
    </row>
    <row r="1174" spans="1:17" x14ac:dyDescent="0.3">
      <c r="A1174" t="s">
        <v>2071</v>
      </c>
      <c r="B1174" s="6">
        <v>45246</v>
      </c>
      <c r="C1174" s="6" t="str">
        <f t="shared" si="54"/>
        <v>Nov</v>
      </c>
      <c r="D1174" t="s">
        <v>358</v>
      </c>
      <c r="E1174" t="s">
        <v>40</v>
      </c>
      <c r="F1174" t="s">
        <v>642</v>
      </c>
      <c r="G1174">
        <v>8</v>
      </c>
      <c r="H1174" s="7">
        <v>265.89</v>
      </c>
      <c r="I1174" t="s">
        <v>32</v>
      </c>
      <c r="J1174" t="s">
        <v>19</v>
      </c>
      <c r="K1174">
        <v>10</v>
      </c>
      <c r="L1174" s="7">
        <f t="shared" si="55"/>
        <v>2127.12</v>
      </c>
      <c r="M1174" s="7"/>
      <c r="O1174">
        <f t="shared" si="56"/>
        <v>2</v>
      </c>
      <c r="Q1174" t="s">
        <v>33</v>
      </c>
    </row>
    <row r="1175" spans="1:17" x14ac:dyDescent="0.3">
      <c r="A1175" t="s">
        <v>2072</v>
      </c>
      <c r="B1175" s="6">
        <v>45018</v>
      </c>
      <c r="C1175" s="6" t="str">
        <f t="shared" si="54"/>
        <v>Apr</v>
      </c>
      <c r="D1175" t="s">
        <v>1067</v>
      </c>
      <c r="E1175" t="s">
        <v>19</v>
      </c>
      <c r="F1175" t="s">
        <v>251</v>
      </c>
      <c r="G1175">
        <v>2</v>
      </c>
      <c r="H1175" s="7">
        <v>293.35000000000002</v>
      </c>
      <c r="I1175" t="s">
        <v>103</v>
      </c>
      <c r="J1175" t="s">
        <v>19</v>
      </c>
      <c r="K1175">
        <v>0</v>
      </c>
      <c r="L1175" s="7">
        <f t="shared" si="55"/>
        <v>586.70000000000005</v>
      </c>
      <c r="M1175" s="7"/>
      <c r="O1175">
        <f t="shared" si="56"/>
        <v>2</v>
      </c>
      <c r="Q1175" t="s">
        <v>104</v>
      </c>
    </row>
    <row r="1176" spans="1:17" x14ac:dyDescent="0.3">
      <c r="A1176" t="s">
        <v>2073</v>
      </c>
      <c r="B1176" s="6">
        <v>45053</v>
      </c>
      <c r="C1176" s="6" t="str">
        <f t="shared" si="54"/>
        <v>May</v>
      </c>
      <c r="D1176" t="s">
        <v>930</v>
      </c>
      <c r="E1176" t="s">
        <v>40</v>
      </c>
      <c r="F1176" t="s">
        <v>1085</v>
      </c>
      <c r="G1176">
        <v>7</v>
      </c>
      <c r="H1176" s="7">
        <v>343.48</v>
      </c>
      <c r="I1176" t="s">
        <v>32</v>
      </c>
      <c r="J1176" t="s">
        <v>72</v>
      </c>
      <c r="K1176">
        <v>0</v>
      </c>
      <c r="L1176" s="7">
        <f t="shared" si="55"/>
        <v>2404.36</v>
      </c>
      <c r="M1176" s="7"/>
      <c r="O1176">
        <f t="shared" si="56"/>
        <v>2</v>
      </c>
      <c r="Q1176" t="s">
        <v>33</v>
      </c>
    </row>
    <row r="1177" spans="1:17" x14ac:dyDescent="0.3">
      <c r="A1177" t="s">
        <v>2074</v>
      </c>
      <c r="B1177" s="6">
        <v>45025</v>
      </c>
      <c r="C1177" s="6" t="str">
        <f t="shared" si="54"/>
        <v>Apr</v>
      </c>
      <c r="D1177" t="s">
        <v>1628</v>
      </c>
      <c r="E1177" t="s">
        <v>36</v>
      </c>
      <c r="F1177" t="s">
        <v>1085</v>
      </c>
      <c r="G1177">
        <v>2</v>
      </c>
      <c r="H1177" s="7">
        <v>377.79</v>
      </c>
      <c r="I1177" t="s">
        <v>103</v>
      </c>
      <c r="J1177" t="s">
        <v>72</v>
      </c>
      <c r="K1177">
        <v>15</v>
      </c>
      <c r="L1177" s="7">
        <f t="shared" si="55"/>
        <v>755.58</v>
      </c>
      <c r="M1177" s="7"/>
      <c r="O1177">
        <f t="shared" si="56"/>
        <v>2</v>
      </c>
      <c r="Q1177" t="s">
        <v>104</v>
      </c>
    </row>
    <row r="1178" spans="1:17" x14ac:dyDescent="0.3">
      <c r="A1178" t="s">
        <v>2075</v>
      </c>
      <c r="B1178" s="6">
        <v>45150</v>
      </c>
      <c r="C1178" s="6" t="str">
        <f t="shared" si="54"/>
        <v>Aug</v>
      </c>
      <c r="D1178" t="s">
        <v>2076</v>
      </c>
      <c r="E1178" t="s">
        <v>31</v>
      </c>
      <c r="F1178" t="s">
        <v>45</v>
      </c>
      <c r="G1178">
        <v>4</v>
      </c>
      <c r="H1178" s="7">
        <v>365.09</v>
      </c>
      <c r="I1178" t="s">
        <v>46</v>
      </c>
      <c r="J1178" t="s">
        <v>28</v>
      </c>
      <c r="K1178">
        <v>5</v>
      </c>
      <c r="L1178" s="7">
        <f t="shared" si="55"/>
        <v>1460.36</v>
      </c>
      <c r="M1178" s="7"/>
      <c r="O1178">
        <f t="shared" si="56"/>
        <v>2</v>
      </c>
      <c r="Q1178" t="s">
        <v>47</v>
      </c>
    </row>
    <row r="1179" spans="1:17" x14ac:dyDescent="0.3">
      <c r="A1179" t="s">
        <v>2077</v>
      </c>
      <c r="B1179" s="6">
        <v>45113</v>
      </c>
      <c r="C1179" s="6" t="str">
        <f t="shared" si="54"/>
        <v>Jul</v>
      </c>
      <c r="D1179" t="s">
        <v>200</v>
      </c>
      <c r="E1179" t="s">
        <v>40</v>
      </c>
      <c r="F1179" t="s">
        <v>63</v>
      </c>
      <c r="G1179">
        <v>7</v>
      </c>
      <c r="H1179" s="7">
        <v>435.46</v>
      </c>
      <c r="I1179" t="s">
        <v>103</v>
      </c>
      <c r="J1179" t="s">
        <v>22</v>
      </c>
      <c r="K1179">
        <v>20</v>
      </c>
      <c r="L1179" s="7">
        <f t="shared" si="55"/>
        <v>3048.22</v>
      </c>
      <c r="M1179" s="7"/>
      <c r="O1179">
        <f t="shared" si="56"/>
        <v>4</v>
      </c>
      <c r="Q1179" t="s">
        <v>104</v>
      </c>
    </row>
    <row r="1180" spans="1:17" x14ac:dyDescent="0.3">
      <c r="A1180" t="s">
        <v>2078</v>
      </c>
      <c r="B1180" s="6">
        <v>45173</v>
      </c>
      <c r="C1180" s="6" t="str">
        <f t="shared" si="54"/>
        <v>Sep</v>
      </c>
      <c r="D1180" t="s">
        <v>2079</v>
      </c>
      <c r="E1180" t="s">
        <v>40</v>
      </c>
      <c r="F1180" t="s">
        <v>331</v>
      </c>
      <c r="G1180">
        <v>3</v>
      </c>
      <c r="H1180" s="7">
        <v>98.77</v>
      </c>
      <c r="I1180" t="s">
        <v>64</v>
      </c>
      <c r="J1180" t="s">
        <v>87</v>
      </c>
      <c r="K1180">
        <v>10</v>
      </c>
      <c r="L1180" s="7">
        <f t="shared" si="55"/>
        <v>296.31</v>
      </c>
      <c r="M1180" s="7"/>
      <c r="O1180">
        <f t="shared" si="56"/>
        <v>2</v>
      </c>
      <c r="Q1180" t="s">
        <v>65</v>
      </c>
    </row>
    <row r="1181" spans="1:17" x14ac:dyDescent="0.3">
      <c r="A1181" t="s">
        <v>2080</v>
      </c>
      <c r="B1181" s="6">
        <v>45107</v>
      </c>
      <c r="C1181" s="6" t="str">
        <f t="shared" si="54"/>
        <v>Jun</v>
      </c>
      <c r="D1181" t="s">
        <v>2081</v>
      </c>
      <c r="E1181" t="s">
        <v>62</v>
      </c>
      <c r="F1181" t="s">
        <v>1282</v>
      </c>
      <c r="G1181">
        <v>2</v>
      </c>
      <c r="H1181" s="7">
        <v>203.57</v>
      </c>
      <c r="I1181" t="s">
        <v>21</v>
      </c>
      <c r="J1181" t="s">
        <v>42</v>
      </c>
      <c r="K1181">
        <v>20</v>
      </c>
      <c r="L1181" s="7">
        <f t="shared" si="55"/>
        <v>407.14</v>
      </c>
      <c r="M1181" s="7"/>
      <c r="O1181">
        <f t="shared" si="56"/>
        <v>2</v>
      </c>
      <c r="Q1181" t="s">
        <v>23</v>
      </c>
    </row>
    <row r="1182" spans="1:17" x14ac:dyDescent="0.3">
      <c r="A1182" t="s">
        <v>2082</v>
      </c>
      <c r="B1182" s="6">
        <v>45163</v>
      </c>
      <c r="C1182" s="6" t="str">
        <f t="shared" si="54"/>
        <v>Aug</v>
      </c>
      <c r="D1182" t="s">
        <v>841</v>
      </c>
      <c r="E1182" t="s">
        <v>19</v>
      </c>
      <c r="F1182" t="s">
        <v>822</v>
      </c>
      <c r="G1182">
        <v>7</v>
      </c>
      <c r="H1182" s="7">
        <v>474.16</v>
      </c>
      <c r="I1182" t="s">
        <v>32</v>
      </c>
      <c r="J1182" t="s">
        <v>87</v>
      </c>
      <c r="K1182">
        <v>0</v>
      </c>
      <c r="L1182" s="7">
        <f t="shared" si="55"/>
        <v>3319.1200000000003</v>
      </c>
      <c r="M1182" s="7"/>
      <c r="O1182">
        <f t="shared" si="56"/>
        <v>4</v>
      </c>
      <c r="Q1182" t="s">
        <v>33</v>
      </c>
    </row>
    <row r="1183" spans="1:17" x14ac:dyDescent="0.3">
      <c r="A1183" t="s">
        <v>2083</v>
      </c>
      <c r="B1183" s="6">
        <v>45279</v>
      </c>
      <c r="C1183" s="6" t="str">
        <f t="shared" si="54"/>
        <v>Dec</v>
      </c>
      <c r="D1183" t="s">
        <v>245</v>
      </c>
      <c r="E1183" t="s">
        <v>36</v>
      </c>
      <c r="F1183" t="s">
        <v>514</v>
      </c>
      <c r="G1183">
        <v>1</v>
      </c>
      <c r="H1183" s="7">
        <v>201.31</v>
      </c>
      <c r="I1183" t="s">
        <v>32</v>
      </c>
      <c r="J1183" t="s">
        <v>87</v>
      </c>
      <c r="K1183">
        <v>5</v>
      </c>
      <c r="L1183" s="7">
        <f t="shared" si="55"/>
        <v>201.31</v>
      </c>
      <c r="M1183" s="7"/>
      <c r="O1183">
        <f t="shared" si="56"/>
        <v>2</v>
      </c>
      <c r="Q1183" t="s">
        <v>33</v>
      </c>
    </row>
    <row r="1184" spans="1:17" x14ac:dyDescent="0.3">
      <c r="A1184" t="s">
        <v>2084</v>
      </c>
      <c r="B1184" s="6">
        <v>44985</v>
      </c>
      <c r="C1184" s="6" t="str">
        <f t="shared" si="54"/>
        <v>Feb</v>
      </c>
      <c r="D1184" t="s">
        <v>2085</v>
      </c>
      <c r="E1184" t="s">
        <v>31</v>
      </c>
      <c r="F1184" t="s">
        <v>436</v>
      </c>
      <c r="G1184">
        <v>8</v>
      </c>
      <c r="H1184" s="7">
        <v>66.81</v>
      </c>
      <c r="I1184" t="s">
        <v>32</v>
      </c>
      <c r="J1184" t="s">
        <v>87</v>
      </c>
      <c r="K1184">
        <v>5</v>
      </c>
      <c r="L1184" s="7">
        <f t="shared" si="55"/>
        <v>534.48</v>
      </c>
      <c r="M1184" s="7"/>
      <c r="O1184">
        <f t="shared" si="56"/>
        <v>2</v>
      </c>
      <c r="Q1184" t="s">
        <v>33</v>
      </c>
    </row>
    <row r="1185" spans="1:17" x14ac:dyDescent="0.3">
      <c r="A1185" t="s">
        <v>2086</v>
      </c>
      <c r="B1185" s="6">
        <v>45029</v>
      </c>
      <c r="C1185" s="6" t="str">
        <f t="shared" si="54"/>
        <v>Apr</v>
      </c>
      <c r="D1185" t="s">
        <v>527</v>
      </c>
      <c r="E1185" t="s">
        <v>62</v>
      </c>
      <c r="F1185" t="s">
        <v>1282</v>
      </c>
      <c r="G1185">
        <v>3</v>
      </c>
      <c r="H1185" s="7">
        <v>265.10000000000002</v>
      </c>
      <c r="I1185" t="s">
        <v>64</v>
      </c>
      <c r="J1185" t="s">
        <v>87</v>
      </c>
      <c r="K1185">
        <v>20</v>
      </c>
      <c r="L1185" s="7">
        <f t="shared" si="55"/>
        <v>795.30000000000007</v>
      </c>
      <c r="M1185" s="7"/>
      <c r="O1185">
        <f t="shared" si="56"/>
        <v>2</v>
      </c>
      <c r="Q1185" t="s">
        <v>65</v>
      </c>
    </row>
    <row r="1186" spans="1:17" x14ac:dyDescent="0.3">
      <c r="A1186" t="s">
        <v>2087</v>
      </c>
      <c r="B1186" s="6">
        <v>45128</v>
      </c>
      <c r="C1186" s="6" t="str">
        <f t="shared" si="54"/>
        <v>Jul</v>
      </c>
      <c r="D1186" t="s">
        <v>1256</v>
      </c>
      <c r="E1186" t="s">
        <v>19</v>
      </c>
      <c r="F1186" t="s">
        <v>27</v>
      </c>
      <c r="G1186">
        <v>2</v>
      </c>
      <c r="H1186" s="7">
        <v>59.2</v>
      </c>
      <c r="I1186" t="s">
        <v>46</v>
      </c>
      <c r="J1186" t="s">
        <v>72</v>
      </c>
      <c r="K1186">
        <v>0</v>
      </c>
      <c r="L1186" s="7">
        <f t="shared" si="55"/>
        <v>118.4</v>
      </c>
      <c r="M1186" s="7"/>
      <c r="O1186">
        <f t="shared" si="56"/>
        <v>2</v>
      </c>
      <c r="Q1186" t="s">
        <v>47</v>
      </c>
    </row>
    <row r="1187" spans="1:17" x14ac:dyDescent="0.3">
      <c r="A1187" t="s">
        <v>2088</v>
      </c>
      <c r="B1187" s="6">
        <v>45246</v>
      </c>
      <c r="C1187" s="6" t="str">
        <f t="shared" si="54"/>
        <v>Nov</v>
      </c>
      <c r="D1187" t="s">
        <v>621</v>
      </c>
      <c r="E1187" t="s">
        <v>19</v>
      </c>
      <c r="F1187" t="s">
        <v>334</v>
      </c>
      <c r="G1187">
        <v>3</v>
      </c>
      <c r="H1187" s="7">
        <v>105.41</v>
      </c>
      <c r="I1187" t="s">
        <v>32</v>
      </c>
      <c r="J1187" t="s">
        <v>42</v>
      </c>
      <c r="K1187">
        <v>20</v>
      </c>
      <c r="L1187" s="7">
        <f t="shared" si="55"/>
        <v>316.23</v>
      </c>
      <c r="M1187" s="7"/>
      <c r="O1187">
        <f t="shared" si="56"/>
        <v>2</v>
      </c>
      <c r="Q1187" t="s">
        <v>33</v>
      </c>
    </row>
    <row r="1188" spans="1:17" x14ac:dyDescent="0.3">
      <c r="A1188" t="s">
        <v>2089</v>
      </c>
      <c r="B1188" s="6">
        <v>45057</v>
      </c>
      <c r="C1188" s="6" t="str">
        <f t="shared" si="54"/>
        <v>May</v>
      </c>
      <c r="D1188" t="s">
        <v>1212</v>
      </c>
      <c r="E1188" t="s">
        <v>31</v>
      </c>
      <c r="F1188" t="s">
        <v>193</v>
      </c>
      <c r="G1188">
        <v>5</v>
      </c>
      <c r="H1188" s="7">
        <v>499.17</v>
      </c>
      <c r="I1188" t="s">
        <v>21</v>
      </c>
      <c r="J1188" t="s">
        <v>19</v>
      </c>
      <c r="K1188">
        <v>15</v>
      </c>
      <c r="L1188" s="7">
        <f t="shared" si="55"/>
        <v>2495.85</v>
      </c>
      <c r="M1188" s="7"/>
      <c r="O1188">
        <f t="shared" si="56"/>
        <v>2</v>
      </c>
      <c r="Q1188" t="s">
        <v>23</v>
      </c>
    </row>
    <row r="1189" spans="1:17" x14ac:dyDescent="0.3">
      <c r="A1189" t="s">
        <v>2090</v>
      </c>
      <c r="B1189" s="6">
        <v>45231</v>
      </c>
      <c r="C1189" s="6" t="str">
        <f t="shared" si="54"/>
        <v>Nov</v>
      </c>
      <c r="D1189" t="s">
        <v>758</v>
      </c>
      <c r="E1189" t="s">
        <v>40</v>
      </c>
      <c r="F1189" t="s">
        <v>372</v>
      </c>
      <c r="G1189">
        <v>8</v>
      </c>
      <c r="H1189" s="7">
        <v>272.97000000000003</v>
      </c>
      <c r="I1189" t="s">
        <v>64</v>
      </c>
      <c r="J1189" t="s">
        <v>28</v>
      </c>
      <c r="K1189">
        <v>5</v>
      </c>
      <c r="L1189" s="7">
        <f t="shared" si="55"/>
        <v>2183.7600000000002</v>
      </c>
      <c r="M1189" s="7"/>
      <c r="O1189">
        <f t="shared" si="56"/>
        <v>2</v>
      </c>
      <c r="Q1189" t="s">
        <v>65</v>
      </c>
    </row>
    <row r="1190" spans="1:17" x14ac:dyDescent="0.3">
      <c r="A1190" t="s">
        <v>2091</v>
      </c>
      <c r="B1190" s="6">
        <v>45078</v>
      </c>
      <c r="C1190" s="6" t="str">
        <f t="shared" si="54"/>
        <v>Jun</v>
      </c>
      <c r="D1190" t="s">
        <v>1030</v>
      </c>
      <c r="E1190" t="s">
        <v>50</v>
      </c>
      <c r="F1190" t="s">
        <v>800</v>
      </c>
      <c r="G1190">
        <v>7</v>
      </c>
      <c r="H1190" s="7">
        <v>145.61000000000001</v>
      </c>
      <c r="I1190" t="s">
        <v>103</v>
      </c>
      <c r="J1190" t="s">
        <v>42</v>
      </c>
      <c r="K1190">
        <v>5</v>
      </c>
      <c r="L1190" s="7">
        <f t="shared" si="55"/>
        <v>1019.2700000000001</v>
      </c>
      <c r="M1190" s="7"/>
      <c r="O1190">
        <f t="shared" si="56"/>
        <v>2</v>
      </c>
      <c r="Q1190" t="s">
        <v>104</v>
      </c>
    </row>
    <row r="1191" spans="1:17" x14ac:dyDescent="0.3">
      <c r="A1191" t="s">
        <v>2092</v>
      </c>
      <c r="B1191" s="6">
        <v>45265</v>
      </c>
      <c r="C1191" s="6" t="str">
        <f t="shared" si="54"/>
        <v>Dec</v>
      </c>
      <c r="D1191" t="s">
        <v>440</v>
      </c>
      <c r="E1191" t="s">
        <v>40</v>
      </c>
      <c r="F1191" t="s">
        <v>575</v>
      </c>
      <c r="G1191">
        <v>7</v>
      </c>
      <c r="H1191" s="7">
        <v>497.41</v>
      </c>
      <c r="I1191" t="s">
        <v>103</v>
      </c>
      <c r="J1191" t="s">
        <v>42</v>
      </c>
      <c r="K1191">
        <v>15</v>
      </c>
      <c r="L1191" s="7">
        <f t="shared" si="55"/>
        <v>3481.8700000000003</v>
      </c>
      <c r="M1191" s="7"/>
      <c r="O1191">
        <f t="shared" si="56"/>
        <v>4</v>
      </c>
      <c r="Q1191" t="s">
        <v>104</v>
      </c>
    </row>
    <row r="1192" spans="1:17" x14ac:dyDescent="0.3">
      <c r="A1192" t="s">
        <v>2093</v>
      </c>
      <c r="B1192" s="6">
        <v>44997</v>
      </c>
      <c r="C1192" s="6" t="str">
        <f t="shared" si="54"/>
        <v>Mar</v>
      </c>
      <c r="D1192" t="s">
        <v>2094</v>
      </c>
      <c r="E1192" t="s">
        <v>36</v>
      </c>
      <c r="F1192" t="s">
        <v>708</v>
      </c>
      <c r="G1192">
        <v>7</v>
      </c>
      <c r="H1192" s="7">
        <v>483.45</v>
      </c>
      <c r="I1192" t="s">
        <v>19</v>
      </c>
      <c r="J1192" t="s">
        <v>42</v>
      </c>
      <c r="K1192">
        <v>0</v>
      </c>
      <c r="L1192" s="7">
        <f t="shared" si="55"/>
        <v>3384.15</v>
      </c>
      <c r="M1192" s="7"/>
      <c r="O1192">
        <f t="shared" si="56"/>
        <v>4</v>
      </c>
      <c r="Q1192" t="s">
        <v>19</v>
      </c>
    </row>
    <row r="1193" spans="1:17" x14ac:dyDescent="0.3">
      <c r="A1193" t="s">
        <v>2095</v>
      </c>
      <c r="B1193" s="6">
        <v>45247</v>
      </c>
      <c r="C1193" s="6" t="str">
        <f t="shared" si="54"/>
        <v>Nov</v>
      </c>
      <c r="D1193" t="s">
        <v>272</v>
      </c>
      <c r="E1193" t="s">
        <v>62</v>
      </c>
      <c r="F1193" t="s">
        <v>198</v>
      </c>
      <c r="G1193">
        <v>8</v>
      </c>
      <c r="H1193" s="7">
        <v>223.17</v>
      </c>
      <c r="I1193" t="s">
        <v>64</v>
      </c>
      <c r="J1193" t="s">
        <v>42</v>
      </c>
      <c r="K1193">
        <v>5</v>
      </c>
      <c r="L1193" s="7">
        <f t="shared" si="55"/>
        <v>1785.36</v>
      </c>
      <c r="M1193" s="7"/>
      <c r="O1193">
        <f t="shared" si="56"/>
        <v>2</v>
      </c>
      <c r="Q1193" t="s">
        <v>65</v>
      </c>
    </row>
    <row r="1194" spans="1:17" x14ac:dyDescent="0.3">
      <c r="A1194" t="s">
        <v>2096</v>
      </c>
      <c r="B1194" s="6">
        <v>45065</v>
      </c>
      <c r="C1194" s="6" t="str">
        <f t="shared" si="54"/>
        <v>May</v>
      </c>
      <c r="D1194" t="s">
        <v>2097</v>
      </c>
      <c r="E1194" t="s">
        <v>26</v>
      </c>
      <c r="F1194" t="s">
        <v>75</v>
      </c>
      <c r="G1194">
        <v>1</v>
      </c>
      <c r="H1194" s="7">
        <v>133.9</v>
      </c>
      <c r="I1194" t="s">
        <v>19</v>
      </c>
      <c r="J1194" t="s">
        <v>19</v>
      </c>
      <c r="K1194">
        <v>10</v>
      </c>
      <c r="L1194" s="7">
        <f t="shared" si="55"/>
        <v>133.9</v>
      </c>
      <c r="M1194" s="7"/>
      <c r="O1194">
        <f t="shared" si="56"/>
        <v>2</v>
      </c>
      <c r="Q1194" t="s">
        <v>19</v>
      </c>
    </row>
    <row r="1195" spans="1:17" x14ac:dyDescent="0.3">
      <c r="A1195" t="s">
        <v>2098</v>
      </c>
      <c r="B1195" s="6">
        <v>45020</v>
      </c>
      <c r="C1195" s="6" t="str">
        <f t="shared" si="54"/>
        <v>Apr</v>
      </c>
      <c r="D1195" t="s">
        <v>283</v>
      </c>
      <c r="E1195" t="s">
        <v>36</v>
      </c>
      <c r="F1195" t="s">
        <v>208</v>
      </c>
      <c r="G1195">
        <v>4</v>
      </c>
      <c r="H1195" s="7">
        <v>420.01</v>
      </c>
      <c r="I1195" t="s">
        <v>103</v>
      </c>
      <c r="J1195" t="s">
        <v>28</v>
      </c>
      <c r="K1195">
        <v>10</v>
      </c>
      <c r="L1195" s="7">
        <f t="shared" si="55"/>
        <v>1680.04</v>
      </c>
      <c r="M1195" s="7"/>
      <c r="O1195">
        <f t="shared" si="56"/>
        <v>2</v>
      </c>
      <c r="Q1195" t="s">
        <v>104</v>
      </c>
    </row>
    <row r="1196" spans="1:17" x14ac:dyDescent="0.3">
      <c r="A1196" t="s">
        <v>2099</v>
      </c>
      <c r="B1196" s="6">
        <v>45061</v>
      </c>
      <c r="C1196" s="6" t="str">
        <f t="shared" si="54"/>
        <v>May</v>
      </c>
      <c r="D1196" t="s">
        <v>1167</v>
      </c>
      <c r="E1196" t="s">
        <v>40</v>
      </c>
      <c r="F1196" t="s">
        <v>684</v>
      </c>
      <c r="G1196">
        <v>6</v>
      </c>
      <c r="H1196" s="7">
        <v>359.23</v>
      </c>
      <c r="I1196" t="s">
        <v>103</v>
      </c>
      <c r="J1196" t="s">
        <v>28</v>
      </c>
      <c r="K1196">
        <v>10</v>
      </c>
      <c r="L1196" s="7">
        <f t="shared" si="55"/>
        <v>2155.38</v>
      </c>
      <c r="M1196" s="7"/>
      <c r="O1196">
        <f t="shared" si="56"/>
        <v>2</v>
      </c>
      <c r="Q1196" t="s">
        <v>104</v>
      </c>
    </row>
    <row r="1197" spans="1:17" x14ac:dyDescent="0.3">
      <c r="A1197" t="s">
        <v>2100</v>
      </c>
      <c r="B1197" s="6">
        <v>45046</v>
      </c>
      <c r="C1197" s="6" t="str">
        <f t="shared" si="54"/>
        <v>Apr</v>
      </c>
      <c r="D1197" t="s">
        <v>802</v>
      </c>
      <c r="E1197" t="s">
        <v>36</v>
      </c>
      <c r="F1197" t="s">
        <v>968</v>
      </c>
      <c r="G1197">
        <v>9</v>
      </c>
      <c r="H1197" s="7">
        <v>345.04</v>
      </c>
      <c r="I1197" t="s">
        <v>32</v>
      </c>
      <c r="J1197" t="s">
        <v>19</v>
      </c>
      <c r="K1197">
        <v>10</v>
      </c>
      <c r="L1197" s="7">
        <f t="shared" si="55"/>
        <v>3105.36</v>
      </c>
      <c r="M1197" s="7"/>
      <c r="O1197">
        <f t="shared" si="56"/>
        <v>4</v>
      </c>
      <c r="Q1197" t="s">
        <v>33</v>
      </c>
    </row>
    <row r="1198" spans="1:17" x14ac:dyDescent="0.3">
      <c r="A1198" t="s">
        <v>2101</v>
      </c>
      <c r="B1198" s="6">
        <v>45170</v>
      </c>
      <c r="C1198" s="6" t="str">
        <f t="shared" si="54"/>
        <v>Sep</v>
      </c>
      <c r="D1198" t="s">
        <v>2102</v>
      </c>
      <c r="E1198" t="s">
        <v>19</v>
      </c>
      <c r="F1198" t="s">
        <v>366</v>
      </c>
      <c r="G1198">
        <v>2</v>
      </c>
      <c r="H1198" s="7">
        <v>252.16</v>
      </c>
      <c r="I1198" t="s">
        <v>64</v>
      </c>
      <c r="J1198" t="s">
        <v>28</v>
      </c>
      <c r="K1198">
        <v>10</v>
      </c>
      <c r="L1198" s="7">
        <f t="shared" si="55"/>
        <v>504.32</v>
      </c>
      <c r="M1198" s="7"/>
      <c r="O1198">
        <f t="shared" si="56"/>
        <v>2</v>
      </c>
      <c r="Q1198" t="s">
        <v>65</v>
      </c>
    </row>
    <row r="1199" spans="1:17" x14ac:dyDescent="0.3">
      <c r="A1199" t="s">
        <v>2103</v>
      </c>
      <c r="B1199" s="6">
        <v>44936</v>
      </c>
      <c r="C1199" s="6" t="str">
        <f t="shared" si="54"/>
        <v>Jan</v>
      </c>
      <c r="D1199" t="s">
        <v>422</v>
      </c>
      <c r="E1199" t="s">
        <v>40</v>
      </c>
      <c r="F1199" t="s">
        <v>383</v>
      </c>
      <c r="G1199">
        <v>1</v>
      </c>
      <c r="H1199" s="7">
        <v>346.26</v>
      </c>
      <c r="I1199" t="s">
        <v>46</v>
      </c>
      <c r="J1199" t="s">
        <v>19</v>
      </c>
      <c r="K1199">
        <v>0</v>
      </c>
      <c r="L1199" s="7">
        <f t="shared" si="55"/>
        <v>346.26</v>
      </c>
      <c r="M1199" s="7"/>
      <c r="O1199">
        <f t="shared" si="56"/>
        <v>2</v>
      </c>
      <c r="Q1199" t="s">
        <v>47</v>
      </c>
    </row>
    <row r="1200" spans="1:17" x14ac:dyDescent="0.3">
      <c r="A1200" t="s">
        <v>2104</v>
      </c>
      <c r="B1200" s="6">
        <v>45238</v>
      </c>
      <c r="C1200" s="6" t="str">
        <f t="shared" si="54"/>
        <v>Nov</v>
      </c>
      <c r="D1200" t="s">
        <v>902</v>
      </c>
      <c r="E1200" t="s">
        <v>50</v>
      </c>
      <c r="F1200" t="s">
        <v>295</v>
      </c>
      <c r="G1200">
        <v>2</v>
      </c>
      <c r="H1200" s="7">
        <v>145.47999999999999</v>
      </c>
      <c r="I1200" t="s">
        <v>103</v>
      </c>
      <c r="J1200" t="s">
        <v>42</v>
      </c>
      <c r="K1200">
        <v>15</v>
      </c>
      <c r="L1200" s="7">
        <f t="shared" si="55"/>
        <v>290.95999999999998</v>
      </c>
      <c r="M1200" s="7"/>
      <c r="O1200">
        <f t="shared" si="56"/>
        <v>2</v>
      </c>
      <c r="Q1200" t="s">
        <v>104</v>
      </c>
    </row>
    <row r="1201" spans="1:17" x14ac:dyDescent="0.3">
      <c r="A1201" t="s">
        <v>2105</v>
      </c>
      <c r="B1201" s="6">
        <v>45286</v>
      </c>
      <c r="C1201" s="6" t="str">
        <f t="shared" si="54"/>
        <v>Dec</v>
      </c>
      <c r="D1201" t="s">
        <v>1350</v>
      </c>
      <c r="E1201" t="s">
        <v>19</v>
      </c>
      <c r="F1201" t="s">
        <v>81</v>
      </c>
      <c r="G1201">
        <v>7</v>
      </c>
      <c r="H1201" s="7">
        <v>348.46</v>
      </c>
      <c r="I1201" t="s">
        <v>103</v>
      </c>
      <c r="J1201" t="s">
        <v>22</v>
      </c>
      <c r="K1201">
        <v>20</v>
      </c>
      <c r="L1201" s="7">
        <f t="shared" si="55"/>
        <v>2439.2199999999998</v>
      </c>
      <c r="M1201" s="7"/>
      <c r="O1201">
        <f t="shared" si="56"/>
        <v>2</v>
      </c>
      <c r="Q1201" t="s">
        <v>104</v>
      </c>
    </row>
    <row r="1202" spans="1:17" x14ac:dyDescent="0.3">
      <c r="A1202" t="s">
        <v>2106</v>
      </c>
      <c r="B1202" s="6">
        <v>45168</v>
      </c>
      <c r="C1202" s="6" t="str">
        <f t="shared" si="54"/>
        <v>Aug</v>
      </c>
      <c r="D1202" t="s">
        <v>621</v>
      </c>
      <c r="E1202" t="s">
        <v>40</v>
      </c>
      <c r="F1202" t="s">
        <v>713</v>
      </c>
      <c r="G1202">
        <v>3</v>
      </c>
      <c r="H1202" s="7">
        <v>156.38</v>
      </c>
      <c r="I1202" t="s">
        <v>46</v>
      </c>
      <c r="J1202" t="s">
        <v>28</v>
      </c>
      <c r="K1202">
        <v>0</v>
      </c>
      <c r="L1202" s="7">
        <f t="shared" si="55"/>
        <v>469.14</v>
      </c>
      <c r="M1202" s="7"/>
      <c r="O1202">
        <f t="shared" si="56"/>
        <v>2</v>
      </c>
      <c r="Q1202" t="s">
        <v>47</v>
      </c>
    </row>
    <row r="1203" spans="1:17" x14ac:dyDescent="0.3">
      <c r="A1203" t="s">
        <v>2107</v>
      </c>
      <c r="B1203" s="6">
        <v>45248</v>
      </c>
      <c r="C1203" s="6" t="str">
        <f t="shared" si="54"/>
        <v>Nov</v>
      </c>
      <c r="D1203" t="s">
        <v>2108</v>
      </c>
      <c r="E1203" t="s">
        <v>40</v>
      </c>
      <c r="F1203" t="s">
        <v>822</v>
      </c>
      <c r="G1203">
        <v>2</v>
      </c>
      <c r="H1203" s="7">
        <v>380.82</v>
      </c>
      <c r="I1203" t="s">
        <v>64</v>
      </c>
      <c r="J1203" t="s">
        <v>72</v>
      </c>
      <c r="K1203">
        <v>20</v>
      </c>
      <c r="L1203" s="7">
        <f t="shared" si="55"/>
        <v>761.64</v>
      </c>
      <c r="M1203" s="7"/>
      <c r="O1203">
        <f t="shared" si="56"/>
        <v>2</v>
      </c>
      <c r="Q1203" t="s">
        <v>65</v>
      </c>
    </row>
    <row r="1204" spans="1:17" x14ac:dyDescent="0.3">
      <c r="A1204" t="s">
        <v>2109</v>
      </c>
      <c r="B1204" s="6">
        <v>44979</v>
      </c>
      <c r="C1204" s="6" t="str">
        <f t="shared" si="54"/>
        <v>Feb</v>
      </c>
      <c r="D1204" t="s">
        <v>1886</v>
      </c>
      <c r="E1204" t="s">
        <v>19</v>
      </c>
      <c r="F1204" t="s">
        <v>125</v>
      </c>
      <c r="G1204">
        <v>7</v>
      </c>
      <c r="H1204" s="7">
        <v>311.77999999999997</v>
      </c>
      <c r="I1204" t="s">
        <v>103</v>
      </c>
      <c r="J1204" t="s">
        <v>22</v>
      </c>
      <c r="K1204">
        <v>0</v>
      </c>
      <c r="L1204" s="7">
        <f t="shared" si="55"/>
        <v>2182.46</v>
      </c>
      <c r="M1204" s="7"/>
      <c r="O1204">
        <f t="shared" si="56"/>
        <v>2</v>
      </c>
      <c r="Q1204" t="s">
        <v>104</v>
      </c>
    </row>
    <row r="1205" spans="1:17" x14ac:dyDescent="0.3">
      <c r="A1205" t="s">
        <v>2110</v>
      </c>
      <c r="B1205" s="6">
        <v>45218</v>
      </c>
      <c r="C1205" s="6" t="str">
        <f t="shared" si="54"/>
        <v>Oct</v>
      </c>
      <c r="D1205" t="s">
        <v>1786</v>
      </c>
      <c r="E1205" t="s">
        <v>26</v>
      </c>
      <c r="F1205" t="s">
        <v>420</v>
      </c>
      <c r="G1205">
        <v>5</v>
      </c>
      <c r="H1205" s="7">
        <v>43.32</v>
      </c>
      <c r="I1205" t="s">
        <v>19</v>
      </c>
      <c r="J1205" t="s">
        <v>28</v>
      </c>
      <c r="K1205">
        <v>10</v>
      </c>
      <c r="L1205" s="7">
        <f t="shared" si="55"/>
        <v>216.6</v>
      </c>
      <c r="M1205" s="7"/>
      <c r="O1205">
        <f t="shared" si="56"/>
        <v>2</v>
      </c>
      <c r="Q1205" t="s">
        <v>19</v>
      </c>
    </row>
    <row r="1206" spans="1:17" x14ac:dyDescent="0.3">
      <c r="A1206" t="s">
        <v>2111</v>
      </c>
      <c r="B1206" s="6">
        <v>45145</v>
      </c>
      <c r="C1206" s="6" t="str">
        <f t="shared" si="54"/>
        <v>Aug</v>
      </c>
      <c r="D1206" t="s">
        <v>2112</v>
      </c>
      <c r="E1206" t="s">
        <v>26</v>
      </c>
      <c r="F1206" t="s">
        <v>142</v>
      </c>
      <c r="G1206">
        <v>3</v>
      </c>
      <c r="H1206" s="7">
        <v>258.85000000000002</v>
      </c>
      <c r="I1206" t="s">
        <v>21</v>
      </c>
      <c r="J1206" t="s">
        <v>42</v>
      </c>
      <c r="K1206">
        <v>10</v>
      </c>
      <c r="L1206" s="7">
        <f t="shared" si="55"/>
        <v>776.55000000000007</v>
      </c>
      <c r="M1206" s="7"/>
      <c r="O1206">
        <f t="shared" si="56"/>
        <v>2</v>
      </c>
      <c r="Q1206" t="s">
        <v>23</v>
      </c>
    </row>
    <row r="1207" spans="1:17" x14ac:dyDescent="0.3">
      <c r="A1207" t="s">
        <v>2113</v>
      </c>
      <c r="B1207" s="6">
        <v>45117</v>
      </c>
      <c r="C1207" s="6" t="str">
        <f t="shared" si="54"/>
        <v>Jul</v>
      </c>
      <c r="D1207" t="s">
        <v>852</v>
      </c>
      <c r="E1207" t="s">
        <v>62</v>
      </c>
      <c r="F1207" t="s">
        <v>157</v>
      </c>
      <c r="G1207">
        <v>7</v>
      </c>
      <c r="H1207" s="7">
        <v>174.93</v>
      </c>
      <c r="I1207" t="s">
        <v>103</v>
      </c>
      <c r="J1207" t="s">
        <v>87</v>
      </c>
      <c r="K1207">
        <v>15</v>
      </c>
      <c r="L1207" s="7">
        <f t="shared" si="55"/>
        <v>1224.51</v>
      </c>
      <c r="M1207" s="7"/>
      <c r="O1207">
        <f t="shared" si="56"/>
        <v>2</v>
      </c>
      <c r="Q1207" t="s">
        <v>104</v>
      </c>
    </row>
    <row r="1208" spans="1:17" x14ac:dyDescent="0.3">
      <c r="A1208" t="s">
        <v>2114</v>
      </c>
      <c r="B1208" s="6">
        <v>45143</v>
      </c>
      <c r="C1208" s="6" t="str">
        <f t="shared" si="54"/>
        <v>Aug</v>
      </c>
      <c r="D1208" t="s">
        <v>571</v>
      </c>
      <c r="E1208" t="s">
        <v>19</v>
      </c>
      <c r="F1208" t="s">
        <v>398</v>
      </c>
      <c r="G1208">
        <v>4</v>
      </c>
      <c r="H1208" s="7">
        <v>167.64</v>
      </c>
      <c r="I1208" t="s">
        <v>32</v>
      </c>
      <c r="J1208" t="s">
        <v>19</v>
      </c>
      <c r="K1208">
        <v>10</v>
      </c>
      <c r="L1208" s="7">
        <f t="shared" si="55"/>
        <v>670.56</v>
      </c>
      <c r="M1208" s="7"/>
      <c r="O1208">
        <f t="shared" si="56"/>
        <v>2</v>
      </c>
      <c r="Q1208" t="s">
        <v>33</v>
      </c>
    </row>
    <row r="1209" spans="1:17" x14ac:dyDescent="0.3">
      <c r="A1209" t="s">
        <v>2115</v>
      </c>
      <c r="B1209" s="6">
        <v>44997</v>
      </c>
      <c r="C1209" s="6" t="str">
        <f t="shared" si="54"/>
        <v>Mar</v>
      </c>
      <c r="D1209" t="s">
        <v>590</v>
      </c>
      <c r="E1209" t="s">
        <v>40</v>
      </c>
      <c r="F1209" t="s">
        <v>110</v>
      </c>
      <c r="G1209">
        <v>1</v>
      </c>
      <c r="H1209" s="7">
        <v>303.12</v>
      </c>
      <c r="I1209" t="s">
        <v>32</v>
      </c>
      <c r="J1209" t="s">
        <v>22</v>
      </c>
      <c r="K1209">
        <v>15</v>
      </c>
      <c r="L1209" s="7">
        <f t="shared" si="55"/>
        <v>303.12</v>
      </c>
      <c r="M1209" s="7"/>
      <c r="O1209">
        <f t="shared" si="56"/>
        <v>2</v>
      </c>
      <c r="Q1209" t="s">
        <v>33</v>
      </c>
    </row>
    <row r="1210" spans="1:17" x14ac:dyDescent="0.3">
      <c r="A1210" t="s">
        <v>2116</v>
      </c>
      <c r="B1210" s="6">
        <v>45171</v>
      </c>
      <c r="C1210" s="6" t="str">
        <f t="shared" si="54"/>
        <v>Sep</v>
      </c>
      <c r="D1210" t="s">
        <v>2117</v>
      </c>
      <c r="E1210" t="s">
        <v>31</v>
      </c>
      <c r="F1210" t="s">
        <v>27</v>
      </c>
      <c r="G1210">
        <v>5</v>
      </c>
      <c r="H1210" s="7">
        <v>164.55</v>
      </c>
      <c r="I1210" t="s">
        <v>32</v>
      </c>
      <c r="J1210" t="s">
        <v>19</v>
      </c>
      <c r="K1210">
        <v>20</v>
      </c>
      <c r="L1210" s="7">
        <f t="shared" si="55"/>
        <v>822.75</v>
      </c>
      <c r="M1210" s="7"/>
      <c r="O1210">
        <f t="shared" si="56"/>
        <v>2</v>
      </c>
      <c r="Q1210" t="s">
        <v>33</v>
      </c>
    </row>
    <row r="1211" spans="1:17" x14ac:dyDescent="0.3">
      <c r="A1211" t="s">
        <v>2118</v>
      </c>
      <c r="B1211" s="6">
        <v>45048</v>
      </c>
      <c r="C1211" s="6" t="str">
        <f t="shared" si="54"/>
        <v>May</v>
      </c>
      <c r="D1211" t="s">
        <v>2119</v>
      </c>
      <c r="E1211" t="s">
        <v>19</v>
      </c>
      <c r="F1211" t="s">
        <v>423</v>
      </c>
      <c r="G1211">
        <v>9</v>
      </c>
      <c r="H1211" s="7">
        <v>389.56</v>
      </c>
      <c r="I1211" t="s">
        <v>46</v>
      </c>
      <c r="J1211" t="s">
        <v>72</v>
      </c>
      <c r="K1211">
        <v>0</v>
      </c>
      <c r="L1211" s="7">
        <f t="shared" si="55"/>
        <v>3506.04</v>
      </c>
      <c r="M1211" s="7"/>
      <c r="O1211">
        <f t="shared" si="56"/>
        <v>5</v>
      </c>
      <c r="Q1211" t="s">
        <v>47</v>
      </c>
    </row>
    <row r="1212" spans="1:17" x14ac:dyDescent="0.3">
      <c r="A1212" t="s">
        <v>2120</v>
      </c>
      <c r="B1212" s="6">
        <v>45181</v>
      </c>
      <c r="C1212" s="6" t="str">
        <f t="shared" si="54"/>
        <v>Sep</v>
      </c>
      <c r="D1212" t="s">
        <v>915</v>
      </c>
      <c r="E1212" t="s">
        <v>36</v>
      </c>
      <c r="F1212" t="s">
        <v>359</v>
      </c>
      <c r="G1212">
        <v>8</v>
      </c>
      <c r="H1212" s="7">
        <v>40.04</v>
      </c>
      <c r="I1212" t="s">
        <v>21</v>
      </c>
      <c r="J1212" t="s">
        <v>28</v>
      </c>
      <c r="K1212">
        <v>5</v>
      </c>
      <c r="L1212" s="7">
        <f t="shared" si="55"/>
        <v>320.32</v>
      </c>
      <c r="M1212" s="7"/>
      <c r="O1212">
        <f t="shared" si="56"/>
        <v>2</v>
      </c>
      <c r="Q1212" t="s">
        <v>23</v>
      </c>
    </row>
    <row r="1213" spans="1:17" x14ac:dyDescent="0.3">
      <c r="A1213" t="s">
        <v>2121</v>
      </c>
      <c r="B1213" s="6">
        <v>45010</v>
      </c>
      <c r="C1213" s="6" t="str">
        <f t="shared" si="54"/>
        <v>Mar</v>
      </c>
      <c r="D1213" t="s">
        <v>2122</v>
      </c>
      <c r="E1213" t="s">
        <v>36</v>
      </c>
      <c r="F1213" t="s">
        <v>59</v>
      </c>
      <c r="G1213">
        <v>9</v>
      </c>
      <c r="H1213" s="7">
        <v>331.89</v>
      </c>
      <c r="I1213" t="s">
        <v>64</v>
      </c>
      <c r="J1213" t="s">
        <v>28</v>
      </c>
      <c r="K1213">
        <v>5</v>
      </c>
      <c r="L1213" s="7">
        <f t="shared" si="55"/>
        <v>2987.0099999999998</v>
      </c>
      <c r="M1213" s="7"/>
      <c r="O1213">
        <f t="shared" si="56"/>
        <v>3</v>
      </c>
      <c r="Q1213" t="s">
        <v>65</v>
      </c>
    </row>
    <row r="1214" spans="1:17" x14ac:dyDescent="0.3">
      <c r="A1214" t="s">
        <v>2123</v>
      </c>
      <c r="B1214" s="6">
        <v>44934</v>
      </c>
      <c r="C1214" s="6" t="str">
        <f t="shared" si="54"/>
        <v>Jan</v>
      </c>
      <c r="D1214" t="s">
        <v>2124</v>
      </c>
      <c r="E1214" t="s">
        <v>50</v>
      </c>
      <c r="F1214" t="s">
        <v>27</v>
      </c>
      <c r="G1214">
        <v>9</v>
      </c>
      <c r="H1214" s="7">
        <v>252.16</v>
      </c>
      <c r="I1214" t="s">
        <v>103</v>
      </c>
      <c r="J1214" t="s">
        <v>19</v>
      </c>
      <c r="K1214">
        <v>15</v>
      </c>
      <c r="L1214" s="7">
        <f t="shared" si="55"/>
        <v>2269.44</v>
      </c>
      <c r="M1214" s="7"/>
      <c r="O1214">
        <f t="shared" si="56"/>
        <v>2</v>
      </c>
      <c r="Q1214" t="s">
        <v>104</v>
      </c>
    </row>
    <row r="1215" spans="1:17" x14ac:dyDescent="0.3">
      <c r="A1215" t="s">
        <v>2125</v>
      </c>
      <c r="B1215" s="6">
        <v>45064</v>
      </c>
      <c r="C1215" s="6" t="str">
        <f t="shared" si="54"/>
        <v>May</v>
      </c>
      <c r="D1215" t="s">
        <v>2126</v>
      </c>
      <c r="E1215" t="s">
        <v>50</v>
      </c>
      <c r="F1215" t="s">
        <v>270</v>
      </c>
      <c r="G1215">
        <v>7</v>
      </c>
      <c r="H1215" s="7">
        <v>338.05</v>
      </c>
      <c r="I1215" t="s">
        <v>46</v>
      </c>
      <c r="J1215" t="s">
        <v>72</v>
      </c>
      <c r="K1215">
        <v>10</v>
      </c>
      <c r="L1215" s="7">
        <f t="shared" si="55"/>
        <v>2366.35</v>
      </c>
      <c r="M1215" s="7"/>
      <c r="O1215">
        <f t="shared" si="56"/>
        <v>2</v>
      </c>
      <c r="Q1215" t="s">
        <v>47</v>
      </c>
    </row>
    <row r="1216" spans="1:17" x14ac:dyDescent="0.3">
      <c r="A1216" t="s">
        <v>2127</v>
      </c>
      <c r="B1216" s="6">
        <v>45132</v>
      </c>
      <c r="C1216" s="6" t="str">
        <f t="shared" si="54"/>
        <v>Jul</v>
      </c>
      <c r="D1216" t="s">
        <v>1809</v>
      </c>
      <c r="E1216" t="s">
        <v>31</v>
      </c>
      <c r="F1216" t="s">
        <v>403</v>
      </c>
      <c r="G1216">
        <v>4</v>
      </c>
      <c r="H1216" s="7">
        <v>251.13</v>
      </c>
      <c r="I1216" t="s">
        <v>64</v>
      </c>
      <c r="J1216" t="s">
        <v>42</v>
      </c>
      <c r="K1216">
        <v>10</v>
      </c>
      <c r="L1216" s="7">
        <f t="shared" si="55"/>
        <v>1004.52</v>
      </c>
      <c r="M1216" s="7"/>
      <c r="O1216">
        <f t="shared" si="56"/>
        <v>2</v>
      </c>
      <c r="Q1216" t="s">
        <v>65</v>
      </c>
    </row>
    <row r="1217" spans="1:17" x14ac:dyDescent="0.3">
      <c r="A1217" t="s">
        <v>2128</v>
      </c>
      <c r="B1217" s="6">
        <v>45131</v>
      </c>
      <c r="C1217" s="6" t="str">
        <f t="shared" si="54"/>
        <v>Jul</v>
      </c>
      <c r="D1217" t="s">
        <v>80</v>
      </c>
      <c r="E1217" t="s">
        <v>50</v>
      </c>
      <c r="F1217" t="s">
        <v>1038</v>
      </c>
      <c r="G1217">
        <v>5</v>
      </c>
      <c r="H1217" s="7">
        <v>475.4</v>
      </c>
      <c r="I1217" t="s">
        <v>64</v>
      </c>
      <c r="J1217" t="s">
        <v>42</v>
      </c>
      <c r="K1217">
        <v>15</v>
      </c>
      <c r="L1217" s="7">
        <f t="shared" si="55"/>
        <v>2377</v>
      </c>
      <c r="M1217" s="7"/>
      <c r="O1217">
        <f t="shared" si="56"/>
        <v>2</v>
      </c>
      <c r="Q1217" t="s">
        <v>65</v>
      </c>
    </row>
    <row r="1218" spans="1:17" x14ac:dyDescent="0.3">
      <c r="A1218" t="s">
        <v>2129</v>
      </c>
      <c r="B1218" s="6">
        <v>45257</v>
      </c>
      <c r="C1218" s="6" t="str">
        <f t="shared" si="54"/>
        <v>Nov</v>
      </c>
      <c r="D1218" t="s">
        <v>1205</v>
      </c>
      <c r="E1218" t="s">
        <v>19</v>
      </c>
      <c r="F1218" t="s">
        <v>116</v>
      </c>
      <c r="G1218">
        <v>1</v>
      </c>
      <c r="H1218" s="7">
        <v>153.47</v>
      </c>
      <c r="I1218" t="s">
        <v>46</v>
      </c>
      <c r="J1218" t="s">
        <v>72</v>
      </c>
      <c r="K1218">
        <v>10</v>
      </c>
      <c r="L1218" s="7">
        <f t="shared" si="55"/>
        <v>153.47</v>
      </c>
      <c r="M1218" s="7"/>
      <c r="O1218">
        <f t="shared" si="56"/>
        <v>2</v>
      </c>
      <c r="Q1218" t="s">
        <v>47</v>
      </c>
    </row>
    <row r="1219" spans="1:17" x14ac:dyDescent="0.3">
      <c r="A1219" t="s">
        <v>2130</v>
      </c>
      <c r="B1219" s="6">
        <v>45097</v>
      </c>
      <c r="C1219" s="6" t="str">
        <f t="shared" ref="C1219:C1282" si="57">TEXT(B1219,"MMM")</f>
        <v>Jun</v>
      </c>
      <c r="D1219" t="s">
        <v>1940</v>
      </c>
      <c r="E1219" t="s">
        <v>19</v>
      </c>
      <c r="F1219" t="s">
        <v>900</v>
      </c>
      <c r="G1219">
        <v>1</v>
      </c>
      <c r="H1219" s="7">
        <v>252.16</v>
      </c>
      <c r="I1219" t="s">
        <v>21</v>
      </c>
      <c r="J1219" t="s">
        <v>72</v>
      </c>
      <c r="K1219">
        <v>5</v>
      </c>
      <c r="L1219" s="7">
        <f t="shared" ref="L1219:L1282" si="58">G1219*H1219</f>
        <v>252.16</v>
      </c>
      <c r="M1219" s="7"/>
      <c r="O1219">
        <f t="shared" si="56"/>
        <v>2</v>
      </c>
      <c r="Q1219" t="s">
        <v>23</v>
      </c>
    </row>
    <row r="1220" spans="1:17" x14ac:dyDescent="0.3">
      <c r="A1220" t="s">
        <v>2131</v>
      </c>
      <c r="B1220" s="6">
        <v>44998</v>
      </c>
      <c r="C1220" s="6" t="str">
        <f t="shared" si="57"/>
        <v>Mar</v>
      </c>
      <c r="D1220" t="s">
        <v>494</v>
      </c>
      <c r="E1220" t="s">
        <v>19</v>
      </c>
      <c r="F1220" t="s">
        <v>222</v>
      </c>
      <c r="G1220">
        <v>3</v>
      </c>
      <c r="H1220" s="7">
        <v>252.16</v>
      </c>
      <c r="I1220" t="s">
        <v>19</v>
      </c>
      <c r="J1220" t="s">
        <v>42</v>
      </c>
      <c r="K1220">
        <v>10</v>
      </c>
      <c r="L1220" s="7">
        <f t="shared" si="58"/>
        <v>756.48</v>
      </c>
      <c r="M1220" s="7"/>
      <c r="O1220">
        <f t="shared" ref="O1220:O1283" si="59">IF(L1220&gt;3500,5,IF(L1220&gt;3000,4,IF(L1220&gt;2500,3,IF(L1220&gt;2000,2,IF(L1220&gt;1000,2,2)))))</f>
        <v>2</v>
      </c>
      <c r="Q1220" t="s">
        <v>19</v>
      </c>
    </row>
    <row r="1221" spans="1:17" x14ac:dyDescent="0.3">
      <c r="A1221" t="s">
        <v>2132</v>
      </c>
      <c r="B1221" s="6">
        <v>45197</v>
      </c>
      <c r="C1221" s="6" t="str">
        <f t="shared" si="57"/>
        <v>Sep</v>
      </c>
      <c r="D1221" t="s">
        <v>1620</v>
      </c>
      <c r="E1221" t="s">
        <v>50</v>
      </c>
      <c r="F1221" t="s">
        <v>730</v>
      </c>
      <c r="G1221">
        <v>8</v>
      </c>
      <c r="H1221" s="7">
        <v>21.34</v>
      </c>
      <c r="I1221" t="s">
        <v>103</v>
      </c>
      <c r="J1221" t="s">
        <v>72</v>
      </c>
      <c r="K1221">
        <v>20</v>
      </c>
      <c r="L1221" s="7">
        <f t="shared" si="58"/>
        <v>170.72</v>
      </c>
      <c r="M1221" s="7"/>
      <c r="O1221">
        <f t="shared" si="59"/>
        <v>2</v>
      </c>
      <c r="Q1221" t="s">
        <v>104</v>
      </c>
    </row>
    <row r="1222" spans="1:17" x14ac:dyDescent="0.3">
      <c r="A1222" t="s">
        <v>2133</v>
      </c>
      <c r="B1222" s="6">
        <v>45264</v>
      </c>
      <c r="C1222" s="6" t="str">
        <f t="shared" si="57"/>
        <v>Dec</v>
      </c>
      <c r="D1222" t="s">
        <v>2134</v>
      </c>
      <c r="E1222" t="s">
        <v>62</v>
      </c>
      <c r="F1222" t="s">
        <v>445</v>
      </c>
      <c r="G1222">
        <v>2</v>
      </c>
      <c r="H1222" s="7">
        <v>477.2</v>
      </c>
      <c r="I1222" t="s">
        <v>64</v>
      </c>
      <c r="J1222" t="s">
        <v>22</v>
      </c>
      <c r="K1222">
        <v>5</v>
      </c>
      <c r="L1222" s="7">
        <f t="shared" si="58"/>
        <v>954.4</v>
      </c>
      <c r="M1222" s="7"/>
      <c r="O1222">
        <f t="shared" si="59"/>
        <v>2</v>
      </c>
      <c r="Q1222" t="s">
        <v>65</v>
      </c>
    </row>
    <row r="1223" spans="1:17" x14ac:dyDescent="0.3">
      <c r="A1223" t="s">
        <v>2135</v>
      </c>
      <c r="B1223" s="6">
        <v>45011</v>
      </c>
      <c r="C1223" s="6" t="str">
        <f t="shared" si="57"/>
        <v>Mar</v>
      </c>
      <c r="D1223" t="s">
        <v>1401</v>
      </c>
      <c r="E1223" t="s">
        <v>62</v>
      </c>
      <c r="F1223" t="s">
        <v>214</v>
      </c>
      <c r="G1223">
        <v>4</v>
      </c>
      <c r="H1223" s="7">
        <v>108.91</v>
      </c>
      <c r="I1223" t="s">
        <v>32</v>
      </c>
      <c r="J1223" t="s">
        <v>19</v>
      </c>
      <c r="K1223">
        <v>20</v>
      </c>
      <c r="L1223" s="7">
        <f t="shared" si="58"/>
        <v>435.64</v>
      </c>
      <c r="M1223" s="7"/>
      <c r="O1223">
        <f t="shared" si="59"/>
        <v>2</v>
      </c>
      <c r="Q1223" t="s">
        <v>33</v>
      </c>
    </row>
    <row r="1224" spans="1:17" x14ac:dyDescent="0.3">
      <c r="A1224" t="s">
        <v>2136</v>
      </c>
      <c r="B1224" s="6">
        <v>45037</v>
      </c>
      <c r="C1224" s="6" t="str">
        <f t="shared" si="57"/>
        <v>Apr</v>
      </c>
      <c r="D1224" t="s">
        <v>118</v>
      </c>
      <c r="E1224" t="s">
        <v>40</v>
      </c>
      <c r="F1224" t="s">
        <v>1568</v>
      </c>
      <c r="G1224">
        <v>5</v>
      </c>
      <c r="H1224" s="7">
        <v>395.52</v>
      </c>
      <c r="I1224" t="s">
        <v>103</v>
      </c>
      <c r="J1224" t="s">
        <v>28</v>
      </c>
      <c r="K1224">
        <v>0</v>
      </c>
      <c r="L1224" s="7">
        <f t="shared" si="58"/>
        <v>1977.6</v>
      </c>
      <c r="M1224" s="7"/>
      <c r="O1224">
        <f t="shared" si="59"/>
        <v>2</v>
      </c>
      <c r="Q1224" t="s">
        <v>104</v>
      </c>
    </row>
    <row r="1225" spans="1:17" x14ac:dyDescent="0.3">
      <c r="A1225" t="s">
        <v>2137</v>
      </c>
      <c r="B1225" s="6">
        <v>45173</v>
      </c>
      <c r="C1225" s="6" t="str">
        <f t="shared" si="57"/>
        <v>Sep</v>
      </c>
      <c r="D1225" t="s">
        <v>2138</v>
      </c>
      <c r="E1225" t="s">
        <v>26</v>
      </c>
      <c r="F1225" t="s">
        <v>356</v>
      </c>
      <c r="G1225">
        <v>5</v>
      </c>
      <c r="H1225" s="7">
        <v>388.41</v>
      </c>
      <c r="I1225" t="s">
        <v>21</v>
      </c>
      <c r="J1225" t="s">
        <v>87</v>
      </c>
      <c r="K1225">
        <v>10</v>
      </c>
      <c r="L1225" s="7">
        <f t="shared" si="58"/>
        <v>1942.0500000000002</v>
      </c>
      <c r="M1225" s="7"/>
      <c r="O1225">
        <f t="shared" si="59"/>
        <v>2</v>
      </c>
      <c r="Q1225" t="s">
        <v>23</v>
      </c>
    </row>
    <row r="1226" spans="1:17" x14ac:dyDescent="0.3">
      <c r="A1226" t="s">
        <v>2139</v>
      </c>
      <c r="B1226" s="6">
        <v>45283</v>
      </c>
      <c r="C1226" s="6" t="str">
        <f t="shared" si="57"/>
        <v>Dec</v>
      </c>
      <c r="D1226" t="s">
        <v>1883</v>
      </c>
      <c r="E1226" t="s">
        <v>50</v>
      </c>
      <c r="F1226" t="s">
        <v>185</v>
      </c>
      <c r="G1226">
        <v>9</v>
      </c>
      <c r="H1226" s="7">
        <v>112.78</v>
      </c>
      <c r="I1226" t="s">
        <v>103</v>
      </c>
      <c r="J1226" t="s">
        <v>22</v>
      </c>
      <c r="K1226">
        <v>15</v>
      </c>
      <c r="L1226" s="7">
        <f t="shared" si="58"/>
        <v>1015.02</v>
      </c>
      <c r="M1226" s="7"/>
      <c r="O1226">
        <f t="shared" si="59"/>
        <v>2</v>
      </c>
      <c r="Q1226" t="s">
        <v>104</v>
      </c>
    </row>
    <row r="1227" spans="1:17" x14ac:dyDescent="0.3">
      <c r="A1227" t="s">
        <v>2140</v>
      </c>
      <c r="B1227" s="6">
        <v>45120</v>
      </c>
      <c r="C1227" s="6" t="str">
        <f t="shared" si="57"/>
        <v>Jul</v>
      </c>
      <c r="D1227" t="s">
        <v>1705</v>
      </c>
      <c r="E1227" t="s">
        <v>50</v>
      </c>
      <c r="F1227" t="s">
        <v>406</v>
      </c>
      <c r="G1227">
        <v>1</v>
      </c>
      <c r="H1227" s="7">
        <v>252.16</v>
      </c>
      <c r="I1227" t="s">
        <v>21</v>
      </c>
      <c r="J1227" t="s">
        <v>72</v>
      </c>
      <c r="K1227">
        <v>5</v>
      </c>
      <c r="L1227" s="7">
        <f t="shared" si="58"/>
        <v>252.16</v>
      </c>
      <c r="M1227" s="7"/>
      <c r="O1227">
        <f t="shared" si="59"/>
        <v>2</v>
      </c>
      <c r="Q1227" t="s">
        <v>23</v>
      </c>
    </row>
    <row r="1228" spans="1:17" x14ac:dyDescent="0.3">
      <c r="A1228" t="s">
        <v>2141</v>
      </c>
      <c r="B1228" s="6">
        <v>45198</v>
      </c>
      <c r="C1228" s="6" t="str">
        <f t="shared" si="57"/>
        <v>Sep</v>
      </c>
      <c r="D1228" t="s">
        <v>902</v>
      </c>
      <c r="E1228" t="s">
        <v>62</v>
      </c>
      <c r="F1228" t="s">
        <v>84</v>
      </c>
      <c r="G1228">
        <v>5</v>
      </c>
      <c r="H1228" s="7">
        <v>28.8</v>
      </c>
      <c r="I1228" t="s">
        <v>21</v>
      </c>
      <c r="J1228" t="s">
        <v>22</v>
      </c>
      <c r="K1228">
        <v>10</v>
      </c>
      <c r="L1228" s="7">
        <f t="shared" si="58"/>
        <v>144</v>
      </c>
      <c r="M1228" s="7"/>
      <c r="O1228">
        <f t="shared" si="59"/>
        <v>2</v>
      </c>
      <c r="Q1228" t="s">
        <v>23</v>
      </c>
    </row>
    <row r="1229" spans="1:17" x14ac:dyDescent="0.3">
      <c r="A1229" t="s">
        <v>2142</v>
      </c>
      <c r="B1229" s="6">
        <v>45136</v>
      </c>
      <c r="C1229" s="6" t="str">
        <f t="shared" si="57"/>
        <v>Jul</v>
      </c>
      <c r="D1229" t="s">
        <v>2143</v>
      </c>
      <c r="E1229" t="s">
        <v>19</v>
      </c>
      <c r="F1229" t="s">
        <v>693</v>
      </c>
      <c r="G1229">
        <v>9</v>
      </c>
      <c r="H1229" s="7">
        <v>244.37</v>
      </c>
      <c r="I1229" t="s">
        <v>32</v>
      </c>
      <c r="J1229" t="s">
        <v>42</v>
      </c>
      <c r="K1229">
        <v>15</v>
      </c>
      <c r="L1229" s="7">
        <f t="shared" si="58"/>
        <v>2199.33</v>
      </c>
      <c r="M1229" s="7"/>
      <c r="O1229">
        <f t="shared" si="59"/>
        <v>2</v>
      </c>
      <c r="Q1229" t="s">
        <v>33</v>
      </c>
    </row>
    <row r="1230" spans="1:17" x14ac:dyDescent="0.3">
      <c r="A1230" t="s">
        <v>2144</v>
      </c>
      <c r="B1230" s="6">
        <v>45049</v>
      </c>
      <c r="C1230" s="6" t="str">
        <f t="shared" si="57"/>
        <v>May</v>
      </c>
      <c r="D1230" t="s">
        <v>2145</v>
      </c>
      <c r="E1230" t="s">
        <v>31</v>
      </c>
      <c r="F1230" t="s">
        <v>51</v>
      </c>
      <c r="G1230">
        <v>1</v>
      </c>
      <c r="H1230" s="7">
        <v>12.25</v>
      </c>
      <c r="I1230" t="s">
        <v>32</v>
      </c>
      <c r="J1230" t="s">
        <v>87</v>
      </c>
      <c r="K1230">
        <v>0</v>
      </c>
      <c r="L1230" s="7">
        <f t="shared" si="58"/>
        <v>12.25</v>
      </c>
      <c r="M1230" s="7"/>
      <c r="O1230">
        <f t="shared" si="59"/>
        <v>2</v>
      </c>
      <c r="Q1230" t="s">
        <v>33</v>
      </c>
    </row>
    <row r="1231" spans="1:17" x14ac:dyDescent="0.3">
      <c r="A1231" t="s">
        <v>2146</v>
      </c>
      <c r="B1231" s="6">
        <v>45054</v>
      </c>
      <c r="C1231" s="6" t="str">
        <f t="shared" si="57"/>
        <v>May</v>
      </c>
      <c r="D1231" t="s">
        <v>2094</v>
      </c>
      <c r="E1231" t="s">
        <v>31</v>
      </c>
      <c r="F1231" t="s">
        <v>1194</v>
      </c>
      <c r="G1231">
        <v>9</v>
      </c>
      <c r="H1231" s="7">
        <v>460.97</v>
      </c>
      <c r="I1231" t="s">
        <v>19</v>
      </c>
      <c r="J1231" t="s">
        <v>42</v>
      </c>
      <c r="K1231">
        <v>5</v>
      </c>
      <c r="L1231" s="7">
        <f t="shared" si="58"/>
        <v>4148.7300000000005</v>
      </c>
      <c r="M1231" s="7"/>
      <c r="O1231">
        <f t="shared" si="59"/>
        <v>5</v>
      </c>
      <c r="Q1231" t="s">
        <v>19</v>
      </c>
    </row>
    <row r="1232" spans="1:17" x14ac:dyDescent="0.3">
      <c r="A1232" t="s">
        <v>2147</v>
      </c>
      <c r="B1232" s="6">
        <v>45161</v>
      </c>
      <c r="C1232" s="6" t="str">
        <f t="shared" si="57"/>
        <v>Aug</v>
      </c>
      <c r="D1232" t="s">
        <v>811</v>
      </c>
      <c r="E1232" t="s">
        <v>19</v>
      </c>
      <c r="F1232" t="s">
        <v>63</v>
      </c>
      <c r="G1232">
        <v>8</v>
      </c>
      <c r="H1232" s="7">
        <v>488.16</v>
      </c>
      <c r="I1232" t="s">
        <v>19</v>
      </c>
      <c r="J1232" t="s">
        <v>28</v>
      </c>
      <c r="K1232">
        <v>20</v>
      </c>
      <c r="L1232" s="7">
        <f t="shared" si="58"/>
        <v>3905.28</v>
      </c>
      <c r="M1232" s="7"/>
      <c r="O1232">
        <f t="shared" si="59"/>
        <v>5</v>
      </c>
      <c r="Q1232" t="s">
        <v>19</v>
      </c>
    </row>
    <row r="1233" spans="1:17" x14ac:dyDescent="0.3">
      <c r="A1233" t="s">
        <v>2148</v>
      </c>
      <c r="B1233" s="6">
        <v>45074</v>
      </c>
      <c r="C1233" s="6" t="str">
        <f t="shared" si="57"/>
        <v>May</v>
      </c>
      <c r="D1233" t="s">
        <v>740</v>
      </c>
      <c r="E1233" t="s">
        <v>31</v>
      </c>
      <c r="F1233" t="s">
        <v>412</v>
      </c>
      <c r="G1233">
        <v>4</v>
      </c>
      <c r="H1233" s="7">
        <v>115.03</v>
      </c>
      <c r="I1233" t="s">
        <v>19</v>
      </c>
      <c r="J1233" t="s">
        <v>22</v>
      </c>
      <c r="K1233">
        <v>0</v>
      </c>
      <c r="L1233" s="7">
        <f t="shared" si="58"/>
        <v>460.12</v>
      </c>
      <c r="M1233" s="7"/>
      <c r="O1233">
        <f t="shared" si="59"/>
        <v>2</v>
      </c>
      <c r="Q1233" t="s">
        <v>19</v>
      </c>
    </row>
    <row r="1234" spans="1:17" x14ac:dyDescent="0.3">
      <c r="A1234" t="s">
        <v>2149</v>
      </c>
      <c r="B1234" s="6">
        <v>45031</v>
      </c>
      <c r="C1234" s="6" t="str">
        <f t="shared" si="57"/>
        <v>Apr</v>
      </c>
      <c r="D1234" t="s">
        <v>1137</v>
      </c>
      <c r="E1234" t="s">
        <v>40</v>
      </c>
      <c r="F1234" t="s">
        <v>789</v>
      </c>
      <c r="G1234">
        <v>5</v>
      </c>
      <c r="H1234" s="7">
        <v>108.01</v>
      </c>
      <c r="I1234" t="s">
        <v>64</v>
      </c>
      <c r="J1234" t="s">
        <v>22</v>
      </c>
      <c r="K1234">
        <v>10</v>
      </c>
      <c r="L1234" s="7">
        <f t="shared" si="58"/>
        <v>540.05000000000007</v>
      </c>
      <c r="M1234" s="7"/>
      <c r="O1234">
        <f t="shared" si="59"/>
        <v>2</v>
      </c>
      <c r="Q1234" t="s">
        <v>65</v>
      </c>
    </row>
    <row r="1235" spans="1:17" x14ac:dyDescent="0.3">
      <c r="A1235" t="s">
        <v>2150</v>
      </c>
      <c r="B1235" s="6">
        <v>45001</v>
      </c>
      <c r="C1235" s="6" t="str">
        <f t="shared" si="57"/>
        <v>Mar</v>
      </c>
      <c r="D1235" t="s">
        <v>67</v>
      </c>
      <c r="E1235" t="s">
        <v>26</v>
      </c>
      <c r="F1235" t="s">
        <v>474</v>
      </c>
      <c r="G1235">
        <v>5</v>
      </c>
      <c r="H1235" s="7">
        <v>378.09</v>
      </c>
      <c r="I1235" t="s">
        <v>19</v>
      </c>
      <c r="J1235" t="s">
        <v>28</v>
      </c>
      <c r="K1235">
        <v>15</v>
      </c>
      <c r="L1235" s="7">
        <f t="shared" si="58"/>
        <v>1890.4499999999998</v>
      </c>
      <c r="M1235" s="7"/>
      <c r="O1235">
        <f t="shared" si="59"/>
        <v>2</v>
      </c>
      <c r="Q1235" t="s">
        <v>19</v>
      </c>
    </row>
    <row r="1236" spans="1:17" x14ac:dyDescent="0.3">
      <c r="A1236" t="s">
        <v>2151</v>
      </c>
      <c r="B1236" s="6">
        <v>45219</v>
      </c>
      <c r="C1236" s="6" t="str">
        <f t="shared" si="57"/>
        <v>Oct</v>
      </c>
      <c r="D1236" t="s">
        <v>312</v>
      </c>
      <c r="E1236" t="s">
        <v>26</v>
      </c>
      <c r="F1236" t="s">
        <v>833</v>
      </c>
      <c r="G1236">
        <v>6</v>
      </c>
      <c r="H1236" s="7">
        <v>130.41999999999999</v>
      </c>
      <c r="I1236" t="s">
        <v>103</v>
      </c>
      <c r="J1236" t="s">
        <v>22</v>
      </c>
      <c r="K1236">
        <v>5</v>
      </c>
      <c r="L1236" s="7">
        <f t="shared" si="58"/>
        <v>782.52</v>
      </c>
      <c r="M1236" s="7"/>
      <c r="O1236">
        <f t="shared" si="59"/>
        <v>2</v>
      </c>
      <c r="Q1236" t="s">
        <v>104</v>
      </c>
    </row>
    <row r="1237" spans="1:17" x14ac:dyDescent="0.3">
      <c r="A1237" t="s">
        <v>2152</v>
      </c>
      <c r="B1237" s="6">
        <v>45086</v>
      </c>
      <c r="C1237" s="6" t="str">
        <f t="shared" si="57"/>
        <v>Jun</v>
      </c>
      <c r="D1237" t="s">
        <v>1442</v>
      </c>
      <c r="E1237" t="s">
        <v>31</v>
      </c>
      <c r="F1237" t="s">
        <v>303</v>
      </c>
      <c r="G1237">
        <v>7</v>
      </c>
      <c r="H1237" s="7">
        <v>448.06</v>
      </c>
      <c r="I1237" t="s">
        <v>32</v>
      </c>
      <c r="J1237" t="s">
        <v>19</v>
      </c>
      <c r="K1237">
        <v>5</v>
      </c>
      <c r="L1237" s="7">
        <f t="shared" si="58"/>
        <v>3136.42</v>
      </c>
      <c r="M1237" s="7"/>
      <c r="O1237">
        <f t="shared" si="59"/>
        <v>4</v>
      </c>
      <c r="Q1237" t="s">
        <v>33</v>
      </c>
    </row>
    <row r="1238" spans="1:17" x14ac:dyDescent="0.3">
      <c r="A1238" t="s">
        <v>2153</v>
      </c>
      <c r="B1238" s="6">
        <v>45104</v>
      </c>
      <c r="C1238" s="6" t="str">
        <f t="shared" si="57"/>
        <v>Jun</v>
      </c>
      <c r="D1238" t="s">
        <v>2154</v>
      </c>
      <c r="E1238" t="s">
        <v>50</v>
      </c>
      <c r="F1238" t="s">
        <v>412</v>
      </c>
      <c r="G1238">
        <v>8</v>
      </c>
      <c r="H1238" s="7">
        <v>289.08999999999997</v>
      </c>
      <c r="I1238" t="s">
        <v>21</v>
      </c>
      <c r="J1238" t="s">
        <v>22</v>
      </c>
      <c r="K1238">
        <v>0</v>
      </c>
      <c r="L1238" s="7">
        <f t="shared" si="58"/>
        <v>2312.7199999999998</v>
      </c>
      <c r="M1238" s="7"/>
      <c r="O1238">
        <f t="shared" si="59"/>
        <v>2</v>
      </c>
      <c r="Q1238" t="s">
        <v>23</v>
      </c>
    </row>
    <row r="1239" spans="1:17" x14ac:dyDescent="0.3">
      <c r="A1239" t="s">
        <v>2155</v>
      </c>
      <c r="B1239" s="6">
        <v>45181</v>
      </c>
      <c r="C1239" s="6" t="str">
        <f t="shared" si="57"/>
        <v>Sep</v>
      </c>
      <c r="D1239" t="s">
        <v>990</v>
      </c>
      <c r="E1239" t="s">
        <v>19</v>
      </c>
      <c r="F1239" t="s">
        <v>78</v>
      </c>
      <c r="G1239">
        <v>8</v>
      </c>
      <c r="H1239" s="7">
        <v>178.63</v>
      </c>
      <c r="I1239" t="s">
        <v>64</v>
      </c>
      <c r="J1239" t="s">
        <v>19</v>
      </c>
      <c r="K1239">
        <v>5</v>
      </c>
      <c r="L1239" s="7">
        <f t="shared" si="58"/>
        <v>1429.04</v>
      </c>
      <c r="M1239" s="7"/>
      <c r="O1239">
        <f t="shared" si="59"/>
        <v>2</v>
      </c>
      <c r="Q1239" t="s">
        <v>65</v>
      </c>
    </row>
    <row r="1240" spans="1:17" x14ac:dyDescent="0.3">
      <c r="A1240" t="s">
        <v>2156</v>
      </c>
      <c r="B1240" s="6">
        <v>45030</v>
      </c>
      <c r="C1240" s="6" t="str">
        <f t="shared" si="57"/>
        <v>Apr</v>
      </c>
      <c r="D1240" t="s">
        <v>1017</v>
      </c>
      <c r="E1240" t="s">
        <v>62</v>
      </c>
      <c r="F1240" t="s">
        <v>1146</v>
      </c>
      <c r="G1240">
        <v>2</v>
      </c>
      <c r="H1240" s="7">
        <v>417.18</v>
      </c>
      <c r="I1240" t="s">
        <v>46</v>
      </c>
      <c r="J1240" t="s">
        <v>87</v>
      </c>
      <c r="K1240">
        <v>15</v>
      </c>
      <c r="L1240" s="7">
        <f t="shared" si="58"/>
        <v>834.36</v>
      </c>
      <c r="M1240" s="7"/>
      <c r="O1240">
        <f t="shared" si="59"/>
        <v>2</v>
      </c>
      <c r="Q1240" t="s">
        <v>47</v>
      </c>
    </row>
    <row r="1241" spans="1:17" x14ac:dyDescent="0.3">
      <c r="A1241" t="s">
        <v>2157</v>
      </c>
      <c r="B1241" s="6">
        <v>45170</v>
      </c>
      <c r="C1241" s="6" t="str">
        <f t="shared" si="57"/>
        <v>Sep</v>
      </c>
      <c r="D1241" t="s">
        <v>2158</v>
      </c>
      <c r="E1241" t="s">
        <v>36</v>
      </c>
      <c r="F1241" t="s">
        <v>278</v>
      </c>
      <c r="G1241">
        <v>9</v>
      </c>
      <c r="H1241" s="7">
        <v>249.24</v>
      </c>
      <c r="I1241" t="s">
        <v>19</v>
      </c>
      <c r="J1241" t="s">
        <v>22</v>
      </c>
      <c r="K1241">
        <v>0</v>
      </c>
      <c r="L1241" s="7">
        <f t="shared" si="58"/>
        <v>2243.16</v>
      </c>
      <c r="M1241" s="7"/>
      <c r="O1241">
        <f t="shared" si="59"/>
        <v>2</v>
      </c>
      <c r="Q1241" t="s">
        <v>19</v>
      </c>
    </row>
    <row r="1242" spans="1:17" x14ac:dyDescent="0.3">
      <c r="A1242" t="s">
        <v>2159</v>
      </c>
      <c r="B1242" s="6">
        <v>44945</v>
      </c>
      <c r="C1242" s="6" t="str">
        <f t="shared" si="57"/>
        <v>Jan</v>
      </c>
      <c r="D1242" t="s">
        <v>1247</v>
      </c>
      <c r="E1242" t="s">
        <v>40</v>
      </c>
      <c r="F1242" t="s">
        <v>148</v>
      </c>
      <c r="G1242">
        <v>7</v>
      </c>
      <c r="H1242" s="7">
        <v>456.26</v>
      </c>
      <c r="I1242" t="s">
        <v>64</v>
      </c>
      <c r="J1242" t="s">
        <v>42</v>
      </c>
      <c r="K1242">
        <v>20</v>
      </c>
      <c r="L1242" s="7">
        <f t="shared" si="58"/>
        <v>3193.8199999999997</v>
      </c>
      <c r="M1242" s="7"/>
      <c r="O1242">
        <f t="shared" si="59"/>
        <v>4</v>
      </c>
      <c r="Q1242" t="s">
        <v>65</v>
      </c>
    </row>
    <row r="1243" spans="1:17" x14ac:dyDescent="0.3">
      <c r="A1243" t="s">
        <v>2160</v>
      </c>
      <c r="B1243" s="6">
        <v>44964</v>
      </c>
      <c r="C1243" s="6" t="str">
        <f t="shared" si="57"/>
        <v>Feb</v>
      </c>
      <c r="D1243" t="s">
        <v>2161</v>
      </c>
      <c r="E1243" t="s">
        <v>26</v>
      </c>
      <c r="F1243" t="s">
        <v>1237</v>
      </c>
      <c r="G1243">
        <v>4</v>
      </c>
      <c r="H1243" s="7">
        <v>464.37</v>
      </c>
      <c r="I1243" t="s">
        <v>32</v>
      </c>
      <c r="J1243" t="s">
        <v>72</v>
      </c>
      <c r="K1243">
        <v>0</v>
      </c>
      <c r="L1243" s="7">
        <f t="shared" si="58"/>
        <v>1857.48</v>
      </c>
      <c r="M1243" s="7"/>
      <c r="O1243">
        <f t="shared" si="59"/>
        <v>2</v>
      </c>
      <c r="Q1243" t="s">
        <v>33</v>
      </c>
    </row>
    <row r="1244" spans="1:17" x14ac:dyDescent="0.3">
      <c r="A1244" t="s">
        <v>2162</v>
      </c>
      <c r="B1244" s="6">
        <v>44964</v>
      </c>
      <c r="C1244" s="6" t="str">
        <f t="shared" si="57"/>
        <v>Feb</v>
      </c>
      <c r="D1244" t="s">
        <v>1285</v>
      </c>
      <c r="E1244" t="s">
        <v>31</v>
      </c>
      <c r="F1244" t="s">
        <v>646</v>
      </c>
      <c r="G1244">
        <v>4</v>
      </c>
      <c r="H1244" s="7">
        <v>86.88</v>
      </c>
      <c r="I1244" t="s">
        <v>46</v>
      </c>
      <c r="J1244" t="s">
        <v>42</v>
      </c>
      <c r="K1244">
        <v>0</v>
      </c>
      <c r="L1244" s="7">
        <f t="shared" si="58"/>
        <v>347.52</v>
      </c>
      <c r="M1244" s="7"/>
      <c r="O1244">
        <f t="shared" si="59"/>
        <v>2</v>
      </c>
      <c r="Q1244" t="s">
        <v>47</v>
      </c>
    </row>
    <row r="1245" spans="1:17" x14ac:dyDescent="0.3">
      <c r="A1245" t="s">
        <v>2163</v>
      </c>
      <c r="B1245" s="6">
        <v>44932</v>
      </c>
      <c r="C1245" s="6" t="str">
        <f t="shared" si="57"/>
        <v>Jan</v>
      </c>
      <c r="D1245" t="s">
        <v>885</v>
      </c>
      <c r="E1245" t="s">
        <v>40</v>
      </c>
      <c r="F1245" t="s">
        <v>292</v>
      </c>
      <c r="G1245">
        <v>8</v>
      </c>
      <c r="H1245" s="7">
        <v>6.15</v>
      </c>
      <c r="I1245" t="s">
        <v>64</v>
      </c>
      <c r="J1245" t="s">
        <v>87</v>
      </c>
      <c r="K1245">
        <v>20</v>
      </c>
      <c r="L1245" s="7">
        <f t="shared" si="58"/>
        <v>49.2</v>
      </c>
      <c r="M1245" s="7"/>
      <c r="O1245">
        <f t="shared" si="59"/>
        <v>2</v>
      </c>
      <c r="Q1245" t="s">
        <v>65</v>
      </c>
    </row>
    <row r="1246" spans="1:17" x14ac:dyDescent="0.3">
      <c r="A1246" t="s">
        <v>2164</v>
      </c>
      <c r="B1246" s="6">
        <v>45226</v>
      </c>
      <c r="C1246" s="6" t="str">
        <f t="shared" si="57"/>
        <v>Oct</v>
      </c>
      <c r="D1246" t="s">
        <v>740</v>
      </c>
      <c r="E1246" t="s">
        <v>50</v>
      </c>
      <c r="F1246" t="s">
        <v>224</v>
      </c>
      <c r="G1246">
        <v>5</v>
      </c>
      <c r="H1246" s="7">
        <v>492.05</v>
      </c>
      <c r="I1246" t="s">
        <v>32</v>
      </c>
      <c r="J1246" t="s">
        <v>22</v>
      </c>
      <c r="K1246">
        <v>10</v>
      </c>
      <c r="L1246" s="7">
        <f t="shared" si="58"/>
        <v>2460.25</v>
      </c>
      <c r="M1246" s="7"/>
      <c r="O1246">
        <f t="shared" si="59"/>
        <v>2</v>
      </c>
      <c r="Q1246" t="s">
        <v>33</v>
      </c>
    </row>
    <row r="1247" spans="1:17" x14ac:dyDescent="0.3">
      <c r="A1247" t="s">
        <v>2165</v>
      </c>
      <c r="B1247" s="6">
        <v>44956</v>
      </c>
      <c r="C1247" s="6" t="str">
        <f t="shared" si="57"/>
        <v>Jan</v>
      </c>
      <c r="D1247" t="s">
        <v>1754</v>
      </c>
      <c r="E1247" t="s">
        <v>19</v>
      </c>
      <c r="F1247" t="s">
        <v>344</v>
      </c>
      <c r="G1247">
        <v>6</v>
      </c>
      <c r="H1247" s="7">
        <v>453.54</v>
      </c>
      <c r="I1247" t="s">
        <v>32</v>
      </c>
      <c r="J1247" t="s">
        <v>72</v>
      </c>
      <c r="K1247">
        <v>15</v>
      </c>
      <c r="L1247" s="7">
        <f t="shared" si="58"/>
        <v>2721.2400000000002</v>
      </c>
      <c r="M1247" s="7"/>
      <c r="O1247">
        <f t="shared" si="59"/>
        <v>3</v>
      </c>
      <c r="Q1247" t="s">
        <v>33</v>
      </c>
    </row>
    <row r="1248" spans="1:17" x14ac:dyDescent="0.3">
      <c r="A1248" t="s">
        <v>2166</v>
      </c>
      <c r="B1248" s="6">
        <v>45110</v>
      </c>
      <c r="C1248" s="6" t="str">
        <f t="shared" si="57"/>
        <v>Jul</v>
      </c>
      <c r="D1248" t="s">
        <v>590</v>
      </c>
      <c r="E1248" t="s">
        <v>19</v>
      </c>
      <c r="F1248" t="s">
        <v>887</v>
      </c>
      <c r="G1248">
        <v>5</v>
      </c>
      <c r="H1248" s="7">
        <v>32.450000000000003</v>
      </c>
      <c r="I1248" t="s">
        <v>46</v>
      </c>
      <c r="J1248" t="s">
        <v>87</v>
      </c>
      <c r="K1248">
        <v>10</v>
      </c>
      <c r="L1248" s="7">
        <f t="shared" si="58"/>
        <v>162.25</v>
      </c>
      <c r="M1248" s="7"/>
      <c r="O1248">
        <f t="shared" si="59"/>
        <v>2</v>
      </c>
      <c r="Q1248" t="s">
        <v>47</v>
      </c>
    </row>
    <row r="1249" spans="1:17" x14ac:dyDescent="0.3">
      <c r="A1249" t="s">
        <v>2167</v>
      </c>
      <c r="B1249" s="6">
        <v>44944</v>
      </c>
      <c r="C1249" s="6" t="str">
        <f t="shared" si="57"/>
        <v>Jan</v>
      </c>
      <c r="D1249" t="s">
        <v>2168</v>
      </c>
      <c r="E1249" t="s">
        <v>40</v>
      </c>
      <c r="F1249" t="s">
        <v>63</v>
      </c>
      <c r="G1249">
        <v>3</v>
      </c>
      <c r="H1249" s="7">
        <v>417.35</v>
      </c>
      <c r="I1249" t="s">
        <v>64</v>
      </c>
      <c r="J1249" t="s">
        <v>87</v>
      </c>
      <c r="K1249">
        <v>10</v>
      </c>
      <c r="L1249" s="7">
        <f t="shared" si="58"/>
        <v>1252.0500000000002</v>
      </c>
      <c r="M1249" s="7"/>
      <c r="O1249">
        <f t="shared" si="59"/>
        <v>2</v>
      </c>
      <c r="Q1249" t="s">
        <v>65</v>
      </c>
    </row>
    <row r="1250" spans="1:17" x14ac:dyDescent="0.3">
      <c r="A1250" t="s">
        <v>2169</v>
      </c>
      <c r="B1250" s="6">
        <v>44971</v>
      </c>
      <c r="C1250" s="6" t="str">
        <f t="shared" si="57"/>
        <v>Feb</v>
      </c>
      <c r="D1250" t="s">
        <v>893</v>
      </c>
      <c r="E1250" t="s">
        <v>26</v>
      </c>
      <c r="F1250" t="s">
        <v>75</v>
      </c>
      <c r="G1250">
        <v>2</v>
      </c>
      <c r="H1250" s="7">
        <v>231.61</v>
      </c>
      <c r="I1250" t="s">
        <v>32</v>
      </c>
      <c r="J1250" t="s">
        <v>19</v>
      </c>
      <c r="K1250">
        <v>10</v>
      </c>
      <c r="L1250" s="7">
        <f t="shared" si="58"/>
        <v>463.22</v>
      </c>
      <c r="M1250" s="7"/>
      <c r="O1250">
        <f t="shared" si="59"/>
        <v>2</v>
      </c>
      <c r="Q1250" t="s">
        <v>33</v>
      </c>
    </row>
    <row r="1251" spans="1:17" x14ac:dyDescent="0.3">
      <c r="A1251" t="s">
        <v>2170</v>
      </c>
      <c r="B1251" s="6">
        <v>45091</v>
      </c>
      <c r="C1251" s="6" t="str">
        <f t="shared" si="57"/>
        <v>Jun</v>
      </c>
      <c r="D1251" t="s">
        <v>1525</v>
      </c>
      <c r="E1251" t="s">
        <v>50</v>
      </c>
      <c r="F1251" t="s">
        <v>137</v>
      </c>
      <c r="G1251">
        <v>9</v>
      </c>
      <c r="H1251" s="7">
        <v>133.19</v>
      </c>
      <c r="I1251" t="s">
        <v>46</v>
      </c>
      <c r="J1251" t="s">
        <v>42</v>
      </c>
      <c r="K1251">
        <v>10</v>
      </c>
      <c r="L1251" s="7">
        <f t="shared" si="58"/>
        <v>1198.71</v>
      </c>
      <c r="M1251" s="7"/>
      <c r="O1251">
        <f t="shared" si="59"/>
        <v>2</v>
      </c>
      <c r="Q1251" t="s">
        <v>47</v>
      </c>
    </row>
    <row r="1252" spans="1:17" x14ac:dyDescent="0.3">
      <c r="A1252" t="s">
        <v>2171</v>
      </c>
      <c r="B1252" s="6">
        <v>45163</v>
      </c>
      <c r="C1252" s="6" t="str">
        <f t="shared" si="57"/>
        <v>Aug</v>
      </c>
      <c r="D1252" t="s">
        <v>245</v>
      </c>
      <c r="E1252" t="s">
        <v>19</v>
      </c>
      <c r="F1252" t="s">
        <v>472</v>
      </c>
      <c r="G1252">
        <v>9</v>
      </c>
      <c r="H1252" s="7">
        <v>439.98</v>
      </c>
      <c r="I1252" t="s">
        <v>46</v>
      </c>
      <c r="J1252" t="s">
        <v>22</v>
      </c>
      <c r="K1252">
        <v>10</v>
      </c>
      <c r="L1252" s="7">
        <f t="shared" si="58"/>
        <v>3959.82</v>
      </c>
      <c r="M1252" s="7"/>
      <c r="O1252">
        <f t="shared" si="59"/>
        <v>5</v>
      </c>
      <c r="Q1252" t="s">
        <v>47</v>
      </c>
    </row>
    <row r="1253" spans="1:17" x14ac:dyDescent="0.3">
      <c r="A1253" t="s">
        <v>2172</v>
      </c>
      <c r="B1253" s="6">
        <v>45143</v>
      </c>
      <c r="C1253" s="6" t="str">
        <f t="shared" si="57"/>
        <v>Aug</v>
      </c>
      <c r="D1253" t="s">
        <v>2173</v>
      </c>
      <c r="E1253" t="s">
        <v>62</v>
      </c>
      <c r="F1253" t="s">
        <v>913</v>
      </c>
      <c r="G1253">
        <v>1</v>
      </c>
      <c r="H1253" s="7">
        <v>252.16</v>
      </c>
      <c r="I1253" t="s">
        <v>19</v>
      </c>
      <c r="J1253" t="s">
        <v>72</v>
      </c>
      <c r="K1253">
        <v>10</v>
      </c>
      <c r="L1253" s="7">
        <f t="shared" si="58"/>
        <v>252.16</v>
      </c>
      <c r="M1253" s="7"/>
      <c r="O1253">
        <f t="shared" si="59"/>
        <v>2</v>
      </c>
      <c r="Q1253" t="s">
        <v>19</v>
      </c>
    </row>
    <row r="1254" spans="1:17" x14ac:dyDescent="0.3">
      <c r="A1254" t="s">
        <v>2174</v>
      </c>
      <c r="B1254" s="6">
        <v>45002</v>
      </c>
      <c r="C1254" s="6" t="str">
        <f t="shared" si="57"/>
        <v>Mar</v>
      </c>
      <c r="D1254" t="s">
        <v>889</v>
      </c>
      <c r="E1254" t="s">
        <v>26</v>
      </c>
      <c r="F1254" t="s">
        <v>684</v>
      </c>
      <c r="G1254">
        <v>3</v>
      </c>
      <c r="H1254" s="7">
        <v>473.91</v>
      </c>
      <c r="I1254" t="s">
        <v>21</v>
      </c>
      <c r="J1254" t="s">
        <v>22</v>
      </c>
      <c r="K1254">
        <v>20</v>
      </c>
      <c r="L1254" s="7">
        <f t="shared" si="58"/>
        <v>1421.73</v>
      </c>
      <c r="M1254" s="7"/>
      <c r="O1254">
        <f t="shared" si="59"/>
        <v>2</v>
      </c>
      <c r="Q1254" t="s">
        <v>23</v>
      </c>
    </row>
    <row r="1255" spans="1:17" x14ac:dyDescent="0.3">
      <c r="A1255" t="s">
        <v>2175</v>
      </c>
      <c r="B1255" s="6">
        <v>45195</v>
      </c>
      <c r="C1255" s="6" t="str">
        <f t="shared" si="57"/>
        <v>Sep</v>
      </c>
      <c r="D1255" t="s">
        <v>39</v>
      </c>
      <c r="E1255" t="s">
        <v>19</v>
      </c>
      <c r="F1255" t="s">
        <v>909</v>
      </c>
      <c r="G1255">
        <v>8</v>
      </c>
      <c r="H1255" s="7">
        <v>106.78</v>
      </c>
      <c r="I1255" t="s">
        <v>46</v>
      </c>
      <c r="J1255" t="s">
        <v>72</v>
      </c>
      <c r="K1255">
        <v>15</v>
      </c>
      <c r="L1255" s="7">
        <f t="shared" si="58"/>
        <v>854.24</v>
      </c>
      <c r="M1255" s="7"/>
      <c r="O1255">
        <f t="shared" si="59"/>
        <v>2</v>
      </c>
      <c r="Q1255" t="s">
        <v>47</v>
      </c>
    </row>
    <row r="1256" spans="1:17" x14ac:dyDescent="0.3">
      <c r="A1256" t="s">
        <v>2176</v>
      </c>
      <c r="B1256" s="6">
        <v>44964</v>
      </c>
      <c r="C1256" s="6" t="str">
        <f t="shared" si="57"/>
        <v>Feb</v>
      </c>
      <c r="D1256" t="s">
        <v>830</v>
      </c>
      <c r="E1256" t="s">
        <v>36</v>
      </c>
      <c r="F1256" t="s">
        <v>224</v>
      </c>
      <c r="G1256">
        <v>6</v>
      </c>
      <c r="H1256" s="7">
        <v>308.77</v>
      </c>
      <c r="I1256" t="s">
        <v>103</v>
      </c>
      <c r="J1256" t="s">
        <v>28</v>
      </c>
      <c r="K1256">
        <v>10</v>
      </c>
      <c r="L1256" s="7">
        <f t="shared" si="58"/>
        <v>1852.62</v>
      </c>
      <c r="M1256" s="7"/>
      <c r="O1256">
        <f t="shared" si="59"/>
        <v>2</v>
      </c>
      <c r="Q1256" t="s">
        <v>104</v>
      </c>
    </row>
    <row r="1257" spans="1:17" x14ac:dyDescent="0.3">
      <c r="A1257" t="s">
        <v>2177</v>
      </c>
      <c r="B1257" s="6">
        <v>45247</v>
      </c>
      <c r="C1257" s="6" t="str">
        <f t="shared" si="57"/>
        <v>Nov</v>
      </c>
      <c r="D1257" t="s">
        <v>2178</v>
      </c>
      <c r="E1257" t="s">
        <v>31</v>
      </c>
      <c r="F1257" t="s">
        <v>1180</v>
      </c>
      <c r="G1257">
        <v>5</v>
      </c>
      <c r="H1257" s="7">
        <v>115.43</v>
      </c>
      <c r="I1257" t="s">
        <v>21</v>
      </c>
      <c r="J1257" t="s">
        <v>72</v>
      </c>
      <c r="K1257">
        <v>5</v>
      </c>
      <c r="L1257" s="7">
        <f t="shared" si="58"/>
        <v>577.15000000000009</v>
      </c>
      <c r="M1257" s="7"/>
      <c r="O1257">
        <f t="shared" si="59"/>
        <v>2</v>
      </c>
      <c r="Q1257" t="s">
        <v>23</v>
      </c>
    </row>
    <row r="1258" spans="1:17" x14ac:dyDescent="0.3">
      <c r="A1258" t="s">
        <v>2179</v>
      </c>
      <c r="B1258" s="6">
        <v>45185</v>
      </c>
      <c r="C1258" s="6" t="str">
        <f t="shared" si="57"/>
        <v>Sep</v>
      </c>
      <c r="D1258" t="s">
        <v>1293</v>
      </c>
      <c r="E1258" t="s">
        <v>31</v>
      </c>
      <c r="F1258" t="s">
        <v>511</v>
      </c>
      <c r="G1258">
        <v>5</v>
      </c>
      <c r="H1258" s="7">
        <v>275.11</v>
      </c>
      <c r="I1258" t="s">
        <v>19</v>
      </c>
      <c r="J1258" t="s">
        <v>42</v>
      </c>
      <c r="K1258">
        <v>20</v>
      </c>
      <c r="L1258" s="7">
        <f t="shared" si="58"/>
        <v>1375.5500000000002</v>
      </c>
      <c r="M1258" s="7"/>
      <c r="O1258">
        <f t="shared" si="59"/>
        <v>2</v>
      </c>
      <c r="Q1258" t="s">
        <v>19</v>
      </c>
    </row>
    <row r="1259" spans="1:17" x14ac:dyDescent="0.3">
      <c r="A1259" t="s">
        <v>2180</v>
      </c>
      <c r="B1259" s="6">
        <v>45020</v>
      </c>
      <c r="C1259" s="6" t="str">
        <f t="shared" si="57"/>
        <v>Apr</v>
      </c>
      <c r="D1259" t="s">
        <v>2181</v>
      </c>
      <c r="E1259" t="s">
        <v>31</v>
      </c>
      <c r="F1259" t="s">
        <v>1063</v>
      </c>
      <c r="G1259">
        <v>6</v>
      </c>
      <c r="H1259" s="7">
        <v>343.57</v>
      </c>
      <c r="I1259" t="s">
        <v>19</v>
      </c>
      <c r="J1259" t="s">
        <v>87</v>
      </c>
      <c r="K1259">
        <v>10</v>
      </c>
      <c r="L1259" s="7">
        <f t="shared" si="58"/>
        <v>2061.42</v>
      </c>
      <c r="M1259" s="7"/>
      <c r="O1259">
        <f t="shared" si="59"/>
        <v>2</v>
      </c>
      <c r="Q1259" t="s">
        <v>19</v>
      </c>
    </row>
    <row r="1260" spans="1:17" x14ac:dyDescent="0.3">
      <c r="A1260" t="s">
        <v>2182</v>
      </c>
      <c r="B1260" s="6">
        <v>45131</v>
      </c>
      <c r="C1260" s="6" t="str">
        <f t="shared" si="57"/>
        <v>Jul</v>
      </c>
      <c r="D1260" t="s">
        <v>25</v>
      </c>
      <c r="E1260" t="s">
        <v>40</v>
      </c>
      <c r="F1260" t="s">
        <v>165</v>
      </c>
      <c r="G1260">
        <v>7</v>
      </c>
      <c r="H1260" s="7">
        <v>99.16</v>
      </c>
      <c r="I1260" t="s">
        <v>103</v>
      </c>
      <c r="J1260" t="s">
        <v>22</v>
      </c>
      <c r="K1260">
        <v>15</v>
      </c>
      <c r="L1260" s="7">
        <f t="shared" si="58"/>
        <v>694.12</v>
      </c>
      <c r="M1260" s="7"/>
      <c r="O1260">
        <f t="shared" si="59"/>
        <v>2</v>
      </c>
      <c r="Q1260" t="s">
        <v>104</v>
      </c>
    </row>
    <row r="1261" spans="1:17" x14ac:dyDescent="0.3">
      <c r="A1261" t="s">
        <v>2183</v>
      </c>
      <c r="B1261" s="6">
        <v>44975</v>
      </c>
      <c r="C1261" s="6" t="str">
        <f t="shared" si="57"/>
        <v>Feb</v>
      </c>
      <c r="D1261" t="s">
        <v>2184</v>
      </c>
      <c r="E1261" t="s">
        <v>40</v>
      </c>
      <c r="F1261" t="s">
        <v>2185</v>
      </c>
      <c r="G1261">
        <v>1</v>
      </c>
      <c r="H1261" s="7">
        <v>262.83999999999997</v>
      </c>
      <c r="I1261" t="s">
        <v>32</v>
      </c>
      <c r="J1261" t="s">
        <v>19</v>
      </c>
      <c r="K1261">
        <v>0</v>
      </c>
      <c r="L1261" s="7">
        <f t="shared" si="58"/>
        <v>262.83999999999997</v>
      </c>
      <c r="M1261" s="7"/>
      <c r="O1261">
        <f t="shared" si="59"/>
        <v>2</v>
      </c>
      <c r="Q1261" t="s">
        <v>33</v>
      </c>
    </row>
    <row r="1262" spans="1:17" x14ac:dyDescent="0.3">
      <c r="A1262" t="s">
        <v>2186</v>
      </c>
      <c r="B1262" s="6">
        <v>45161</v>
      </c>
      <c r="C1262" s="6" t="str">
        <f t="shared" si="57"/>
        <v>Aug</v>
      </c>
      <c r="D1262" t="s">
        <v>377</v>
      </c>
      <c r="E1262" t="s">
        <v>19</v>
      </c>
      <c r="F1262" t="s">
        <v>128</v>
      </c>
      <c r="G1262">
        <v>9</v>
      </c>
      <c r="H1262" s="7">
        <v>237.18</v>
      </c>
      <c r="I1262" t="s">
        <v>21</v>
      </c>
      <c r="J1262" t="s">
        <v>22</v>
      </c>
      <c r="K1262">
        <v>15</v>
      </c>
      <c r="L1262" s="7">
        <f t="shared" si="58"/>
        <v>2134.62</v>
      </c>
      <c r="M1262" s="7"/>
      <c r="O1262">
        <f t="shared" si="59"/>
        <v>2</v>
      </c>
      <c r="Q1262" t="s">
        <v>23</v>
      </c>
    </row>
    <row r="1263" spans="1:17" x14ac:dyDescent="0.3">
      <c r="A1263" t="s">
        <v>2187</v>
      </c>
      <c r="B1263" s="6">
        <v>45101</v>
      </c>
      <c r="C1263" s="6" t="str">
        <f t="shared" si="57"/>
        <v>Jun</v>
      </c>
      <c r="D1263" t="s">
        <v>1806</v>
      </c>
      <c r="E1263" t="s">
        <v>19</v>
      </c>
      <c r="F1263" t="s">
        <v>303</v>
      </c>
      <c r="G1263">
        <v>3</v>
      </c>
      <c r="H1263" s="7">
        <v>40.159999999999997</v>
      </c>
      <c r="I1263" t="s">
        <v>21</v>
      </c>
      <c r="J1263" t="s">
        <v>19</v>
      </c>
      <c r="K1263">
        <v>15</v>
      </c>
      <c r="L1263" s="7">
        <f t="shared" si="58"/>
        <v>120.47999999999999</v>
      </c>
      <c r="M1263" s="7"/>
      <c r="O1263">
        <f t="shared" si="59"/>
        <v>2</v>
      </c>
      <c r="Q1263" t="s">
        <v>23</v>
      </c>
    </row>
    <row r="1264" spans="1:17" x14ac:dyDescent="0.3">
      <c r="A1264" t="s">
        <v>2188</v>
      </c>
      <c r="B1264" s="6">
        <v>45152</v>
      </c>
      <c r="C1264" s="6" t="str">
        <f t="shared" si="57"/>
        <v>Aug</v>
      </c>
      <c r="D1264" t="s">
        <v>1828</v>
      </c>
      <c r="E1264" t="s">
        <v>36</v>
      </c>
      <c r="F1264" t="s">
        <v>488</v>
      </c>
      <c r="G1264">
        <v>4</v>
      </c>
      <c r="H1264" s="7">
        <v>410.06</v>
      </c>
      <c r="I1264" t="s">
        <v>19</v>
      </c>
      <c r="J1264" t="s">
        <v>72</v>
      </c>
      <c r="K1264">
        <v>10</v>
      </c>
      <c r="L1264" s="7">
        <f t="shared" si="58"/>
        <v>1640.24</v>
      </c>
      <c r="M1264" s="7"/>
      <c r="O1264">
        <f t="shared" si="59"/>
        <v>2</v>
      </c>
      <c r="Q1264" t="s">
        <v>19</v>
      </c>
    </row>
    <row r="1265" spans="1:17" x14ac:dyDescent="0.3">
      <c r="A1265" t="s">
        <v>2189</v>
      </c>
      <c r="B1265" s="6">
        <v>45252</v>
      </c>
      <c r="C1265" s="6" t="str">
        <f t="shared" si="57"/>
        <v>Nov</v>
      </c>
      <c r="D1265" t="s">
        <v>1916</v>
      </c>
      <c r="E1265" t="s">
        <v>50</v>
      </c>
      <c r="F1265" t="s">
        <v>182</v>
      </c>
      <c r="G1265">
        <v>1</v>
      </c>
      <c r="H1265" s="7">
        <v>171.16</v>
      </c>
      <c r="I1265" t="s">
        <v>103</v>
      </c>
      <c r="J1265" t="s">
        <v>42</v>
      </c>
      <c r="K1265">
        <v>10</v>
      </c>
      <c r="L1265" s="7">
        <f t="shared" si="58"/>
        <v>171.16</v>
      </c>
      <c r="M1265" s="7"/>
      <c r="O1265">
        <f t="shared" si="59"/>
        <v>2</v>
      </c>
      <c r="Q1265" t="s">
        <v>104</v>
      </c>
    </row>
    <row r="1266" spans="1:17" x14ac:dyDescent="0.3">
      <c r="A1266" t="s">
        <v>2190</v>
      </c>
      <c r="B1266" s="6">
        <v>45110</v>
      </c>
      <c r="C1266" s="6" t="str">
        <f t="shared" si="57"/>
        <v>Jul</v>
      </c>
      <c r="D1266" t="s">
        <v>2181</v>
      </c>
      <c r="E1266" t="s">
        <v>26</v>
      </c>
      <c r="F1266" t="s">
        <v>325</v>
      </c>
      <c r="G1266">
        <v>3</v>
      </c>
      <c r="H1266" s="7">
        <v>252.16</v>
      </c>
      <c r="I1266" t="s">
        <v>46</v>
      </c>
      <c r="J1266" t="s">
        <v>22</v>
      </c>
      <c r="K1266">
        <v>10</v>
      </c>
      <c r="L1266" s="7">
        <f t="shared" si="58"/>
        <v>756.48</v>
      </c>
      <c r="M1266" s="7"/>
      <c r="O1266">
        <f t="shared" si="59"/>
        <v>2</v>
      </c>
      <c r="Q1266" t="s">
        <v>47</v>
      </c>
    </row>
    <row r="1267" spans="1:17" x14ac:dyDescent="0.3">
      <c r="A1267" t="s">
        <v>2191</v>
      </c>
      <c r="B1267" s="6">
        <v>45054</v>
      </c>
      <c r="C1267" s="6" t="str">
        <f t="shared" si="57"/>
        <v>May</v>
      </c>
      <c r="D1267" t="s">
        <v>1112</v>
      </c>
      <c r="E1267" t="s">
        <v>50</v>
      </c>
      <c r="F1267" t="s">
        <v>409</v>
      </c>
      <c r="G1267">
        <v>2</v>
      </c>
      <c r="H1267" s="7">
        <v>259.82</v>
      </c>
      <c r="I1267" t="s">
        <v>19</v>
      </c>
      <c r="J1267" t="s">
        <v>19</v>
      </c>
      <c r="K1267">
        <v>10</v>
      </c>
      <c r="L1267" s="7">
        <f t="shared" si="58"/>
        <v>519.64</v>
      </c>
      <c r="M1267" s="7"/>
      <c r="O1267">
        <f t="shared" si="59"/>
        <v>2</v>
      </c>
      <c r="Q1267" t="s">
        <v>19</v>
      </c>
    </row>
    <row r="1268" spans="1:17" x14ac:dyDescent="0.3">
      <c r="A1268" t="s">
        <v>2192</v>
      </c>
      <c r="B1268" s="6">
        <v>45107</v>
      </c>
      <c r="C1268" s="6" t="str">
        <f t="shared" si="57"/>
        <v>Jun</v>
      </c>
      <c r="D1268" t="s">
        <v>1485</v>
      </c>
      <c r="E1268" t="s">
        <v>40</v>
      </c>
      <c r="F1268" t="s">
        <v>211</v>
      </c>
      <c r="G1268">
        <v>2</v>
      </c>
      <c r="H1268" s="7">
        <v>259.06</v>
      </c>
      <c r="I1268" t="s">
        <v>46</v>
      </c>
      <c r="J1268" t="s">
        <v>87</v>
      </c>
      <c r="K1268">
        <v>10</v>
      </c>
      <c r="L1268" s="7">
        <f t="shared" si="58"/>
        <v>518.12</v>
      </c>
      <c r="M1268" s="7"/>
      <c r="O1268">
        <f t="shared" si="59"/>
        <v>2</v>
      </c>
      <c r="Q1268" t="s">
        <v>47</v>
      </c>
    </row>
    <row r="1269" spans="1:17" x14ac:dyDescent="0.3">
      <c r="A1269" t="s">
        <v>2193</v>
      </c>
      <c r="B1269" s="6">
        <v>45245</v>
      </c>
      <c r="C1269" s="6" t="str">
        <f t="shared" si="57"/>
        <v>Nov</v>
      </c>
      <c r="D1269" t="s">
        <v>159</v>
      </c>
      <c r="E1269" t="s">
        <v>19</v>
      </c>
      <c r="F1269" t="s">
        <v>188</v>
      </c>
      <c r="G1269">
        <v>1</v>
      </c>
      <c r="H1269" s="7">
        <v>58.08</v>
      </c>
      <c r="I1269" t="s">
        <v>64</v>
      </c>
      <c r="J1269" t="s">
        <v>28</v>
      </c>
      <c r="K1269">
        <v>10</v>
      </c>
      <c r="L1269" s="7">
        <f t="shared" si="58"/>
        <v>58.08</v>
      </c>
      <c r="M1269" s="7"/>
      <c r="O1269">
        <f t="shared" si="59"/>
        <v>2</v>
      </c>
      <c r="Q1269" t="s">
        <v>65</v>
      </c>
    </row>
    <row r="1270" spans="1:17" x14ac:dyDescent="0.3">
      <c r="A1270" t="s">
        <v>2194</v>
      </c>
      <c r="B1270" s="6">
        <v>44964</v>
      </c>
      <c r="C1270" s="6" t="str">
        <f t="shared" si="57"/>
        <v>Feb</v>
      </c>
      <c r="D1270" t="s">
        <v>1144</v>
      </c>
      <c r="E1270" t="s">
        <v>31</v>
      </c>
      <c r="F1270" t="s">
        <v>211</v>
      </c>
      <c r="G1270">
        <v>8</v>
      </c>
      <c r="H1270" s="7">
        <v>214.62</v>
      </c>
      <c r="I1270" t="s">
        <v>21</v>
      </c>
      <c r="J1270" t="s">
        <v>22</v>
      </c>
      <c r="K1270">
        <v>5</v>
      </c>
      <c r="L1270" s="7">
        <f t="shared" si="58"/>
        <v>1716.96</v>
      </c>
      <c r="M1270" s="7"/>
      <c r="O1270">
        <f t="shared" si="59"/>
        <v>2</v>
      </c>
      <c r="Q1270" t="s">
        <v>23</v>
      </c>
    </row>
    <row r="1271" spans="1:17" x14ac:dyDescent="0.3">
      <c r="A1271" t="s">
        <v>2195</v>
      </c>
      <c r="B1271" s="6">
        <v>45093</v>
      </c>
      <c r="C1271" s="6" t="str">
        <f t="shared" si="57"/>
        <v>Jun</v>
      </c>
      <c r="D1271" t="s">
        <v>1453</v>
      </c>
      <c r="E1271" t="s">
        <v>31</v>
      </c>
      <c r="F1271" t="s">
        <v>254</v>
      </c>
      <c r="G1271">
        <v>3</v>
      </c>
      <c r="H1271" s="7">
        <v>228.92</v>
      </c>
      <c r="I1271" t="s">
        <v>46</v>
      </c>
      <c r="J1271" t="s">
        <v>22</v>
      </c>
      <c r="K1271">
        <v>5</v>
      </c>
      <c r="L1271" s="7">
        <f t="shared" si="58"/>
        <v>686.76</v>
      </c>
      <c r="M1271" s="7"/>
      <c r="O1271">
        <f t="shared" si="59"/>
        <v>2</v>
      </c>
      <c r="Q1271" t="s">
        <v>47</v>
      </c>
    </row>
    <row r="1272" spans="1:17" x14ac:dyDescent="0.3">
      <c r="A1272" t="s">
        <v>2196</v>
      </c>
      <c r="B1272" s="6">
        <v>45167</v>
      </c>
      <c r="C1272" s="6" t="str">
        <f t="shared" si="57"/>
        <v>Aug</v>
      </c>
      <c r="D1272" t="s">
        <v>1503</v>
      </c>
      <c r="E1272" t="s">
        <v>50</v>
      </c>
      <c r="F1272" t="s">
        <v>257</v>
      </c>
      <c r="G1272">
        <v>3</v>
      </c>
      <c r="H1272" s="7">
        <v>368.15</v>
      </c>
      <c r="I1272" t="s">
        <v>46</v>
      </c>
      <c r="J1272" t="s">
        <v>87</v>
      </c>
      <c r="K1272">
        <v>20</v>
      </c>
      <c r="L1272" s="7">
        <f t="shared" si="58"/>
        <v>1104.4499999999998</v>
      </c>
      <c r="M1272" s="7"/>
      <c r="O1272">
        <f t="shared" si="59"/>
        <v>2</v>
      </c>
      <c r="Q1272" t="s">
        <v>47</v>
      </c>
    </row>
    <row r="1273" spans="1:17" x14ac:dyDescent="0.3">
      <c r="A1273" t="s">
        <v>2197</v>
      </c>
      <c r="B1273" s="6">
        <v>45022</v>
      </c>
      <c r="C1273" s="6" t="str">
        <f t="shared" si="57"/>
        <v>Apr</v>
      </c>
      <c r="D1273" t="s">
        <v>1101</v>
      </c>
      <c r="E1273" t="s">
        <v>40</v>
      </c>
      <c r="F1273" t="s">
        <v>1206</v>
      </c>
      <c r="G1273">
        <v>6</v>
      </c>
      <c r="H1273" s="7">
        <v>420.81</v>
      </c>
      <c r="I1273" t="s">
        <v>103</v>
      </c>
      <c r="J1273" t="s">
        <v>72</v>
      </c>
      <c r="K1273">
        <v>10</v>
      </c>
      <c r="L1273" s="7">
        <f t="shared" si="58"/>
        <v>2524.86</v>
      </c>
      <c r="M1273" s="7"/>
      <c r="O1273">
        <f t="shared" si="59"/>
        <v>3</v>
      </c>
      <c r="Q1273" t="s">
        <v>104</v>
      </c>
    </row>
    <row r="1274" spans="1:17" x14ac:dyDescent="0.3">
      <c r="A1274" t="s">
        <v>2198</v>
      </c>
      <c r="B1274" s="6">
        <v>45064</v>
      </c>
      <c r="C1274" s="6" t="str">
        <f t="shared" si="57"/>
        <v>May</v>
      </c>
      <c r="D1274" t="s">
        <v>1179</v>
      </c>
      <c r="E1274" t="s">
        <v>26</v>
      </c>
      <c r="F1274" t="s">
        <v>1180</v>
      </c>
      <c r="G1274">
        <v>8</v>
      </c>
      <c r="H1274" s="7">
        <v>274.77</v>
      </c>
      <c r="I1274" t="s">
        <v>32</v>
      </c>
      <c r="J1274" t="s">
        <v>42</v>
      </c>
      <c r="K1274">
        <v>0</v>
      </c>
      <c r="L1274" s="7">
        <f t="shared" si="58"/>
        <v>2198.16</v>
      </c>
      <c r="M1274" s="7"/>
      <c r="O1274">
        <f t="shared" si="59"/>
        <v>2</v>
      </c>
      <c r="Q1274" t="s">
        <v>33</v>
      </c>
    </row>
    <row r="1275" spans="1:17" x14ac:dyDescent="0.3">
      <c r="A1275" t="s">
        <v>2199</v>
      </c>
      <c r="B1275" s="6">
        <v>45034</v>
      </c>
      <c r="C1275" s="6" t="str">
        <f t="shared" si="57"/>
        <v>Apr</v>
      </c>
      <c r="D1275" t="s">
        <v>340</v>
      </c>
      <c r="E1275" t="s">
        <v>40</v>
      </c>
      <c r="F1275" t="s">
        <v>420</v>
      </c>
      <c r="G1275">
        <v>9</v>
      </c>
      <c r="H1275" s="7">
        <v>47.96</v>
      </c>
      <c r="I1275" t="s">
        <v>46</v>
      </c>
      <c r="J1275" t="s">
        <v>87</v>
      </c>
      <c r="K1275">
        <v>5</v>
      </c>
      <c r="L1275" s="7">
        <f t="shared" si="58"/>
        <v>431.64</v>
      </c>
      <c r="M1275" s="7"/>
      <c r="O1275">
        <f t="shared" si="59"/>
        <v>2</v>
      </c>
      <c r="Q1275" t="s">
        <v>47</v>
      </c>
    </row>
    <row r="1276" spans="1:17" x14ac:dyDescent="0.3">
      <c r="A1276" t="s">
        <v>2200</v>
      </c>
      <c r="B1276" s="6">
        <v>45260</v>
      </c>
      <c r="C1276" s="6" t="str">
        <f t="shared" si="57"/>
        <v>Nov</v>
      </c>
      <c r="D1276" t="s">
        <v>2201</v>
      </c>
      <c r="E1276" t="s">
        <v>31</v>
      </c>
      <c r="F1276" t="s">
        <v>472</v>
      </c>
      <c r="G1276">
        <v>5</v>
      </c>
      <c r="H1276" s="7">
        <v>122.24</v>
      </c>
      <c r="I1276" t="s">
        <v>46</v>
      </c>
      <c r="J1276" t="s">
        <v>42</v>
      </c>
      <c r="K1276">
        <v>10</v>
      </c>
      <c r="L1276" s="7">
        <f t="shared" si="58"/>
        <v>611.19999999999993</v>
      </c>
      <c r="M1276" s="7"/>
      <c r="O1276">
        <f t="shared" si="59"/>
        <v>2</v>
      </c>
      <c r="Q1276" t="s">
        <v>47</v>
      </c>
    </row>
    <row r="1277" spans="1:17" x14ac:dyDescent="0.3">
      <c r="A1277" t="s">
        <v>2202</v>
      </c>
      <c r="B1277" s="6">
        <v>44934</v>
      </c>
      <c r="C1277" s="6" t="str">
        <f t="shared" si="57"/>
        <v>Jan</v>
      </c>
      <c r="D1277" t="s">
        <v>1037</v>
      </c>
      <c r="E1277" t="s">
        <v>36</v>
      </c>
      <c r="F1277" t="s">
        <v>1182</v>
      </c>
      <c r="G1277">
        <v>4</v>
      </c>
      <c r="H1277" s="7">
        <v>86.64</v>
      </c>
      <c r="I1277" t="s">
        <v>103</v>
      </c>
      <c r="J1277" t="s">
        <v>42</v>
      </c>
      <c r="K1277">
        <v>15</v>
      </c>
      <c r="L1277" s="7">
        <f t="shared" si="58"/>
        <v>346.56</v>
      </c>
      <c r="M1277" s="7"/>
      <c r="O1277">
        <f t="shared" si="59"/>
        <v>2</v>
      </c>
      <c r="Q1277" t="s">
        <v>104</v>
      </c>
    </row>
    <row r="1278" spans="1:17" x14ac:dyDescent="0.3">
      <c r="A1278" t="s">
        <v>2203</v>
      </c>
      <c r="B1278" s="6">
        <v>45213</v>
      </c>
      <c r="C1278" s="6" t="str">
        <f t="shared" si="57"/>
        <v>Oct</v>
      </c>
      <c r="D1278" t="s">
        <v>1850</v>
      </c>
      <c r="E1278" t="s">
        <v>31</v>
      </c>
      <c r="F1278" t="s">
        <v>254</v>
      </c>
      <c r="G1278">
        <v>5</v>
      </c>
      <c r="H1278" s="7">
        <v>66.680000000000007</v>
      </c>
      <c r="I1278" t="s">
        <v>32</v>
      </c>
      <c r="J1278" t="s">
        <v>72</v>
      </c>
      <c r="K1278">
        <v>20</v>
      </c>
      <c r="L1278" s="7">
        <f t="shared" si="58"/>
        <v>333.40000000000003</v>
      </c>
      <c r="M1278" s="7"/>
      <c r="O1278">
        <f t="shared" si="59"/>
        <v>2</v>
      </c>
      <c r="Q1278" t="s">
        <v>33</v>
      </c>
    </row>
    <row r="1279" spans="1:17" x14ac:dyDescent="0.3">
      <c r="A1279" t="s">
        <v>2204</v>
      </c>
      <c r="B1279" s="6">
        <v>45152</v>
      </c>
      <c r="C1279" s="6" t="str">
        <f t="shared" si="57"/>
        <v>Aug</v>
      </c>
      <c r="D1279" t="s">
        <v>1834</v>
      </c>
      <c r="E1279" t="s">
        <v>26</v>
      </c>
      <c r="F1279" t="s">
        <v>420</v>
      </c>
      <c r="G1279">
        <v>2</v>
      </c>
      <c r="H1279" s="7">
        <v>252.16</v>
      </c>
      <c r="I1279" t="s">
        <v>32</v>
      </c>
      <c r="J1279" t="s">
        <v>42</v>
      </c>
      <c r="K1279">
        <v>5</v>
      </c>
      <c r="L1279" s="7">
        <f t="shared" si="58"/>
        <v>504.32</v>
      </c>
      <c r="M1279" s="7"/>
      <c r="O1279">
        <f t="shared" si="59"/>
        <v>2</v>
      </c>
      <c r="Q1279" t="s">
        <v>33</v>
      </c>
    </row>
    <row r="1280" spans="1:17" x14ac:dyDescent="0.3">
      <c r="A1280" t="s">
        <v>2205</v>
      </c>
      <c r="B1280" s="6">
        <v>45240</v>
      </c>
      <c r="C1280" s="6" t="str">
        <f t="shared" si="57"/>
        <v>Nov</v>
      </c>
      <c r="D1280" t="s">
        <v>985</v>
      </c>
      <c r="E1280" t="s">
        <v>36</v>
      </c>
      <c r="F1280" t="s">
        <v>205</v>
      </c>
      <c r="G1280">
        <v>9</v>
      </c>
      <c r="H1280" s="7">
        <v>118.55</v>
      </c>
      <c r="I1280" t="s">
        <v>19</v>
      </c>
      <c r="J1280" t="s">
        <v>22</v>
      </c>
      <c r="K1280">
        <v>15</v>
      </c>
      <c r="L1280" s="7">
        <f t="shared" si="58"/>
        <v>1066.95</v>
      </c>
      <c r="M1280" s="7"/>
      <c r="O1280">
        <f t="shared" si="59"/>
        <v>2</v>
      </c>
      <c r="Q1280" t="s">
        <v>19</v>
      </c>
    </row>
    <row r="1281" spans="1:17" x14ac:dyDescent="0.3">
      <c r="A1281" t="s">
        <v>2206</v>
      </c>
      <c r="B1281" s="6">
        <v>45122</v>
      </c>
      <c r="C1281" s="6" t="str">
        <f t="shared" si="57"/>
        <v>Jul</v>
      </c>
      <c r="D1281" t="s">
        <v>1625</v>
      </c>
      <c r="E1281" t="s">
        <v>26</v>
      </c>
      <c r="F1281" t="s">
        <v>344</v>
      </c>
      <c r="G1281">
        <v>8</v>
      </c>
      <c r="H1281" s="7">
        <v>113.06</v>
      </c>
      <c r="I1281" t="s">
        <v>19</v>
      </c>
      <c r="J1281" t="s">
        <v>87</v>
      </c>
      <c r="K1281">
        <v>15</v>
      </c>
      <c r="L1281" s="7">
        <f t="shared" si="58"/>
        <v>904.48</v>
      </c>
      <c r="M1281" s="7"/>
      <c r="O1281">
        <f t="shared" si="59"/>
        <v>2</v>
      </c>
      <c r="Q1281" t="s">
        <v>19</v>
      </c>
    </row>
    <row r="1282" spans="1:17" x14ac:dyDescent="0.3">
      <c r="A1282" t="s">
        <v>2207</v>
      </c>
      <c r="B1282" s="6">
        <v>45038</v>
      </c>
      <c r="C1282" s="6" t="str">
        <f t="shared" si="57"/>
        <v>Apr</v>
      </c>
      <c r="D1282" t="s">
        <v>682</v>
      </c>
      <c r="E1282" t="s">
        <v>26</v>
      </c>
      <c r="F1282" t="s">
        <v>341</v>
      </c>
      <c r="G1282">
        <v>3</v>
      </c>
      <c r="H1282" s="7">
        <v>32.07</v>
      </c>
      <c r="I1282" t="s">
        <v>21</v>
      </c>
      <c r="J1282" t="s">
        <v>72</v>
      </c>
      <c r="K1282">
        <v>5</v>
      </c>
      <c r="L1282" s="7">
        <f t="shared" si="58"/>
        <v>96.210000000000008</v>
      </c>
      <c r="M1282" s="7"/>
      <c r="O1282">
        <f t="shared" si="59"/>
        <v>2</v>
      </c>
      <c r="Q1282" t="s">
        <v>23</v>
      </c>
    </row>
    <row r="1283" spans="1:17" x14ac:dyDescent="0.3">
      <c r="A1283" t="s">
        <v>2208</v>
      </c>
      <c r="B1283" s="6">
        <v>45183</v>
      </c>
      <c r="C1283" s="6" t="str">
        <f t="shared" ref="C1283:C1346" si="60">TEXT(B1283,"MMM")</f>
        <v>Sep</v>
      </c>
      <c r="D1283" t="s">
        <v>1687</v>
      </c>
      <c r="E1283" t="s">
        <v>62</v>
      </c>
      <c r="F1283" t="s">
        <v>693</v>
      </c>
      <c r="G1283">
        <v>9</v>
      </c>
      <c r="H1283" s="7">
        <v>13.75</v>
      </c>
      <c r="I1283" t="s">
        <v>103</v>
      </c>
      <c r="J1283" t="s">
        <v>19</v>
      </c>
      <c r="K1283">
        <v>0</v>
      </c>
      <c r="L1283" s="7">
        <f t="shared" ref="L1283:L1346" si="61">G1283*H1283</f>
        <v>123.75</v>
      </c>
      <c r="M1283" s="7"/>
      <c r="O1283">
        <f t="shared" si="59"/>
        <v>2</v>
      </c>
      <c r="Q1283" t="s">
        <v>104</v>
      </c>
    </row>
    <row r="1284" spans="1:17" x14ac:dyDescent="0.3">
      <c r="A1284" t="s">
        <v>2209</v>
      </c>
      <c r="B1284" s="6">
        <v>45128</v>
      </c>
      <c r="C1284" s="6" t="str">
        <f t="shared" si="60"/>
        <v>Jul</v>
      </c>
      <c r="D1284" t="s">
        <v>288</v>
      </c>
      <c r="E1284" t="s">
        <v>62</v>
      </c>
      <c r="F1284" t="s">
        <v>1063</v>
      </c>
      <c r="G1284">
        <v>3</v>
      </c>
      <c r="H1284" s="7">
        <v>55.87</v>
      </c>
      <c r="I1284" t="s">
        <v>21</v>
      </c>
      <c r="J1284" t="s">
        <v>28</v>
      </c>
      <c r="K1284">
        <v>0</v>
      </c>
      <c r="L1284" s="7">
        <f t="shared" si="61"/>
        <v>167.60999999999999</v>
      </c>
      <c r="M1284" s="7"/>
      <c r="O1284">
        <f t="shared" ref="O1284:O1347" si="62">IF(L1284&gt;3500,5,IF(L1284&gt;3000,4,IF(L1284&gt;2500,3,IF(L1284&gt;2000,2,IF(L1284&gt;1000,2,2)))))</f>
        <v>2</v>
      </c>
      <c r="Q1284" t="s">
        <v>23</v>
      </c>
    </row>
    <row r="1285" spans="1:17" x14ac:dyDescent="0.3">
      <c r="A1285" t="s">
        <v>2210</v>
      </c>
      <c r="B1285" s="6">
        <v>45104</v>
      </c>
      <c r="C1285" s="6" t="str">
        <f t="shared" si="60"/>
        <v>Jun</v>
      </c>
      <c r="D1285" t="s">
        <v>1287</v>
      </c>
      <c r="E1285" t="s">
        <v>19</v>
      </c>
      <c r="F1285" t="s">
        <v>75</v>
      </c>
      <c r="G1285">
        <v>9</v>
      </c>
      <c r="H1285" s="7">
        <v>252.16</v>
      </c>
      <c r="I1285" t="s">
        <v>32</v>
      </c>
      <c r="J1285" t="s">
        <v>19</v>
      </c>
      <c r="K1285">
        <v>20</v>
      </c>
      <c r="L1285" s="7">
        <f t="shared" si="61"/>
        <v>2269.44</v>
      </c>
      <c r="M1285" s="7"/>
      <c r="O1285">
        <f t="shared" si="62"/>
        <v>2</v>
      </c>
      <c r="Q1285" t="s">
        <v>33</v>
      </c>
    </row>
    <row r="1286" spans="1:17" x14ac:dyDescent="0.3">
      <c r="A1286" t="s">
        <v>2211</v>
      </c>
      <c r="B1286" s="6">
        <v>45147</v>
      </c>
      <c r="C1286" s="6" t="str">
        <f t="shared" si="60"/>
        <v>Aug</v>
      </c>
      <c r="D1286" t="s">
        <v>1910</v>
      </c>
      <c r="E1286" t="s">
        <v>31</v>
      </c>
      <c r="F1286" t="s">
        <v>398</v>
      </c>
      <c r="G1286">
        <v>2</v>
      </c>
      <c r="H1286" s="7">
        <v>218.34</v>
      </c>
      <c r="I1286" t="s">
        <v>46</v>
      </c>
      <c r="J1286" t="s">
        <v>42</v>
      </c>
      <c r="K1286">
        <v>0</v>
      </c>
      <c r="L1286" s="7">
        <f t="shared" si="61"/>
        <v>436.68</v>
      </c>
      <c r="M1286" s="7"/>
      <c r="O1286">
        <f t="shared" si="62"/>
        <v>2</v>
      </c>
      <c r="Q1286" t="s">
        <v>47</v>
      </c>
    </row>
    <row r="1287" spans="1:17" x14ac:dyDescent="0.3">
      <c r="A1287" t="s">
        <v>2212</v>
      </c>
      <c r="B1287" s="6">
        <v>45261</v>
      </c>
      <c r="C1287" s="6" t="str">
        <f t="shared" si="60"/>
        <v>Dec</v>
      </c>
      <c r="D1287" t="s">
        <v>571</v>
      </c>
      <c r="E1287" t="s">
        <v>31</v>
      </c>
      <c r="F1287" t="s">
        <v>179</v>
      </c>
      <c r="G1287">
        <v>9</v>
      </c>
      <c r="H1287" s="7">
        <v>257.70999999999998</v>
      </c>
      <c r="I1287" t="s">
        <v>46</v>
      </c>
      <c r="J1287" t="s">
        <v>87</v>
      </c>
      <c r="K1287">
        <v>20</v>
      </c>
      <c r="L1287" s="7">
        <f t="shared" si="61"/>
        <v>2319.39</v>
      </c>
      <c r="M1287" s="7"/>
      <c r="O1287">
        <f t="shared" si="62"/>
        <v>2</v>
      </c>
      <c r="Q1287" t="s">
        <v>47</v>
      </c>
    </row>
    <row r="1288" spans="1:17" x14ac:dyDescent="0.3">
      <c r="A1288" t="s">
        <v>2213</v>
      </c>
      <c r="B1288" s="6">
        <v>45243</v>
      </c>
      <c r="C1288" s="6" t="str">
        <f t="shared" si="60"/>
        <v>Nov</v>
      </c>
      <c r="D1288" t="s">
        <v>1838</v>
      </c>
      <c r="E1288" t="s">
        <v>40</v>
      </c>
      <c r="F1288" t="s">
        <v>549</v>
      </c>
      <c r="G1288">
        <v>8</v>
      </c>
      <c r="H1288" s="7">
        <v>74.59</v>
      </c>
      <c r="I1288" t="s">
        <v>103</v>
      </c>
      <c r="J1288" t="s">
        <v>22</v>
      </c>
      <c r="K1288">
        <v>10</v>
      </c>
      <c r="L1288" s="7">
        <f t="shared" si="61"/>
        <v>596.72</v>
      </c>
      <c r="M1288" s="7"/>
      <c r="O1288">
        <f t="shared" si="62"/>
        <v>2</v>
      </c>
      <c r="Q1288" t="s">
        <v>104</v>
      </c>
    </row>
    <row r="1289" spans="1:17" x14ac:dyDescent="0.3">
      <c r="A1289" t="s">
        <v>2214</v>
      </c>
      <c r="B1289" s="6">
        <v>45187</v>
      </c>
      <c r="C1289" s="6" t="str">
        <f t="shared" si="60"/>
        <v>Sep</v>
      </c>
      <c r="D1289" t="s">
        <v>336</v>
      </c>
      <c r="E1289" t="s">
        <v>26</v>
      </c>
      <c r="F1289" t="s">
        <v>732</v>
      </c>
      <c r="G1289">
        <v>9</v>
      </c>
      <c r="H1289" s="7">
        <v>215.27</v>
      </c>
      <c r="I1289" t="s">
        <v>46</v>
      </c>
      <c r="J1289" t="s">
        <v>19</v>
      </c>
      <c r="K1289">
        <v>5</v>
      </c>
      <c r="L1289" s="7">
        <f t="shared" si="61"/>
        <v>1937.43</v>
      </c>
      <c r="M1289" s="7"/>
      <c r="O1289">
        <f t="shared" si="62"/>
        <v>2</v>
      </c>
      <c r="Q1289" t="s">
        <v>47</v>
      </c>
    </row>
    <row r="1290" spans="1:17" x14ac:dyDescent="0.3">
      <c r="A1290" t="s">
        <v>2215</v>
      </c>
      <c r="B1290" s="6">
        <v>45118</v>
      </c>
      <c r="C1290" s="6" t="str">
        <f t="shared" si="60"/>
        <v>Jul</v>
      </c>
      <c r="D1290" t="s">
        <v>581</v>
      </c>
      <c r="E1290" t="s">
        <v>19</v>
      </c>
      <c r="F1290" t="s">
        <v>642</v>
      </c>
      <c r="G1290">
        <v>5</v>
      </c>
      <c r="H1290" s="7">
        <v>174.17</v>
      </c>
      <c r="I1290" t="s">
        <v>32</v>
      </c>
      <c r="J1290" t="s">
        <v>42</v>
      </c>
      <c r="K1290">
        <v>15</v>
      </c>
      <c r="L1290" s="7">
        <f t="shared" si="61"/>
        <v>870.84999999999991</v>
      </c>
      <c r="M1290" s="7"/>
      <c r="O1290">
        <f t="shared" si="62"/>
        <v>2</v>
      </c>
      <c r="Q1290" t="s">
        <v>33</v>
      </c>
    </row>
    <row r="1291" spans="1:17" x14ac:dyDescent="0.3">
      <c r="A1291" t="s">
        <v>2216</v>
      </c>
      <c r="B1291" s="6">
        <v>44962</v>
      </c>
      <c r="C1291" s="6" t="str">
        <f t="shared" si="60"/>
        <v>Feb</v>
      </c>
      <c r="D1291" t="s">
        <v>645</v>
      </c>
      <c r="E1291" t="s">
        <v>26</v>
      </c>
      <c r="F1291" t="s">
        <v>99</v>
      </c>
      <c r="G1291">
        <v>2</v>
      </c>
      <c r="H1291" s="7">
        <v>95.79</v>
      </c>
      <c r="I1291" t="s">
        <v>64</v>
      </c>
      <c r="J1291" t="s">
        <v>28</v>
      </c>
      <c r="K1291">
        <v>20</v>
      </c>
      <c r="L1291" s="7">
        <f t="shared" si="61"/>
        <v>191.58</v>
      </c>
      <c r="M1291" s="7"/>
      <c r="O1291">
        <f t="shared" si="62"/>
        <v>2</v>
      </c>
      <c r="Q1291" t="s">
        <v>65</v>
      </c>
    </row>
    <row r="1292" spans="1:17" x14ac:dyDescent="0.3">
      <c r="A1292" t="s">
        <v>2217</v>
      </c>
      <c r="B1292" s="6">
        <v>45266</v>
      </c>
      <c r="C1292" s="6" t="str">
        <f t="shared" si="60"/>
        <v>Dec</v>
      </c>
      <c r="D1292" t="s">
        <v>2218</v>
      </c>
      <c r="E1292" t="s">
        <v>50</v>
      </c>
      <c r="F1292" t="s">
        <v>125</v>
      </c>
      <c r="G1292">
        <v>8</v>
      </c>
      <c r="H1292" s="7">
        <v>8.39</v>
      </c>
      <c r="I1292" t="s">
        <v>21</v>
      </c>
      <c r="J1292" t="s">
        <v>87</v>
      </c>
      <c r="K1292">
        <v>0</v>
      </c>
      <c r="L1292" s="7">
        <f t="shared" si="61"/>
        <v>67.12</v>
      </c>
      <c r="M1292" s="7"/>
      <c r="O1292">
        <f t="shared" si="62"/>
        <v>2</v>
      </c>
      <c r="Q1292" t="s">
        <v>23</v>
      </c>
    </row>
    <row r="1293" spans="1:17" x14ac:dyDescent="0.3">
      <c r="A1293" t="s">
        <v>2219</v>
      </c>
      <c r="B1293" s="6">
        <v>45076</v>
      </c>
      <c r="C1293" s="6" t="str">
        <f t="shared" si="60"/>
        <v>May</v>
      </c>
      <c r="D1293" t="s">
        <v>1388</v>
      </c>
      <c r="E1293" t="s">
        <v>50</v>
      </c>
      <c r="F1293" t="s">
        <v>409</v>
      </c>
      <c r="G1293">
        <v>6</v>
      </c>
      <c r="H1293" s="7">
        <v>236.17</v>
      </c>
      <c r="I1293" t="s">
        <v>32</v>
      </c>
      <c r="J1293" t="s">
        <v>42</v>
      </c>
      <c r="K1293">
        <v>20</v>
      </c>
      <c r="L1293" s="7">
        <f t="shared" si="61"/>
        <v>1417.02</v>
      </c>
      <c r="M1293" s="7"/>
      <c r="O1293">
        <f t="shared" si="62"/>
        <v>2</v>
      </c>
      <c r="Q1293" t="s">
        <v>33</v>
      </c>
    </row>
    <row r="1294" spans="1:17" x14ac:dyDescent="0.3">
      <c r="A1294" t="s">
        <v>2220</v>
      </c>
      <c r="B1294" s="6">
        <v>45027</v>
      </c>
      <c r="C1294" s="6" t="str">
        <f t="shared" si="60"/>
        <v>Apr</v>
      </c>
      <c r="D1294" t="s">
        <v>1856</v>
      </c>
      <c r="E1294" t="s">
        <v>50</v>
      </c>
      <c r="F1294" t="s">
        <v>179</v>
      </c>
      <c r="G1294">
        <v>8</v>
      </c>
      <c r="H1294" s="7">
        <v>344.4</v>
      </c>
      <c r="I1294" t="s">
        <v>21</v>
      </c>
      <c r="J1294" t="s">
        <v>19</v>
      </c>
      <c r="K1294">
        <v>10</v>
      </c>
      <c r="L1294" s="7">
        <f t="shared" si="61"/>
        <v>2755.2</v>
      </c>
      <c r="M1294" s="7"/>
      <c r="O1294">
        <f t="shared" si="62"/>
        <v>3</v>
      </c>
      <c r="Q1294" t="s">
        <v>23</v>
      </c>
    </row>
    <row r="1295" spans="1:17" x14ac:dyDescent="0.3">
      <c r="A1295" t="s">
        <v>2221</v>
      </c>
      <c r="B1295" s="6">
        <v>44971</v>
      </c>
      <c r="C1295" s="6" t="str">
        <f t="shared" si="60"/>
        <v>Feb</v>
      </c>
      <c r="D1295" t="s">
        <v>2222</v>
      </c>
      <c r="E1295" t="s">
        <v>40</v>
      </c>
      <c r="F1295" t="s">
        <v>125</v>
      </c>
      <c r="G1295">
        <v>5</v>
      </c>
      <c r="H1295" s="7">
        <v>117.01</v>
      </c>
      <c r="I1295" t="s">
        <v>19</v>
      </c>
      <c r="J1295" t="s">
        <v>19</v>
      </c>
      <c r="K1295">
        <v>20</v>
      </c>
      <c r="L1295" s="7">
        <f t="shared" si="61"/>
        <v>585.05000000000007</v>
      </c>
      <c r="M1295" s="7"/>
      <c r="O1295">
        <f t="shared" si="62"/>
        <v>2</v>
      </c>
      <c r="Q1295" t="s">
        <v>19</v>
      </c>
    </row>
    <row r="1296" spans="1:17" x14ac:dyDescent="0.3">
      <c r="A1296" t="s">
        <v>2223</v>
      </c>
      <c r="B1296" s="6">
        <v>45101</v>
      </c>
      <c r="C1296" s="6" t="str">
        <f t="shared" si="60"/>
        <v>Jun</v>
      </c>
      <c r="D1296" t="s">
        <v>977</v>
      </c>
      <c r="E1296" t="s">
        <v>50</v>
      </c>
      <c r="F1296" t="s">
        <v>1282</v>
      </c>
      <c r="G1296">
        <v>2</v>
      </c>
      <c r="H1296" s="7">
        <v>252.16</v>
      </c>
      <c r="I1296" t="s">
        <v>103</v>
      </c>
      <c r="J1296" t="s">
        <v>72</v>
      </c>
      <c r="K1296">
        <v>0</v>
      </c>
      <c r="L1296" s="7">
        <f t="shared" si="61"/>
        <v>504.32</v>
      </c>
      <c r="M1296" s="7"/>
      <c r="O1296">
        <f t="shared" si="62"/>
        <v>2</v>
      </c>
      <c r="Q1296" t="s">
        <v>104</v>
      </c>
    </row>
    <row r="1297" spans="1:17" x14ac:dyDescent="0.3">
      <c r="A1297" t="s">
        <v>2224</v>
      </c>
      <c r="B1297" s="6">
        <v>45046</v>
      </c>
      <c r="C1297" s="6" t="str">
        <f t="shared" si="60"/>
        <v>Apr</v>
      </c>
      <c r="D1297" t="s">
        <v>2036</v>
      </c>
      <c r="E1297" t="s">
        <v>19</v>
      </c>
      <c r="F1297" t="s">
        <v>139</v>
      </c>
      <c r="G1297">
        <v>6</v>
      </c>
      <c r="H1297" s="7">
        <v>444.09</v>
      </c>
      <c r="I1297" t="s">
        <v>64</v>
      </c>
      <c r="J1297" t="s">
        <v>72</v>
      </c>
      <c r="K1297">
        <v>10</v>
      </c>
      <c r="L1297" s="7">
        <f t="shared" si="61"/>
        <v>2664.54</v>
      </c>
      <c r="M1297" s="7"/>
      <c r="O1297">
        <f t="shared" si="62"/>
        <v>3</v>
      </c>
      <c r="Q1297" t="s">
        <v>65</v>
      </c>
    </row>
    <row r="1298" spans="1:17" x14ac:dyDescent="0.3">
      <c r="A1298" t="s">
        <v>2225</v>
      </c>
      <c r="B1298" s="6">
        <v>44960</v>
      </c>
      <c r="C1298" s="6" t="str">
        <f t="shared" si="60"/>
        <v>Feb</v>
      </c>
      <c r="D1298" t="s">
        <v>272</v>
      </c>
      <c r="E1298" t="s">
        <v>50</v>
      </c>
      <c r="F1298" t="s">
        <v>334</v>
      </c>
      <c r="G1298">
        <v>5</v>
      </c>
      <c r="H1298" s="7">
        <v>141.13999999999999</v>
      </c>
      <c r="I1298" t="s">
        <v>19</v>
      </c>
      <c r="J1298" t="s">
        <v>22</v>
      </c>
      <c r="K1298">
        <v>10</v>
      </c>
      <c r="L1298" s="7">
        <f t="shared" si="61"/>
        <v>705.69999999999993</v>
      </c>
      <c r="M1298" s="7"/>
      <c r="O1298">
        <f t="shared" si="62"/>
        <v>2</v>
      </c>
      <c r="Q1298" t="s">
        <v>19</v>
      </c>
    </row>
    <row r="1299" spans="1:17" x14ac:dyDescent="0.3">
      <c r="A1299" t="s">
        <v>2226</v>
      </c>
      <c r="B1299" s="6">
        <v>44943</v>
      </c>
      <c r="C1299" s="6" t="str">
        <f t="shared" si="60"/>
        <v>Jan</v>
      </c>
      <c r="D1299" t="s">
        <v>2178</v>
      </c>
      <c r="E1299" t="s">
        <v>62</v>
      </c>
      <c r="F1299" t="s">
        <v>665</v>
      </c>
      <c r="G1299">
        <v>5</v>
      </c>
      <c r="H1299" s="7">
        <v>115.69</v>
      </c>
      <c r="I1299" t="s">
        <v>103</v>
      </c>
      <c r="J1299" t="s">
        <v>87</v>
      </c>
      <c r="K1299">
        <v>0</v>
      </c>
      <c r="L1299" s="7">
        <f t="shared" si="61"/>
        <v>578.45000000000005</v>
      </c>
      <c r="M1299" s="7"/>
      <c r="O1299">
        <f t="shared" si="62"/>
        <v>2</v>
      </c>
      <c r="Q1299" t="s">
        <v>104</v>
      </c>
    </row>
    <row r="1300" spans="1:17" x14ac:dyDescent="0.3">
      <c r="A1300" t="s">
        <v>2227</v>
      </c>
      <c r="B1300" s="6">
        <v>44976</v>
      </c>
      <c r="C1300" s="6" t="str">
        <f t="shared" si="60"/>
        <v>Feb</v>
      </c>
      <c r="D1300" t="s">
        <v>2228</v>
      </c>
      <c r="E1300" t="s">
        <v>19</v>
      </c>
      <c r="F1300" t="s">
        <v>122</v>
      </c>
      <c r="G1300">
        <v>1</v>
      </c>
      <c r="H1300" s="7">
        <v>429.26</v>
      </c>
      <c r="I1300" t="s">
        <v>103</v>
      </c>
      <c r="J1300" t="s">
        <v>19</v>
      </c>
      <c r="K1300">
        <v>10</v>
      </c>
      <c r="L1300" s="7">
        <f t="shared" si="61"/>
        <v>429.26</v>
      </c>
      <c r="M1300" s="7"/>
      <c r="O1300">
        <f t="shared" si="62"/>
        <v>2</v>
      </c>
      <c r="Q1300" t="s">
        <v>104</v>
      </c>
    </row>
    <row r="1301" spans="1:17" x14ac:dyDescent="0.3">
      <c r="A1301" t="s">
        <v>2229</v>
      </c>
      <c r="B1301" s="6">
        <v>45145</v>
      </c>
      <c r="C1301" s="6" t="str">
        <f t="shared" si="60"/>
        <v>Aug</v>
      </c>
      <c r="D1301" t="s">
        <v>2222</v>
      </c>
      <c r="E1301" t="s">
        <v>19</v>
      </c>
      <c r="F1301" t="s">
        <v>520</v>
      </c>
      <c r="G1301">
        <v>2</v>
      </c>
      <c r="H1301" s="7">
        <v>409.47</v>
      </c>
      <c r="I1301" t="s">
        <v>32</v>
      </c>
      <c r="J1301" t="s">
        <v>22</v>
      </c>
      <c r="K1301">
        <v>5</v>
      </c>
      <c r="L1301" s="7">
        <f t="shared" si="61"/>
        <v>818.94</v>
      </c>
      <c r="M1301" s="7"/>
      <c r="O1301">
        <f t="shared" si="62"/>
        <v>2</v>
      </c>
      <c r="Q1301" t="s">
        <v>33</v>
      </c>
    </row>
    <row r="1302" spans="1:17" x14ac:dyDescent="0.3">
      <c r="A1302" t="s">
        <v>2230</v>
      </c>
      <c r="B1302" s="6">
        <v>44988</v>
      </c>
      <c r="C1302" s="6" t="str">
        <f t="shared" si="60"/>
        <v>Mar</v>
      </c>
      <c r="D1302" t="s">
        <v>677</v>
      </c>
      <c r="E1302" t="s">
        <v>19</v>
      </c>
      <c r="F1302" t="s">
        <v>190</v>
      </c>
      <c r="G1302">
        <v>8</v>
      </c>
      <c r="H1302" s="7">
        <v>226.93</v>
      </c>
      <c r="I1302" t="s">
        <v>32</v>
      </c>
      <c r="J1302" t="s">
        <v>42</v>
      </c>
      <c r="K1302">
        <v>15</v>
      </c>
      <c r="L1302" s="7">
        <f t="shared" si="61"/>
        <v>1815.44</v>
      </c>
      <c r="M1302" s="7"/>
      <c r="O1302">
        <f t="shared" si="62"/>
        <v>2</v>
      </c>
      <c r="Q1302" t="s">
        <v>33</v>
      </c>
    </row>
    <row r="1303" spans="1:17" x14ac:dyDescent="0.3">
      <c r="A1303" t="s">
        <v>2231</v>
      </c>
      <c r="B1303" s="6">
        <v>45162</v>
      </c>
      <c r="C1303" s="6" t="str">
        <f t="shared" si="60"/>
        <v>Aug</v>
      </c>
      <c r="D1303" t="s">
        <v>1501</v>
      </c>
      <c r="E1303" t="s">
        <v>36</v>
      </c>
      <c r="F1303" t="s">
        <v>176</v>
      </c>
      <c r="G1303">
        <v>3</v>
      </c>
      <c r="H1303" s="7">
        <v>247.17</v>
      </c>
      <c r="I1303" t="s">
        <v>46</v>
      </c>
      <c r="J1303" t="s">
        <v>72</v>
      </c>
      <c r="K1303">
        <v>5</v>
      </c>
      <c r="L1303" s="7">
        <f t="shared" si="61"/>
        <v>741.51</v>
      </c>
      <c r="M1303" s="7"/>
      <c r="O1303">
        <f t="shared" si="62"/>
        <v>2</v>
      </c>
      <c r="Q1303" t="s">
        <v>47</v>
      </c>
    </row>
    <row r="1304" spans="1:17" x14ac:dyDescent="0.3">
      <c r="A1304" t="s">
        <v>2232</v>
      </c>
      <c r="B1304" s="6">
        <v>45142</v>
      </c>
      <c r="C1304" s="6" t="str">
        <f t="shared" si="60"/>
        <v>Aug</v>
      </c>
      <c r="D1304" t="s">
        <v>2233</v>
      </c>
      <c r="E1304" t="s">
        <v>19</v>
      </c>
      <c r="F1304" t="s">
        <v>693</v>
      </c>
      <c r="G1304">
        <v>3</v>
      </c>
      <c r="H1304" s="7">
        <v>112.79</v>
      </c>
      <c r="I1304" t="s">
        <v>64</v>
      </c>
      <c r="J1304" t="s">
        <v>72</v>
      </c>
      <c r="K1304">
        <v>5</v>
      </c>
      <c r="L1304" s="7">
        <f t="shared" si="61"/>
        <v>338.37</v>
      </c>
      <c r="M1304" s="7"/>
      <c r="O1304">
        <f t="shared" si="62"/>
        <v>2</v>
      </c>
      <c r="Q1304" t="s">
        <v>65</v>
      </c>
    </row>
    <row r="1305" spans="1:17" x14ac:dyDescent="0.3">
      <c r="A1305" t="s">
        <v>2234</v>
      </c>
      <c r="B1305" s="6">
        <v>44959</v>
      </c>
      <c r="C1305" s="6" t="str">
        <f t="shared" si="60"/>
        <v>Feb</v>
      </c>
      <c r="D1305" t="s">
        <v>1975</v>
      </c>
      <c r="E1305" t="s">
        <v>19</v>
      </c>
      <c r="F1305" t="s">
        <v>1237</v>
      </c>
      <c r="G1305">
        <v>8</v>
      </c>
      <c r="H1305" s="7">
        <v>43.76</v>
      </c>
      <c r="I1305" t="s">
        <v>32</v>
      </c>
      <c r="J1305" t="s">
        <v>72</v>
      </c>
      <c r="K1305">
        <v>0</v>
      </c>
      <c r="L1305" s="7">
        <f t="shared" si="61"/>
        <v>350.08</v>
      </c>
      <c r="M1305" s="7"/>
      <c r="O1305">
        <f t="shared" si="62"/>
        <v>2</v>
      </c>
      <c r="Q1305" t="s">
        <v>33</v>
      </c>
    </row>
    <row r="1306" spans="1:17" x14ac:dyDescent="0.3">
      <c r="A1306" t="s">
        <v>2235</v>
      </c>
      <c r="B1306" s="6">
        <v>45084</v>
      </c>
      <c r="C1306" s="6" t="str">
        <f t="shared" si="60"/>
        <v>Jun</v>
      </c>
      <c r="D1306" t="s">
        <v>2236</v>
      </c>
      <c r="E1306" t="s">
        <v>62</v>
      </c>
      <c r="F1306" t="s">
        <v>334</v>
      </c>
      <c r="G1306">
        <v>8</v>
      </c>
      <c r="H1306" s="7">
        <v>288.85000000000002</v>
      </c>
      <c r="I1306" t="s">
        <v>19</v>
      </c>
      <c r="J1306" t="s">
        <v>42</v>
      </c>
      <c r="K1306">
        <v>0</v>
      </c>
      <c r="L1306" s="7">
        <f t="shared" si="61"/>
        <v>2310.8000000000002</v>
      </c>
      <c r="M1306" s="7"/>
      <c r="O1306">
        <f t="shared" si="62"/>
        <v>2</v>
      </c>
      <c r="Q1306" t="s">
        <v>19</v>
      </c>
    </row>
    <row r="1307" spans="1:17" x14ac:dyDescent="0.3">
      <c r="A1307" t="s">
        <v>2237</v>
      </c>
      <c r="B1307" s="6">
        <v>45005</v>
      </c>
      <c r="C1307" s="6" t="str">
        <f t="shared" si="60"/>
        <v>Mar</v>
      </c>
      <c r="D1307" t="s">
        <v>1101</v>
      </c>
      <c r="E1307" t="s">
        <v>50</v>
      </c>
      <c r="F1307" t="s">
        <v>939</v>
      </c>
      <c r="G1307">
        <v>2</v>
      </c>
      <c r="H1307" s="7">
        <v>53.68</v>
      </c>
      <c r="I1307" t="s">
        <v>21</v>
      </c>
      <c r="J1307" t="s">
        <v>72</v>
      </c>
      <c r="K1307">
        <v>15</v>
      </c>
      <c r="L1307" s="7">
        <f t="shared" si="61"/>
        <v>107.36</v>
      </c>
      <c r="M1307" s="7"/>
      <c r="O1307">
        <f t="shared" si="62"/>
        <v>2</v>
      </c>
      <c r="Q1307" t="s">
        <v>23</v>
      </c>
    </row>
    <row r="1308" spans="1:17" x14ac:dyDescent="0.3">
      <c r="A1308" t="s">
        <v>2238</v>
      </c>
      <c r="B1308" s="6">
        <v>45023</v>
      </c>
      <c r="C1308" s="6" t="str">
        <f t="shared" si="60"/>
        <v>Apr</v>
      </c>
      <c r="D1308" t="s">
        <v>77</v>
      </c>
      <c r="E1308" t="s">
        <v>50</v>
      </c>
      <c r="F1308" t="s">
        <v>20</v>
      </c>
      <c r="G1308">
        <v>8</v>
      </c>
      <c r="H1308" s="7">
        <v>227.39</v>
      </c>
      <c r="I1308" t="s">
        <v>21</v>
      </c>
      <c r="J1308" t="s">
        <v>42</v>
      </c>
      <c r="K1308">
        <v>20</v>
      </c>
      <c r="L1308" s="7">
        <f t="shared" si="61"/>
        <v>1819.12</v>
      </c>
      <c r="M1308" s="7"/>
      <c r="O1308">
        <f t="shared" si="62"/>
        <v>2</v>
      </c>
      <c r="Q1308" t="s">
        <v>23</v>
      </c>
    </row>
    <row r="1309" spans="1:17" x14ac:dyDescent="0.3">
      <c r="A1309" t="s">
        <v>2239</v>
      </c>
      <c r="B1309" s="6">
        <v>45128</v>
      </c>
      <c r="C1309" s="6" t="str">
        <f t="shared" si="60"/>
        <v>Jul</v>
      </c>
      <c r="D1309" t="s">
        <v>2057</v>
      </c>
      <c r="E1309" t="s">
        <v>40</v>
      </c>
      <c r="F1309" t="s">
        <v>1038</v>
      </c>
      <c r="G1309">
        <v>1</v>
      </c>
      <c r="H1309" s="7">
        <v>470.55</v>
      </c>
      <c r="I1309" t="s">
        <v>21</v>
      </c>
      <c r="J1309" t="s">
        <v>42</v>
      </c>
      <c r="K1309">
        <v>5</v>
      </c>
      <c r="L1309" s="7">
        <f t="shared" si="61"/>
        <v>470.55</v>
      </c>
      <c r="M1309" s="7"/>
      <c r="O1309">
        <f t="shared" si="62"/>
        <v>2</v>
      </c>
      <c r="Q1309" t="s">
        <v>23</v>
      </c>
    </row>
    <row r="1310" spans="1:17" x14ac:dyDescent="0.3">
      <c r="A1310" t="s">
        <v>2240</v>
      </c>
      <c r="B1310" s="6">
        <v>45069</v>
      </c>
      <c r="C1310" s="6" t="str">
        <f t="shared" si="60"/>
        <v>May</v>
      </c>
      <c r="D1310" t="s">
        <v>1355</v>
      </c>
      <c r="E1310" t="s">
        <v>31</v>
      </c>
      <c r="F1310" t="s">
        <v>389</v>
      </c>
      <c r="G1310">
        <v>6</v>
      </c>
      <c r="H1310" s="7">
        <v>476.65</v>
      </c>
      <c r="I1310" t="s">
        <v>21</v>
      </c>
      <c r="J1310" t="s">
        <v>42</v>
      </c>
      <c r="K1310">
        <v>10</v>
      </c>
      <c r="L1310" s="7">
        <f t="shared" si="61"/>
        <v>2859.8999999999996</v>
      </c>
      <c r="M1310" s="7"/>
      <c r="O1310">
        <f t="shared" si="62"/>
        <v>3</v>
      </c>
      <c r="Q1310" t="s">
        <v>23</v>
      </c>
    </row>
    <row r="1311" spans="1:17" x14ac:dyDescent="0.3">
      <c r="A1311" t="s">
        <v>2241</v>
      </c>
      <c r="B1311" s="6">
        <v>45208</v>
      </c>
      <c r="C1311" s="6" t="str">
        <f t="shared" si="60"/>
        <v>Oct</v>
      </c>
      <c r="D1311" t="s">
        <v>2020</v>
      </c>
      <c r="E1311" t="s">
        <v>31</v>
      </c>
      <c r="F1311" t="s">
        <v>237</v>
      </c>
      <c r="G1311">
        <v>8</v>
      </c>
      <c r="H1311" s="7">
        <v>123.47</v>
      </c>
      <c r="I1311" t="s">
        <v>19</v>
      </c>
      <c r="J1311" t="s">
        <v>19</v>
      </c>
      <c r="K1311">
        <v>15</v>
      </c>
      <c r="L1311" s="7">
        <f t="shared" si="61"/>
        <v>987.76</v>
      </c>
      <c r="M1311" s="7"/>
      <c r="O1311">
        <f t="shared" si="62"/>
        <v>2</v>
      </c>
      <c r="Q1311" t="s">
        <v>19</v>
      </c>
    </row>
    <row r="1312" spans="1:17" x14ac:dyDescent="0.3">
      <c r="A1312" t="s">
        <v>2242</v>
      </c>
      <c r="B1312" s="6">
        <v>44964</v>
      </c>
      <c r="C1312" s="6" t="str">
        <f t="shared" si="60"/>
        <v>Feb</v>
      </c>
      <c r="D1312" t="s">
        <v>2097</v>
      </c>
      <c r="E1312" t="s">
        <v>50</v>
      </c>
      <c r="F1312" t="s">
        <v>732</v>
      </c>
      <c r="G1312">
        <v>3</v>
      </c>
      <c r="H1312" s="7">
        <v>313.94</v>
      </c>
      <c r="I1312" t="s">
        <v>21</v>
      </c>
      <c r="J1312" t="s">
        <v>42</v>
      </c>
      <c r="K1312">
        <v>5</v>
      </c>
      <c r="L1312" s="7">
        <f t="shared" si="61"/>
        <v>941.81999999999994</v>
      </c>
      <c r="M1312" s="7"/>
      <c r="O1312">
        <f t="shared" si="62"/>
        <v>2</v>
      </c>
      <c r="Q1312" t="s">
        <v>23</v>
      </c>
    </row>
    <row r="1313" spans="1:17" x14ac:dyDescent="0.3">
      <c r="A1313" t="s">
        <v>2243</v>
      </c>
      <c r="B1313" s="6">
        <v>45022</v>
      </c>
      <c r="C1313" s="6" t="str">
        <f t="shared" si="60"/>
        <v>Apr</v>
      </c>
      <c r="D1313" t="s">
        <v>2244</v>
      </c>
      <c r="E1313" t="s">
        <v>31</v>
      </c>
      <c r="F1313" t="s">
        <v>151</v>
      </c>
      <c r="G1313">
        <v>8</v>
      </c>
      <c r="H1313" s="7">
        <v>239.67</v>
      </c>
      <c r="I1313" t="s">
        <v>103</v>
      </c>
      <c r="J1313" t="s">
        <v>72</v>
      </c>
      <c r="K1313">
        <v>20</v>
      </c>
      <c r="L1313" s="7">
        <f t="shared" si="61"/>
        <v>1917.36</v>
      </c>
      <c r="M1313" s="7"/>
      <c r="O1313">
        <f t="shared" si="62"/>
        <v>2</v>
      </c>
      <c r="Q1313" t="s">
        <v>104</v>
      </c>
    </row>
    <row r="1314" spans="1:17" x14ac:dyDescent="0.3">
      <c r="A1314" t="s">
        <v>2245</v>
      </c>
      <c r="B1314" s="6">
        <v>45199</v>
      </c>
      <c r="C1314" s="6" t="str">
        <f t="shared" si="60"/>
        <v>Sep</v>
      </c>
      <c r="D1314" t="s">
        <v>368</v>
      </c>
      <c r="E1314" t="s">
        <v>19</v>
      </c>
      <c r="F1314" t="s">
        <v>151</v>
      </c>
      <c r="G1314">
        <v>1</v>
      </c>
      <c r="H1314" s="7">
        <v>438.46</v>
      </c>
      <c r="I1314" t="s">
        <v>103</v>
      </c>
      <c r="J1314" t="s">
        <v>87</v>
      </c>
      <c r="K1314">
        <v>10</v>
      </c>
      <c r="L1314" s="7">
        <f t="shared" si="61"/>
        <v>438.46</v>
      </c>
      <c r="M1314" s="7"/>
      <c r="O1314">
        <f t="shared" si="62"/>
        <v>2</v>
      </c>
      <c r="Q1314" t="s">
        <v>104</v>
      </c>
    </row>
    <row r="1315" spans="1:17" x14ac:dyDescent="0.3">
      <c r="A1315" t="s">
        <v>2246</v>
      </c>
      <c r="B1315" s="6">
        <v>45186</v>
      </c>
      <c r="C1315" s="6" t="str">
        <f t="shared" si="60"/>
        <v>Sep</v>
      </c>
      <c r="D1315" t="s">
        <v>195</v>
      </c>
      <c r="E1315" t="s">
        <v>26</v>
      </c>
      <c r="F1315" t="s">
        <v>939</v>
      </c>
      <c r="G1315">
        <v>9</v>
      </c>
      <c r="H1315" s="7">
        <v>139.36000000000001</v>
      </c>
      <c r="I1315" t="s">
        <v>21</v>
      </c>
      <c r="J1315" t="s">
        <v>87</v>
      </c>
      <c r="K1315">
        <v>5</v>
      </c>
      <c r="L1315" s="7">
        <f t="shared" si="61"/>
        <v>1254.2400000000002</v>
      </c>
      <c r="M1315" s="7"/>
      <c r="O1315">
        <f t="shared" si="62"/>
        <v>2</v>
      </c>
      <c r="Q1315" t="s">
        <v>23</v>
      </c>
    </row>
    <row r="1316" spans="1:17" x14ac:dyDescent="0.3">
      <c r="A1316" t="s">
        <v>2247</v>
      </c>
      <c r="B1316" s="6">
        <v>45142</v>
      </c>
      <c r="C1316" s="6" t="str">
        <f t="shared" si="60"/>
        <v>Aug</v>
      </c>
      <c r="D1316" t="s">
        <v>382</v>
      </c>
      <c r="E1316" t="s">
        <v>50</v>
      </c>
      <c r="F1316" t="s">
        <v>1328</v>
      </c>
      <c r="G1316">
        <v>9</v>
      </c>
      <c r="H1316" s="7">
        <v>6.83</v>
      </c>
      <c r="I1316" t="s">
        <v>19</v>
      </c>
      <c r="J1316" t="s">
        <v>42</v>
      </c>
      <c r="K1316">
        <v>10</v>
      </c>
      <c r="L1316" s="7">
        <f t="shared" si="61"/>
        <v>61.47</v>
      </c>
      <c r="M1316" s="7"/>
      <c r="O1316">
        <f t="shared" si="62"/>
        <v>2</v>
      </c>
      <c r="Q1316" t="s">
        <v>19</v>
      </c>
    </row>
    <row r="1317" spans="1:17" x14ac:dyDescent="0.3">
      <c r="A1317" t="s">
        <v>2248</v>
      </c>
      <c r="B1317" s="6">
        <v>45280</v>
      </c>
      <c r="C1317" s="6" t="str">
        <f t="shared" si="60"/>
        <v>Dec</v>
      </c>
      <c r="D1317" t="s">
        <v>1101</v>
      </c>
      <c r="E1317" t="s">
        <v>40</v>
      </c>
      <c r="F1317" t="s">
        <v>1282</v>
      </c>
      <c r="G1317">
        <v>5</v>
      </c>
      <c r="H1317" s="7">
        <v>85.47</v>
      </c>
      <c r="I1317" t="s">
        <v>32</v>
      </c>
      <c r="J1317" t="s">
        <v>22</v>
      </c>
      <c r="K1317">
        <v>15</v>
      </c>
      <c r="L1317" s="7">
        <f t="shared" si="61"/>
        <v>427.35</v>
      </c>
      <c r="M1317" s="7"/>
      <c r="O1317">
        <f t="shared" si="62"/>
        <v>2</v>
      </c>
      <c r="Q1317" t="s">
        <v>33</v>
      </c>
    </row>
    <row r="1318" spans="1:17" x14ac:dyDescent="0.3">
      <c r="A1318" t="s">
        <v>2249</v>
      </c>
      <c r="B1318" s="6">
        <v>44930</v>
      </c>
      <c r="C1318" s="6" t="str">
        <f t="shared" si="60"/>
        <v>Jan</v>
      </c>
      <c r="D1318" t="s">
        <v>440</v>
      </c>
      <c r="E1318" t="s">
        <v>19</v>
      </c>
      <c r="F1318" t="s">
        <v>350</v>
      </c>
      <c r="G1318">
        <v>4</v>
      </c>
      <c r="H1318" s="7">
        <v>178.01</v>
      </c>
      <c r="I1318" t="s">
        <v>64</v>
      </c>
      <c r="J1318" t="s">
        <v>42</v>
      </c>
      <c r="K1318">
        <v>0</v>
      </c>
      <c r="L1318" s="7">
        <f t="shared" si="61"/>
        <v>712.04</v>
      </c>
      <c r="M1318" s="7"/>
      <c r="O1318">
        <f t="shared" si="62"/>
        <v>2</v>
      </c>
      <c r="Q1318" t="s">
        <v>65</v>
      </c>
    </row>
    <row r="1319" spans="1:17" x14ac:dyDescent="0.3">
      <c r="A1319" t="s">
        <v>2250</v>
      </c>
      <c r="B1319" s="6">
        <v>44970</v>
      </c>
      <c r="C1319" s="6" t="str">
        <f t="shared" si="60"/>
        <v>Feb</v>
      </c>
      <c r="D1319" t="s">
        <v>596</v>
      </c>
      <c r="E1319" t="s">
        <v>19</v>
      </c>
      <c r="F1319" t="s">
        <v>151</v>
      </c>
      <c r="G1319">
        <v>6</v>
      </c>
      <c r="H1319" s="7">
        <v>161.28</v>
      </c>
      <c r="I1319" t="s">
        <v>103</v>
      </c>
      <c r="J1319" t="s">
        <v>19</v>
      </c>
      <c r="K1319">
        <v>5</v>
      </c>
      <c r="L1319" s="7">
        <f t="shared" si="61"/>
        <v>967.68000000000006</v>
      </c>
      <c r="M1319" s="7"/>
      <c r="O1319">
        <f t="shared" si="62"/>
        <v>2</v>
      </c>
      <c r="Q1319" t="s">
        <v>104</v>
      </c>
    </row>
    <row r="1320" spans="1:17" x14ac:dyDescent="0.3">
      <c r="A1320" t="s">
        <v>2251</v>
      </c>
      <c r="B1320" s="6">
        <v>45013</v>
      </c>
      <c r="C1320" s="6" t="str">
        <f t="shared" si="60"/>
        <v>Mar</v>
      </c>
      <c r="D1320" t="s">
        <v>2126</v>
      </c>
      <c r="E1320" t="s">
        <v>62</v>
      </c>
      <c r="F1320" t="s">
        <v>369</v>
      </c>
      <c r="G1320">
        <v>7</v>
      </c>
      <c r="H1320" s="7">
        <v>396.72</v>
      </c>
      <c r="I1320" t="s">
        <v>21</v>
      </c>
      <c r="J1320" t="s">
        <v>72</v>
      </c>
      <c r="K1320">
        <v>10</v>
      </c>
      <c r="L1320" s="7">
        <f t="shared" si="61"/>
        <v>2777.04</v>
      </c>
      <c r="M1320" s="7"/>
      <c r="O1320">
        <f t="shared" si="62"/>
        <v>3</v>
      </c>
      <c r="Q1320" t="s">
        <v>23</v>
      </c>
    </row>
    <row r="1321" spans="1:17" x14ac:dyDescent="0.3">
      <c r="A1321" t="s">
        <v>2252</v>
      </c>
      <c r="B1321" s="6">
        <v>45259</v>
      </c>
      <c r="C1321" s="6" t="str">
        <f t="shared" si="60"/>
        <v>Nov</v>
      </c>
      <c r="D1321" t="s">
        <v>516</v>
      </c>
      <c r="E1321" t="s">
        <v>31</v>
      </c>
      <c r="F1321" t="s">
        <v>372</v>
      </c>
      <c r="G1321">
        <v>5</v>
      </c>
      <c r="H1321" s="7">
        <v>341.88</v>
      </c>
      <c r="I1321" t="s">
        <v>46</v>
      </c>
      <c r="J1321" t="s">
        <v>22</v>
      </c>
      <c r="K1321">
        <v>10</v>
      </c>
      <c r="L1321" s="7">
        <f t="shared" si="61"/>
        <v>1709.4</v>
      </c>
      <c r="M1321" s="7"/>
      <c r="O1321">
        <f t="shared" si="62"/>
        <v>2</v>
      </c>
      <c r="Q1321" t="s">
        <v>47</v>
      </c>
    </row>
    <row r="1322" spans="1:17" x14ac:dyDescent="0.3">
      <c r="A1322" t="s">
        <v>2253</v>
      </c>
      <c r="B1322" s="6">
        <v>45256</v>
      </c>
      <c r="C1322" s="6" t="str">
        <f t="shared" si="60"/>
        <v>Nov</v>
      </c>
      <c r="D1322" t="s">
        <v>259</v>
      </c>
      <c r="E1322" t="s">
        <v>40</v>
      </c>
      <c r="F1322" t="s">
        <v>366</v>
      </c>
      <c r="G1322">
        <v>9</v>
      </c>
      <c r="H1322" s="7">
        <v>153.28</v>
      </c>
      <c r="I1322" t="s">
        <v>46</v>
      </c>
      <c r="J1322" t="s">
        <v>28</v>
      </c>
      <c r="K1322">
        <v>15</v>
      </c>
      <c r="L1322" s="7">
        <f t="shared" si="61"/>
        <v>1379.52</v>
      </c>
      <c r="M1322" s="7"/>
      <c r="O1322">
        <f t="shared" si="62"/>
        <v>2</v>
      </c>
      <c r="Q1322" t="s">
        <v>47</v>
      </c>
    </row>
    <row r="1323" spans="1:17" x14ac:dyDescent="0.3">
      <c r="A1323" t="s">
        <v>2254</v>
      </c>
      <c r="B1323" s="6">
        <v>45218</v>
      </c>
      <c r="C1323" s="6" t="str">
        <f t="shared" si="60"/>
        <v>Oct</v>
      </c>
      <c r="D1323" t="s">
        <v>402</v>
      </c>
      <c r="E1323" t="s">
        <v>19</v>
      </c>
      <c r="F1323" t="s">
        <v>113</v>
      </c>
      <c r="G1323">
        <v>3</v>
      </c>
      <c r="H1323" s="7">
        <v>231.58</v>
      </c>
      <c r="I1323" t="s">
        <v>46</v>
      </c>
      <c r="J1323" t="s">
        <v>87</v>
      </c>
      <c r="K1323">
        <v>15</v>
      </c>
      <c r="L1323" s="7">
        <f t="shared" si="61"/>
        <v>694.74</v>
      </c>
      <c r="M1323" s="7"/>
      <c r="O1323">
        <f t="shared" si="62"/>
        <v>2</v>
      </c>
      <c r="Q1323" t="s">
        <v>47</v>
      </c>
    </row>
    <row r="1324" spans="1:17" x14ac:dyDescent="0.3">
      <c r="A1324" t="s">
        <v>2255</v>
      </c>
      <c r="B1324" s="6">
        <v>45237</v>
      </c>
      <c r="C1324" s="6" t="str">
        <f t="shared" si="60"/>
        <v>Nov</v>
      </c>
      <c r="D1324" t="s">
        <v>2256</v>
      </c>
      <c r="E1324" t="s">
        <v>36</v>
      </c>
      <c r="F1324" t="s">
        <v>63</v>
      </c>
      <c r="G1324">
        <v>7</v>
      </c>
      <c r="H1324" s="7">
        <v>52.3</v>
      </c>
      <c r="I1324" t="s">
        <v>64</v>
      </c>
      <c r="J1324" t="s">
        <v>87</v>
      </c>
      <c r="K1324">
        <v>10</v>
      </c>
      <c r="L1324" s="7">
        <f t="shared" si="61"/>
        <v>366.09999999999997</v>
      </c>
      <c r="M1324" s="7"/>
      <c r="O1324">
        <f t="shared" si="62"/>
        <v>2</v>
      </c>
      <c r="Q1324" t="s">
        <v>65</v>
      </c>
    </row>
    <row r="1325" spans="1:17" x14ac:dyDescent="0.3">
      <c r="A1325" t="s">
        <v>2257</v>
      </c>
      <c r="B1325" s="6">
        <v>44963</v>
      </c>
      <c r="C1325" s="6" t="str">
        <f t="shared" si="60"/>
        <v>Feb</v>
      </c>
      <c r="D1325" t="s">
        <v>492</v>
      </c>
      <c r="E1325" t="s">
        <v>40</v>
      </c>
      <c r="F1325" t="s">
        <v>316</v>
      </c>
      <c r="G1325">
        <v>5</v>
      </c>
      <c r="H1325" s="7">
        <v>449.58</v>
      </c>
      <c r="I1325" t="s">
        <v>19</v>
      </c>
      <c r="J1325" t="s">
        <v>19</v>
      </c>
      <c r="K1325">
        <v>10</v>
      </c>
      <c r="L1325" s="7">
        <f t="shared" si="61"/>
        <v>2247.9</v>
      </c>
      <c r="M1325" s="7"/>
      <c r="O1325">
        <f t="shared" si="62"/>
        <v>2</v>
      </c>
      <c r="Q1325" t="s">
        <v>19</v>
      </c>
    </row>
    <row r="1326" spans="1:17" x14ac:dyDescent="0.3">
      <c r="A1326" t="s">
        <v>2258</v>
      </c>
      <c r="B1326" s="6">
        <v>45052</v>
      </c>
      <c r="C1326" s="6" t="str">
        <f t="shared" si="60"/>
        <v>May</v>
      </c>
      <c r="D1326" t="s">
        <v>431</v>
      </c>
      <c r="E1326" t="s">
        <v>62</v>
      </c>
      <c r="F1326" t="s">
        <v>170</v>
      </c>
      <c r="G1326">
        <v>7</v>
      </c>
      <c r="H1326" s="7">
        <v>468.04</v>
      </c>
      <c r="I1326" t="s">
        <v>46</v>
      </c>
      <c r="J1326" t="s">
        <v>42</v>
      </c>
      <c r="K1326">
        <v>10</v>
      </c>
      <c r="L1326" s="7">
        <f t="shared" si="61"/>
        <v>3276.28</v>
      </c>
      <c r="M1326" s="7"/>
      <c r="O1326">
        <f t="shared" si="62"/>
        <v>4</v>
      </c>
      <c r="Q1326" t="s">
        <v>47</v>
      </c>
    </row>
    <row r="1327" spans="1:17" x14ac:dyDescent="0.3">
      <c r="A1327" t="s">
        <v>2259</v>
      </c>
      <c r="B1327" s="6">
        <v>45190</v>
      </c>
      <c r="C1327" s="6" t="str">
        <f t="shared" si="60"/>
        <v>Sep</v>
      </c>
      <c r="D1327" t="s">
        <v>1135</v>
      </c>
      <c r="E1327" t="s">
        <v>19</v>
      </c>
      <c r="F1327" t="s">
        <v>331</v>
      </c>
      <c r="G1327">
        <v>2</v>
      </c>
      <c r="H1327" s="7">
        <v>490</v>
      </c>
      <c r="I1327" t="s">
        <v>64</v>
      </c>
      <c r="J1327" t="s">
        <v>22</v>
      </c>
      <c r="K1327">
        <v>5</v>
      </c>
      <c r="L1327" s="7">
        <f t="shared" si="61"/>
        <v>980</v>
      </c>
      <c r="M1327" s="7"/>
      <c r="O1327">
        <f t="shared" si="62"/>
        <v>2</v>
      </c>
      <c r="Q1327" t="s">
        <v>65</v>
      </c>
    </row>
    <row r="1328" spans="1:17" x14ac:dyDescent="0.3">
      <c r="A1328" t="s">
        <v>2260</v>
      </c>
      <c r="B1328" s="6">
        <v>44974</v>
      </c>
      <c r="C1328" s="6" t="str">
        <f t="shared" si="60"/>
        <v>Feb</v>
      </c>
      <c r="D1328" t="s">
        <v>891</v>
      </c>
      <c r="E1328" t="s">
        <v>62</v>
      </c>
      <c r="F1328" t="s">
        <v>350</v>
      </c>
      <c r="G1328">
        <v>4</v>
      </c>
      <c r="H1328" s="7">
        <v>252.16</v>
      </c>
      <c r="I1328" t="s">
        <v>103</v>
      </c>
      <c r="J1328" t="s">
        <v>19</v>
      </c>
      <c r="K1328">
        <v>10</v>
      </c>
      <c r="L1328" s="7">
        <f t="shared" si="61"/>
        <v>1008.64</v>
      </c>
      <c r="M1328" s="7"/>
      <c r="O1328">
        <f t="shared" si="62"/>
        <v>2</v>
      </c>
      <c r="Q1328" t="s">
        <v>104</v>
      </c>
    </row>
    <row r="1329" spans="1:17" x14ac:dyDescent="0.3">
      <c r="A1329" t="s">
        <v>2261</v>
      </c>
      <c r="B1329" s="6">
        <v>44983</v>
      </c>
      <c r="C1329" s="6" t="str">
        <f t="shared" si="60"/>
        <v>Feb</v>
      </c>
      <c r="D1329" t="s">
        <v>893</v>
      </c>
      <c r="E1329" t="s">
        <v>36</v>
      </c>
      <c r="F1329" t="s">
        <v>237</v>
      </c>
      <c r="G1329">
        <v>2</v>
      </c>
      <c r="H1329" s="7">
        <v>91.11</v>
      </c>
      <c r="I1329" t="s">
        <v>19</v>
      </c>
      <c r="J1329" t="s">
        <v>22</v>
      </c>
      <c r="K1329">
        <v>0</v>
      </c>
      <c r="L1329" s="7">
        <f t="shared" si="61"/>
        <v>182.22</v>
      </c>
      <c r="M1329" s="7"/>
      <c r="O1329">
        <f t="shared" si="62"/>
        <v>2</v>
      </c>
      <c r="Q1329" t="s">
        <v>19</v>
      </c>
    </row>
    <row r="1330" spans="1:17" x14ac:dyDescent="0.3">
      <c r="A1330" t="s">
        <v>2262</v>
      </c>
      <c r="B1330" s="6">
        <v>45279</v>
      </c>
      <c r="C1330" s="6" t="str">
        <f t="shared" si="60"/>
        <v>Dec</v>
      </c>
      <c r="D1330" t="s">
        <v>2263</v>
      </c>
      <c r="E1330" t="s">
        <v>26</v>
      </c>
      <c r="F1330" t="s">
        <v>1085</v>
      </c>
      <c r="G1330">
        <v>7</v>
      </c>
      <c r="H1330" s="7">
        <v>27.87</v>
      </c>
      <c r="I1330" t="s">
        <v>46</v>
      </c>
      <c r="J1330" t="s">
        <v>28</v>
      </c>
      <c r="K1330">
        <v>10</v>
      </c>
      <c r="L1330" s="7">
        <f t="shared" si="61"/>
        <v>195.09</v>
      </c>
      <c r="M1330" s="7"/>
      <c r="O1330">
        <f t="shared" si="62"/>
        <v>2</v>
      </c>
      <c r="Q1330" t="s">
        <v>47</v>
      </c>
    </row>
    <row r="1331" spans="1:17" x14ac:dyDescent="0.3">
      <c r="A1331" t="s">
        <v>2264</v>
      </c>
      <c r="B1331" s="6">
        <v>45232</v>
      </c>
      <c r="C1331" s="6" t="str">
        <f t="shared" si="60"/>
        <v>Nov</v>
      </c>
      <c r="D1331" t="s">
        <v>1256</v>
      </c>
      <c r="E1331" t="s">
        <v>50</v>
      </c>
      <c r="F1331" t="s">
        <v>68</v>
      </c>
      <c r="G1331">
        <v>2</v>
      </c>
      <c r="H1331" s="7">
        <v>291.89999999999998</v>
      </c>
      <c r="I1331" t="s">
        <v>19</v>
      </c>
      <c r="J1331" t="s">
        <v>42</v>
      </c>
      <c r="K1331">
        <v>0</v>
      </c>
      <c r="L1331" s="7">
        <f t="shared" si="61"/>
        <v>583.79999999999995</v>
      </c>
      <c r="M1331" s="7"/>
      <c r="O1331">
        <f t="shared" si="62"/>
        <v>2</v>
      </c>
      <c r="Q1331" t="s">
        <v>19</v>
      </c>
    </row>
    <row r="1332" spans="1:17" x14ac:dyDescent="0.3">
      <c r="A1332" t="s">
        <v>2265</v>
      </c>
      <c r="B1332" s="6">
        <v>45117</v>
      </c>
      <c r="C1332" s="6" t="str">
        <f t="shared" si="60"/>
        <v>Jul</v>
      </c>
      <c r="D1332" t="s">
        <v>1193</v>
      </c>
      <c r="E1332" t="s">
        <v>19</v>
      </c>
      <c r="F1332" t="s">
        <v>208</v>
      </c>
      <c r="G1332">
        <v>1</v>
      </c>
      <c r="H1332" s="7">
        <v>456.74</v>
      </c>
      <c r="I1332" t="s">
        <v>46</v>
      </c>
      <c r="J1332" t="s">
        <v>28</v>
      </c>
      <c r="K1332">
        <v>5</v>
      </c>
      <c r="L1332" s="7">
        <f t="shared" si="61"/>
        <v>456.74</v>
      </c>
      <c r="M1332" s="7"/>
      <c r="O1332">
        <f t="shared" si="62"/>
        <v>2</v>
      </c>
      <c r="Q1332" t="s">
        <v>47</v>
      </c>
    </row>
    <row r="1333" spans="1:17" x14ac:dyDescent="0.3">
      <c r="A1333" t="s">
        <v>2266</v>
      </c>
      <c r="B1333" s="6">
        <v>45018</v>
      </c>
      <c r="C1333" s="6" t="str">
        <f t="shared" si="60"/>
        <v>Apr</v>
      </c>
      <c r="D1333" t="s">
        <v>721</v>
      </c>
      <c r="E1333" t="s">
        <v>19</v>
      </c>
      <c r="F1333" t="s">
        <v>90</v>
      </c>
      <c r="G1333">
        <v>9</v>
      </c>
      <c r="H1333" s="7">
        <v>92.79</v>
      </c>
      <c r="I1333" t="s">
        <v>46</v>
      </c>
      <c r="J1333" t="s">
        <v>87</v>
      </c>
      <c r="K1333">
        <v>15</v>
      </c>
      <c r="L1333" s="7">
        <f t="shared" si="61"/>
        <v>835.11</v>
      </c>
      <c r="M1333" s="7"/>
      <c r="O1333">
        <f t="shared" si="62"/>
        <v>2</v>
      </c>
      <c r="Q1333" t="s">
        <v>47</v>
      </c>
    </row>
    <row r="1334" spans="1:17" x14ac:dyDescent="0.3">
      <c r="A1334" t="s">
        <v>2267</v>
      </c>
      <c r="B1334" s="6">
        <v>45258</v>
      </c>
      <c r="C1334" s="6" t="str">
        <f t="shared" si="60"/>
        <v>Nov</v>
      </c>
      <c r="D1334" t="s">
        <v>2268</v>
      </c>
      <c r="E1334" t="s">
        <v>31</v>
      </c>
      <c r="F1334" t="s">
        <v>102</v>
      </c>
      <c r="G1334">
        <v>1</v>
      </c>
      <c r="H1334" s="7">
        <v>8.49</v>
      </c>
      <c r="I1334" t="s">
        <v>32</v>
      </c>
      <c r="J1334" t="s">
        <v>19</v>
      </c>
      <c r="K1334">
        <v>0</v>
      </c>
      <c r="L1334" s="7">
        <f t="shared" si="61"/>
        <v>8.49</v>
      </c>
      <c r="M1334" s="7"/>
      <c r="O1334">
        <f t="shared" si="62"/>
        <v>2</v>
      </c>
      <c r="Q1334" t="s">
        <v>33</v>
      </c>
    </row>
    <row r="1335" spans="1:17" x14ac:dyDescent="0.3">
      <c r="A1335" t="s">
        <v>2269</v>
      </c>
      <c r="B1335" s="6">
        <v>45186</v>
      </c>
      <c r="C1335" s="6" t="str">
        <f t="shared" si="60"/>
        <v>Sep</v>
      </c>
      <c r="D1335" t="s">
        <v>210</v>
      </c>
      <c r="E1335" t="s">
        <v>50</v>
      </c>
      <c r="F1335" t="s">
        <v>1206</v>
      </c>
      <c r="G1335">
        <v>5</v>
      </c>
      <c r="H1335" s="7">
        <v>403.72</v>
      </c>
      <c r="I1335" t="s">
        <v>19</v>
      </c>
      <c r="J1335" t="s">
        <v>22</v>
      </c>
      <c r="K1335">
        <v>5</v>
      </c>
      <c r="L1335" s="7">
        <f t="shared" si="61"/>
        <v>2018.6000000000001</v>
      </c>
      <c r="M1335" s="7"/>
      <c r="O1335">
        <f t="shared" si="62"/>
        <v>2</v>
      </c>
      <c r="Q1335" t="s">
        <v>19</v>
      </c>
    </row>
    <row r="1336" spans="1:17" x14ac:dyDescent="0.3">
      <c r="A1336" t="s">
        <v>2270</v>
      </c>
      <c r="B1336" s="6">
        <v>45074</v>
      </c>
      <c r="C1336" s="6" t="str">
        <f t="shared" si="60"/>
        <v>May</v>
      </c>
      <c r="D1336" t="s">
        <v>429</v>
      </c>
      <c r="E1336" t="s">
        <v>36</v>
      </c>
      <c r="F1336" t="s">
        <v>237</v>
      </c>
      <c r="G1336">
        <v>2</v>
      </c>
      <c r="H1336" s="7">
        <v>43.01</v>
      </c>
      <c r="I1336" t="s">
        <v>64</v>
      </c>
      <c r="J1336" t="s">
        <v>42</v>
      </c>
      <c r="K1336">
        <v>10</v>
      </c>
      <c r="L1336" s="7">
        <f t="shared" si="61"/>
        <v>86.02</v>
      </c>
      <c r="M1336" s="7"/>
      <c r="O1336">
        <f t="shared" si="62"/>
        <v>2</v>
      </c>
      <c r="Q1336" t="s">
        <v>65</v>
      </c>
    </row>
    <row r="1337" spans="1:17" x14ac:dyDescent="0.3">
      <c r="A1337" t="s">
        <v>2271</v>
      </c>
      <c r="B1337" s="6">
        <v>45149</v>
      </c>
      <c r="C1337" s="6" t="str">
        <f t="shared" si="60"/>
        <v>Aug</v>
      </c>
      <c r="D1337" t="s">
        <v>868</v>
      </c>
      <c r="E1337" t="s">
        <v>40</v>
      </c>
      <c r="F1337" t="s">
        <v>51</v>
      </c>
      <c r="G1337">
        <v>8</v>
      </c>
      <c r="H1337" s="7">
        <v>209.78</v>
      </c>
      <c r="I1337" t="s">
        <v>21</v>
      </c>
      <c r="J1337" t="s">
        <v>42</v>
      </c>
      <c r="K1337">
        <v>5</v>
      </c>
      <c r="L1337" s="7">
        <f t="shared" si="61"/>
        <v>1678.24</v>
      </c>
      <c r="M1337" s="7"/>
      <c r="O1337">
        <f t="shared" si="62"/>
        <v>2</v>
      </c>
      <c r="Q1337" t="s">
        <v>23</v>
      </c>
    </row>
    <row r="1338" spans="1:17" x14ac:dyDescent="0.3">
      <c r="A1338" t="s">
        <v>2272</v>
      </c>
      <c r="B1338" s="6">
        <v>45288</v>
      </c>
      <c r="C1338" s="6" t="str">
        <f t="shared" si="60"/>
        <v>Dec</v>
      </c>
      <c r="D1338" t="s">
        <v>1725</v>
      </c>
      <c r="E1338" t="s">
        <v>40</v>
      </c>
      <c r="F1338" t="s">
        <v>222</v>
      </c>
      <c r="G1338">
        <v>3</v>
      </c>
      <c r="H1338" s="7">
        <v>341.05</v>
      </c>
      <c r="I1338" t="s">
        <v>64</v>
      </c>
      <c r="J1338" t="s">
        <v>22</v>
      </c>
      <c r="K1338">
        <v>10</v>
      </c>
      <c r="L1338" s="7">
        <f t="shared" si="61"/>
        <v>1023.1500000000001</v>
      </c>
      <c r="M1338" s="7"/>
      <c r="O1338">
        <f t="shared" si="62"/>
        <v>2</v>
      </c>
      <c r="Q1338" t="s">
        <v>65</v>
      </c>
    </row>
    <row r="1339" spans="1:17" x14ac:dyDescent="0.3">
      <c r="A1339" t="s">
        <v>2273</v>
      </c>
      <c r="B1339" s="6">
        <v>45165</v>
      </c>
      <c r="C1339" s="6" t="str">
        <f t="shared" si="60"/>
        <v>Aug</v>
      </c>
      <c r="D1339" t="s">
        <v>2274</v>
      </c>
      <c r="E1339" t="s">
        <v>19</v>
      </c>
      <c r="F1339" t="s">
        <v>1194</v>
      </c>
      <c r="G1339">
        <v>6</v>
      </c>
      <c r="H1339" s="7">
        <v>122.21</v>
      </c>
      <c r="I1339" t="s">
        <v>32</v>
      </c>
      <c r="J1339" t="s">
        <v>28</v>
      </c>
      <c r="K1339">
        <v>5</v>
      </c>
      <c r="L1339" s="7">
        <f t="shared" si="61"/>
        <v>733.26</v>
      </c>
      <c r="M1339" s="7"/>
      <c r="O1339">
        <f t="shared" si="62"/>
        <v>2</v>
      </c>
      <c r="Q1339" t="s">
        <v>33</v>
      </c>
    </row>
    <row r="1340" spans="1:17" x14ac:dyDescent="0.3">
      <c r="A1340" t="s">
        <v>2275</v>
      </c>
      <c r="B1340" s="6">
        <v>45027</v>
      </c>
      <c r="C1340" s="6" t="str">
        <f t="shared" si="60"/>
        <v>Apr</v>
      </c>
      <c r="D1340" t="s">
        <v>1071</v>
      </c>
      <c r="E1340" t="s">
        <v>50</v>
      </c>
      <c r="F1340" t="s">
        <v>37</v>
      </c>
      <c r="G1340">
        <v>3</v>
      </c>
      <c r="H1340" s="7">
        <v>46.56</v>
      </c>
      <c r="I1340" t="s">
        <v>21</v>
      </c>
      <c r="J1340" t="s">
        <v>19</v>
      </c>
      <c r="K1340">
        <v>15</v>
      </c>
      <c r="L1340" s="7">
        <f t="shared" si="61"/>
        <v>139.68</v>
      </c>
      <c r="M1340" s="7"/>
      <c r="O1340">
        <f t="shared" si="62"/>
        <v>2</v>
      </c>
      <c r="Q1340" t="s">
        <v>23</v>
      </c>
    </row>
    <row r="1341" spans="1:17" x14ac:dyDescent="0.3">
      <c r="A1341" t="s">
        <v>2276</v>
      </c>
      <c r="B1341" s="6">
        <v>44954</v>
      </c>
      <c r="C1341" s="6" t="str">
        <f t="shared" si="60"/>
        <v>Jan</v>
      </c>
      <c r="D1341" t="s">
        <v>2277</v>
      </c>
      <c r="E1341" t="s">
        <v>26</v>
      </c>
      <c r="F1341" t="s">
        <v>356</v>
      </c>
      <c r="G1341">
        <v>7</v>
      </c>
      <c r="H1341" s="7">
        <v>386.16</v>
      </c>
      <c r="I1341" t="s">
        <v>19</v>
      </c>
      <c r="J1341" t="s">
        <v>42</v>
      </c>
      <c r="K1341">
        <v>0</v>
      </c>
      <c r="L1341" s="7">
        <f t="shared" si="61"/>
        <v>2703.1200000000003</v>
      </c>
      <c r="M1341" s="7"/>
      <c r="O1341">
        <f t="shared" si="62"/>
        <v>3</v>
      </c>
      <c r="Q1341" t="s">
        <v>19</v>
      </c>
    </row>
    <row r="1342" spans="1:17" x14ac:dyDescent="0.3">
      <c r="A1342" t="s">
        <v>2278</v>
      </c>
      <c r="B1342" s="6">
        <v>45098</v>
      </c>
      <c r="C1342" s="6" t="str">
        <f t="shared" si="60"/>
        <v>Jun</v>
      </c>
      <c r="D1342" t="s">
        <v>654</v>
      </c>
      <c r="E1342" t="s">
        <v>62</v>
      </c>
      <c r="F1342" t="s">
        <v>556</v>
      </c>
      <c r="G1342">
        <v>9</v>
      </c>
      <c r="H1342" s="7">
        <v>316.94</v>
      </c>
      <c r="I1342" t="s">
        <v>46</v>
      </c>
      <c r="J1342" t="s">
        <v>22</v>
      </c>
      <c r="K1342">
        <v>15</v>
      </c>
      <c r="L1342" s="7">
        <f t="shared" si="61"/>
        <v>2852.46</v>
      </c>
      <c r="M1342" s="7"/>
      <c r="O1342">
        <f t="shared" si="62"/>
        <v>3</v>
      </c>
      <c r="Q1342" t="s">
        <v>47</v>
      </c>
    </row>
    <row r="1343" spans="1:17" x14ac:dyDescent="0.3">
      <c r="A1343" t="s">
        <v>2279</v>
      </c>
      <c r="B1343" s="6">
        <v>45159</v>
      </c>
      <c r="C1343" s="6" t="str">
        <f t="shared" si="60"/>
        <v>Aug</v>
      </c>
      <c r="D1343" t="s">
        <v>1795</v>
      </c>
      <c r="E1343" t="s">
        <v>50</v>
      </c>
      <c r="F1343" t="s">
        <v>185</v>
      </c>
      <c r="G1343">
        <v>2</v>
      </c>
      <c r="H1343" s="7">
        <v>494.3</v>
      </c>
      <c r="I1343" t="s">
        <v>46</v>
      </c>
      <c r="J1343" t="s">
        <v>87</v>
      </c>
      <c r="K1343">
        <v>10</v>
      </c>
      <c r="L1343" s="7">
        <f t="shared" si="61"/>
        <v>988.6</v>
      </c>
      <c r="M1343" s="7"/>
      <c r="O1343">
        <f t="shared" si="62"/>
        <v>2</v>
      </c>
      <c r="Q1343" t="s">
        <v>47</v>
      </c>
    </row>
    <row r="1344" spans="1:17" x14ac:dyDescent="0.3">
      <c r="A1344" t="s">
        <v>2280</v>
      </c>
      <c r="B1344" s="6">
        <v>45185</v>
      </c>
      <c r="C1344" s="6" t="str">
        <f t="shared" si="60"/>
        <v>Sep</v>
      </c>
      <c r="D1344" t="s">
        <v>1809</v>
      </c>
      <c r="E1344" t="s">
        <v>36</v>
      </c>
      <c r="F1344" t="s">
        <v>278</v>
      </c>
      <c r="G1344">
        <v>5</v>
      </c>
      <c r="H1344" s="7">
        <v>175.43</v>
      </c>
      <c r="I1344" t="s">
        <v>32</v>
      </c>
      <c r="J1344" t="s">
        <v>87</v>
      </c>
      <c r="K1344">
        <v>10</v>
      </c>
      <c r="L1344" s="7">
        <f t="shared" si="61"/>
        <v>877.15000000000009</v>
      </c>
      <c r="M1344" s="7"/>
      <c r="O1344">
        <f t="shared" si="62"/>
        <v>2</v>
      </c>
      <c r="Q1344" t="s">
        <v>33</v>
      </c>
    </row>
    <row r="1345" spans="1:17" x14ac:dyDescent="0.3">
      <c r="A1345" t="s">
        <v>2281</v>
      </c>
      <c r="B1345" s="6">
        <v>45237</v>
      </c>
      <c r="C1345" s="6" t="str">
        <f t="shared" si="60"/>
        <v>Nov</v>
      </c>
      <c r="D1345" t="s">
        <v>1877</v>
      </c>
      <c r="E1345" t="s">
        <v>19</v>
      </c>
      <c r="F1345" t="s">
        <v>856</v>
      </c>
      <c r="G1345">
        <v>6</v>
      </c>
      <c r="H1345" s="7">
        <v>35.57</v>
      </c>
      <c r="I1345" t="s">
        <v>103</v>
      </c>
      <c r="J1345" t="s">
        <v>28</v>
      </c>
      <c r="K1345">
        <v>0</v>
      </c>
      <c r="L1345" s="7">
        <f t="shared" si="61"/>
        <v>213.42000000000002</v>
      </c>
      <c r="M1345" s="7"/>
      <c r="O1345">
        <f t="shared" si="62"/>
        <v>2</v>
      </c>
      <c r="Q1345" t="s">
        <v>104</v>
      </c>
    </row>
    <row r="1346" spans="1:17" x14ac:dyDescent="0.3">
      <c r="A1346" t="s">
        <v>2282</v>
      </c>
      <c r="B1346" s="6">
        <v>44970</v>
      </c>
      <c r="C1346" s="6" t="str">
        <f t="shared" si="60"/>
        <v>Feb</v>
      </c>
      <c r="D1346" t="s">
        <v>700</v>
      </c>
      <c r="E1346" t="s">
        <v>40</v>
      </c>
      <c r="F1346" t="s">
        <v>222</v>
      </c>
      <c r="G1346">
        <v>4</v>
      </c>
      <c r="H1346" s="7">
        <v>368.5</v>
      </c>
      <c r="I1346" t="s">
        <v>46</v>
      </c>
      <c r="J1346" t="s">
        <v>87</v>
      </c>
      <c r="K1346">
        <v>15</v>
      </c>
      <c r="L1346" s="7">
        <f t="shared" si="61"/>
        <v>1474</v>
      </c>
      <c r="M1346" s="7"/>
      <c r="O1346">
        <f t="shared" si="62"/>
        <v>2</v>
      </c>
      <c r="Q1346" t="s">
        <v>47</v>
      </c>
    </row>
    <row r="1347" spans="1:17" x14ac:dyDescent="0.3">
      <c r="A1347" t="s">
        <v>2283</v>
      </c>
      <c r="B1347" s="6">
        <v>44927</v>
      </c>
      <c r="C1347" s="6" t="str">
        <f t="shared" ref="C1347:C1410" si="63">TEXT(B1347,"MMM")</f>
        <v>Jan</v>
      </c>
      <c r="D1347" t="s">
        <v>700</v>
      </c>
      <c r="E1347" t="s">
        <v>26</v>
      </c>
      <c r="F1347" t="s">
        <v>214</v>
      </c>
      <c r="G1347">
        <v>4</v>
      </c>
      <c r="H1347" s="7">
        <v>263.26</v>
      </c>
      <c r="I1347" t="s">
        <v>19</v>
      </c>
      <c r="J1347" t="s">
        <v>72</v>
      </c>
      <c r="K1347">
        <v>0</v>
      </c>
      <c r="L1347" s="7">
        <f t="shared" ref="L1347:L1410" si="64">G1347*H1347</f>
        <v>1053.04</v>
      </c>
      <c r="M1347" s="7"/>
      <c r="O1347">
        <f t="shared" si="62"/>
        <v>2</v>
      </c>
      <c r="Q1347" t="s">
        <v>19</v>
      </c>
    </row>
    <row r="1348" spans="1:17" x14ac:dyDescent="0.3">
      <c r="A1348" t="s">
        <v>2284</v>
      </c>
      <c r="B1348" s="6">
        <v>45175</v>
      </c>
      <c r="C1348" s="6" t="str">
        <f t="shared" si="63"/>
        <v>Sep</v>
      </c>
      <c r="D1348" t="s">
        <v>1271</v>
      </c>
      <c r="E1348" t="s">
        <v>26</v>
      </c>
      <c r="F1348" t="s">
        <v>20</v>
      </c>
      <c r="G1348">
        <v>4</v>
      </c>
      <c r="H1348" s="7">
        <v>110.54</v>
      </c>
      <c r="I1348" t="s">
        <v>103</v>
      </c>
      <c r="J1348" t="s">
        <v>28</v>
      </c>
      <c r="K1348">
        <v>10</v>
      </c>
      <c r="L1348" s="7">
        <f t="shared" si="64"/>
        <v>442.16</v>
      </c>
      <c r="M1348" s="7"/>
      <c r="O1348">
        <f t="shared" ref="O1348:O1411" si="65">IF(L1348&gt;3500,5,IF(L1348&gt;3000,4,IF(L1348&gt;2500,3,IF(L1348&gt;2000,2,IF(L1348&gt;1000,2,2)))))</f>
        <v>2</v>
      </c>
      <c r="Q1348" t="s">
        <v>104</v>
      </c>
    </row>
    <row r="1349" spans="1:17" x14ac:dyDescent="0.3">
      <c r="A1349" t="s">
        <v>2285</v>
      </c>
      <c r="B1349" s="6">
        <v>45095</v>
      </c>
      <c r="C1349" s="6" t="str">
        <f t="shared" si="63"/>
        <v>Jun</v>
      </c>
      <c r="D1349" t="s">
        <v>207</v>
      </c>
      <c r="E1349" t="s">
        <v>26</v>
      </c>
      <c r="F1349" t="s">
        <v>406</v>
      </c>
      <c r="G1349">
        <v>2</v>
      </c>
      <c r="H1349" s="7">
        <v>391.96</v>
      </c>
      <c r="I1349" t="s">
        <v>46</v>
      </c>
      <c r="J1349" t="s">
        <v>28</v>
      </c>
      <c r="K1349">
        <v>20</v>
      </c>
      <c r="L1349" s="7">
        <f t="shared" si="64"/>
        <v>783.92</v>
      </c>
      <c r="M1349" s="7"/>
      <c r="O1349">
        <f t="shared" si="65"/>
        <v>2</v>
      </c>
      <c r="Q1349" t="s">
        <v>47</v>
      </c>
    </row>
    <row r="1350" spans="1:17" x14ac:dyDescent="0.3">
      <c r="A1350" t="s">
        <v>2286</v>
      </c>
      <c r="B1350" s="6">
        <v>44991</v>
      </c>
      <c r="C1350" s="6" t="str">
        <f t="shared" si="63"/>
        <v>Mar</v>
      </c>
      <c r="D1350" t="s">
        <v>1958</v>
      </c>
      <c r="E1350" t="s">
        <v>36</v>
      </c>
      <c r="F1350" t="s">
        <v>1325</v>
      </c>
      <c r="G1350">
        <v>4</v>
      </c>
      <c r="H1350" s="7">
        <v>105.86</v>
      </c>
      <c r="I1350" t="s">
        <v>64</v>
      </c>
      <c r="J1350" t="s">
        <v>28</v>
      </c>
      <c r="K1350">
        <v>10</v>
      </c>
      <c r="L1350" s="7">
        <f t="shared" si="64"/>
        <v>423.44</v>
      </c>
      <c r="M1350" s="7"/>
      <c r="O1350">
        <f t="shared" si="65"/>
        <v>2</v>
      </c>
      <c r="Q1350" t="s">
        <v>65</v>
      </c>
    </row>
    <row r="1351" spans="1:17" x14ac:dyDescent="0.3">
      <c r="A1351" t="s">
        <v>2287</v>
      </c>
      <c r="B1351" s="6">
        <v>44929</v>
      </c>
      <c r="C1351" s="6" t="str">
        <f t="shared" si="63"/>
        <v>Jan</v>
      </c>
      <c r="D1351" t="s">
        <v>150</v>
      </c>
      <c r="E1351" t="s">
        <v>31</v>
      </c>
      <c r="F1351" t="s">
        <v>224</v>
      </c>
      <c r="G1351">
        <v>1</v>
      </c>
      <c r="H1351" s="7">
        <v>134.03</v>
      </c>
      <c r="I1351" t="s">
        <v>46</v>
      </c>
      <c r="J1351" t="s">
        <v>19</v>
      </c>
      <c r="K1351">
        <v>10</v>
      </c>
      <c r="L1351" s="7">
        <f t="shared" si="64"/>
        <v>134.03</v>
      </c>
      <c r="M1351" s="7"/>
      <c r="O1351">
        <f t="shared" si="65"/>
        <v>2</v>
      </c>
      <c r="Q1351" t="s">
        <v>47</v>
      </c>
    </row>
    <row r="1352" spans="1:17" x14ac:dyDescent="0.3">
      <c r="A1352" t="s">
        <v>2288</v>
      </c>
      <c r="B1352" s="6">
        <v>45245</v>
      </c>
      <c r="C1352" s="6" t="str">
        <f t="shared" si="63"/>
        <v>Nov</v>
      </c>
      <c r="D1352" t="s">
        <v>742</v>
      </c>
      <c r="E1352" t="s">
        <v>62</v>
      </c>
      <c r="F1352" t="s">
        <v>586</v>
      </c>
      <c r="G1352">
        <v>6</v>
      </c>
      <c r="H1352" s="7">
        <v>50.8</v>
      </c>
      <c r="I1352" t="s">
        <v>19</v>
      </c>
      <c r="J1352" t="s">
        <v>72</v>
      </c>
      <c r="K1352">
        <v>5</v>
      </c>
      <c r="L1352" s="7">
        <f t="shared" si="64"/>
        <v>304.79999999999995</v>
      </c>
      <c r="M1352" s="7"/>
      <c r="O1352">
        <f t="shared" si="65"/>
        <v>2</v>
      </c>
      <c r="Q1352" t="s">
        <v>19</v>
      </c>
    </row>
    <row r="1353" spans="1:17" x14ac:dyDescent="0.3">
      <c r="A1353" t="s">
        <v>2289</v>
      </c>
      <c r="B1353" s="6">
        <v>45144</v>
      </c>
      <c r="C1353" s="6" t="str">
        <f t="shared" si="63"/>
        <v>Aug</v>
      </c>
      <c r="D1353" t="s">
        <v>1219</v>
      </c>
      <c r="E1353" t="s">
        <v>19</v>
      </c>
      <c r="F1353" t="s">
        <v>81</v>
      </c>
      <c r="G1353">
        <v>1</v>
      </c>
      <c r="H1353" s="7">
        <v>202.72</v>
      </c>
      <c r="I1353" t="s">
        <v>64</v>
      </c>
      <c r="J1353" t="s">
        <v>19</v>
      </c>
      <c r="K1353">
        <v>10</v>
      </c>
      <c r="L1353" s="7">
        <f t="shared" si="64"/>
        <v>202.72</v>
      </c>
      <c r="M1353" s="7"/>
      <c r="O1353">
        <f t="shared" si="65"/>
        <v>2</v>
      </c>
      <c r="Q1353" t="s">
        <v>65</v>
      </c>
    </row>
    <row r="1354" spans="1:17" x14ac:dyDescent="0.3">
      <c r="A1354" t="s">
        <v>2290</v>
      </c>
      <c r="B1354" s="6">
        <v>45206</v>
      </c>
      <c r="C1354" s="6" t="str">
        <f t="shared" si="63"/>
        <v>Oct</v>
      </c>
      <c r="D1354" t="s">
        <v>682</v>
      </c>
      <c r="E1354" t="s">
        <v>40</v>
      </c>
      <c r="F1354" t="s">
        <v>520</v>
      </c>
      <c r="G1354">
        <v>6</v>
      </c>
      <c r="H1354" s="7">
        <v>212.37</v>
      </c>
      <c r="I1354" t="s">
        <v>103</v>
      </c>
      <c r="J1354" t="s">
        <v>42</v>
      </c>
      <c r="K1354">
        <v>10</v>
      </c>
      <c r="L1354" s="7">
        <f t="shared" si="64"/>
        <v>1274.22</v>
      </c>
      <c r="M1354" s="7"/>
      <c r="O1354">
        <f t="shared" si="65"/>
        <v>2</v>
      </c>
      <c r="Q1354" t="s">
        <v>104</v>
      </c>
    </row>
    <row r="1355" spans="1:17" x14ac:dyDescent="0.3">
      <c r="A1355" t="s">
        <v>2291</v>
      </c>
      <c r="B1355" s="6">
        <v>45137</v>
      </c>
      <c r="C1355" s="6" t="str">
        <f t="shared" si="63"/>
        <v>Jul</v>
      </c>
      <c r="D1355" t="s">
        <v>541</v>
      </c>
      <c r="E1355" t="s">
        <v>50</v>
      </c>
      <c r="F1355" t="s">
        <v>217</v>
      </c>
      <c r="G1355">
        <v>1</v>
      </c>
      <c r="H1355" s="7">
        <v>259.70999999999998</v>
      </c>
      <c r="I1355" t="s">
        <v>103</v>
      </c>
      <c r="J1355" t="s">
        <v>87</v>
      </c>
      <c r="K1355">
        <v>15</v>
      </c>
      <c r="L1355" s="7">
        <f t="shared" si="64"/>
        <v>259.70999999999998</v>
      </c>
      <c r="M1355" s="7"/>
      <c r="O1355">
        <f t="shared" si="65"/>
        <v>2</v>
      </c>
      <c r="Q1355" t="s">
        <v>104</v>
      </c>
    </row>
    <row r="1356" spans="1:17" x14ac:dyDescent="0.3">
      <c r="A1356" t="s">
        <v>2292</v>
      </c>
      <c r="B1356" s="6">
        <v>45073</v>
      </c>
      <c r="C1356" s="6" t="str">
        <f t="shared" si="63"/>
        <v>May</v>
      </c>
      <c r="D1356" t="s">
        <v>535</v>
      </c>
      <c r="E1356" t="s">
        <v>40</v>
      </c>
      <c r="F1356" t="s">
        <v>356</v>
      </c>
      <c r="G1356">
        <v>6</v>
      </c>
      <c r="H1356" s="7">
        <v>355.94</v>
      </c>
      <c r="I1356" t="s">
        <v>19</v>
      </c>
      <c r="J1356" t="s">
        <v>42</v>
      </c>
      <c r="K1356">
        <v>10</v>
      </c>
      <c r="L1356" s="7">
        <f t="shared" si="64"/>
        <v>2135.64</v>
      </c>
      <c r="M1356" s="7"/>
      <c r="O1356">
        <f t="shared" si="65"/>
        <v>2</v>
      </c>
      <c r="Q1356" t="s">
        <v>19</v>
      </c>
    </row>
    <row r="1357" spans="1:17" x14ac:dyDescent="0.3">
      <c r="A1357" t="s">
        <v>2293</v>
      </c>
      <c r="B1357" s="6">
        <v>45013</v>
      </c>
      <c r="C1357" s="6" t="str">
        <f t="shared" si="63"/>
        <v>Mar</v>
      </c>
      <c r="D1357" t="s">
        <v>391</v>
      </c>
      <c r="E1357" t="s">
        <v>19</v>
      </c>
      <c r="F1357" t="s">
        <v>347</v>
      </c>
      <c r="G1357">
        <v>8</v>
      </c>
      <c r="H1357" s="7">
        <v>453.52</v>
      </c>
      <c r="I1357" t="s">
        <v>19</v>
      </c>
      <c r="J1357" t="s">
        <v>19</v>
      </c>
      <c r="K1357">
        <v>10</v>
      </c>
      <c r="L1357" s="7">
        <f t="shared" si="64"/>
        <v>3628.16</v>
      </c>
      <c r="M1357" s="7"/>
      <c r="O1357">
        <f t="shared" si="65"/>
        <v>5</v>
      </c>
      <c r="Q1357" t="s">
        <v>19</v>
      </c>
    </row>
    <row r="1358" spans="1:17" x14ac:dyDescent="0.3">
      <c r="A1358" t="s">
        <v>2294</v>
      </c>
      <c r="B1358" s="6">
        <v>45187</v>
      </c>
      <c r="C1358" s="6" t="str">
        <f t="shared" si="63"/>
        <v>Sep</v>
      </c>
      <c r="D1358" t="s">
        <v>858</v>
      </c>
      <c r="E1358" t="s">
        <v>40</v>
      </c>
      <c r="F1358" t="s">
        <v>347</v>
      </c>
      <c r="G1358">
        <v>2</v>
      </c>
      <c r="H1358" s="7">
        <v>73.180000000000007</v>
      </c>
      <c r="I1358" t="s">
        <v>32</v>
      </c>
      <c r="J1358" t="s">
        <v>19</v>
      </c>
      <c r="K1358">
        <v>10</v>
      </c>
      <c r="L1358" s="7">
        <f t="shared" si="64"/>
        <v>146.36000000000001</v>
      </c>
      <c r="M1358" s="7"/>
      <c r="O1358">
        <f t="shared" si="65"/>
        <v>2</v>
      </c>
      <c r="Q1358" t="s">
        <v>33</v>
      </c>
    </row>
    <row r="1359" spans="1:17" x14ac:dyDescent="0.3">
      <c r="A1359" t="s">
        <v>2295</v>
      </c>
      <c r="B1359" s="6">
        <v>44947</v>
      </c>
      <c r="C1359" s="6" t="str">
        <f t="shared" si="63"/>
        <v>Jan</v>
      </c>
      <c r="D1359" t="s">
        <v>262</v>
      </c>
      <c r="E1359" t="s">
        <v>19</v>
      </c>
      <c r="F1359" t="s">
        <v>511</v>
      </c>
      <c r="G1359">
        <v>2</v>
      </c>
      <c r="H1359" s="7">
        <v>31.9</v>
      </c>
      <c r="I1359" t="s">
        <v>103</v>
      </c>
      <c r="J1359" t="s">
        <v>19</v>
      </c>
      <c r="K1359">
        <v>10</v>
      </c>
      <c r="L1359" s="7">
        <f t="shared" si="64"/>
        <v>63.8</v>
      </c>
      <c r="M1359" s="7"/>
      <c r="O1359">
        <f t="shared" si="65"/>
        <v>2</v>
      </c>
      <c r="Q1359" t="s">
        <v>104</v>
      </c>
    </row>
    <row r="1360" spans="1:17" x14ac:dyDescent="0.3">
      <c r="A1360" t="s">
        <v>2296</v>
      </c>
      <c r="B1360" s="6">
        <v>44996</v>
      </c>
      <c r="C1360" s="6" t="str">
        <f t="shared" si="63"/>
        <v>Mar</v>
      </c>
      <c r="D1360" t="s">
        <v>725</v>
      </c>
      <c r="E1360" t="s">
        <v>31</v>
      </c>
      <c r="F1360" t="s">
        <v>1085</v>
      </c>
      <c r="G1360">
        <v>4</v>
      </c>
      <c r="H1360" s="7">
        <v>14.17</v>
      </c>
      <c r="I1360" t="s">
        <v>46</v>
      </c>
      <c r="J1360" t="s">
        <v>42</v>
      </c>
      <c r="K1360">
        <v>0</v>
      </c>
      <c r="L1360" s="7">
        <f t="shared" si="64"/>
        <v>56.68</v>
      </c>
      <c r="M1360" s="7"/>
      <c r="O1360">
        <f t="shared" si="65"/>
        <v>2</v>
      </c>
      <c r="Q1360" t="s">
        <v>47</v>
      </c>
    </row>
    <row r="1361" spans="1:17" x14ac:dyDescent="0.3">
      <c r="A1361" t="s">
        <v>2297</v>
      </c>
      <c r="B1361" s="6">
        <v>45179</v>
      </c>
      <c r="C1361" s="6" t="str">
        <f t="shared" si="63"/>
        <v>Sep</v>
      </c>
      <c r="D1361" t="s">
        <v>207</v>
      </c>
      <c r="E1361" t="s">
        <v>26</v>
      </c>
      <c r="F1361" t="s">
        <v>128</v>
      </c>
      <c r="G1361">
        <v>3</v>
      </c>
      <c r="H1361" s="7">
        <v>76.09</v>
      </c>
      <c r="I1361" t="s">
        <v>64</v>
      </c>
      <c r="J1361" t="s">
        <v>22</v>
      </c>
      <c r="K1361">
        <v>0</v>
      </c>
      <c r="L1361" s="7">
        <f t="shared" si="64"/>
        <v>228.27</v>
      </c>
      <c r="M1361" s="7"/>
      <c r="O1361">
        <f t="shared" si="65"/>
        <v>2</v>
      </c>
      <c r="Q1361" t="s">
        <v>65</v>
      </c>
    </row>
    <row r="1362" spans="1:17" x14ac:dyDescent="0.3">
      <c r="A1362" t="s">
        <v>2298</v>
      </c>
      <c r="B1362" s="6">
        <v>44950</v>
      </c>
      <c r="C1362" s="6" t="str">
        <f t="shared" si="63"/>
        <v>Jan</v>
      </c>
      <c r="D1362" t="s">
        <v>324</v>
      </c>
      <c r="E1362" t="s">
        <v>26</v>
      </c>
      <c r="F1362" t="s">
        <v>193</v>
      </c>
      <c r="G1362">
        <v>4</v>
      </c>
      <c r="H1362" s="7">
        <v>330.68</v>
      </c>
      <c r="I1362" t="s">
        <v>64</v>
      </c>
      <c r="J1362" t="s">
        <v>28</v>
      </c>
      <c r="K1362">
        <v>10</v>
      </c>
      <c r="L1362" s="7">
        <f t="shared" si="64"/>
        <v>1322.72</v>
      </c>
      <c r="M1362" s="7"/>
      <c r="O1362">
        <f t="shared" si="65"/>
        <v>2</v>
      </c>
      <c r="Q1362" t="s">
        <v>65</v>
      </c>
    </row>
    <row r="1363" spans="1:17" x14ac:dyDescent="0.3">
      <c r="A1363" t="s">
        <v>2299</v>
      </c>
      <c r="B1363" s="6">
        <v>44980</v>
      </c>
      <c r="C1363" s="6" t="str">
        <f t="shared" si="63"/>
        <v>Feb</v>
      </c>
      <c r="D1363" t="s">
        <v>1293</v>
      </c>
      <c r="E1363" t="s">
        <v>19</v>
      </c>
      <c r="F1363" t="s">
        <v>224</v>
      </c>
      <c r="G1363">
        <v>7</v>
      </c>
      <c r="H1363" s="7">
        <v>365.1</v>
      </c>
      <c r="I1363" t="s">
        <v>103</v>
      </c>
      <c r="J1363" t="s">
        <v>19</v>
      </c>
      <c r="K1363">
        <v>10</v>
      </c>
      <c r="L1363" s="7">
        <f t="shared" si="64"/>
        <v>2555.7000000000003</v>
      </c>
      <c r="M1363" s="7"/>
      <c r="O1363">
        <f t="shared" si="65"/>
        <v>3</v>
      </c>
      <c r="Q1363" t="s">
        <v>104</v>
      </c>
    </row>
    <row r="1364" spans="1:17" x14ac:dyDescent="0.3">
      <c r="A1364" t="s">
        <v>2300</v>
      </c>
      <c r="B1364" s="6">
        <v>45244</v>
      </c>
      <c r="C1364" s="6" t="str">
        <f t="shared" si="63"/>
        <v>Nov</v>
      </c>
      <c r="D1364" t="s">
        <v>751</v>
      </c>
      <c r="E1364" t="s">
        <v>26</v>
      </c>
      <c r="F1364" t="s">
        <v>375</v>
      </c>
      <c r="G1364">
        <v>1</v>
      </c>
      <c r="H1364" s="7">
        <v>394.32</v>
      </c>
      <c r="I1364" t="s">
        <v>32</v>
      </c>
      <c r="J1364" t="s">
        <v>19</v>
      </c>
      <c r="K1364">
        <v>5</v>
      </c>
      <c r="L1364" s="7">
        <f t="shared" si="64"/>
        <v>394.32</v>
      </c>
      <c r="M1364" s="7"/>
      <c r="O1364">
        <f t="shared" si="65"/>
        <v>2</v>
      </c>
      <c r="Q1364" t="s">
        <v>33</v>
      </c>
    </row>
    <row r="1365" spans="1:17" x14ac:dyDescent="0.3">
      <c r="A1365" t="s">
        <v>2301</v>
      </c>
      <c r="B1365" s="6">
        <v>45155</v>
      </c>
      <c r="C1365" s="6" t="str">
        <f t="shared" si="63"/>
        <v>Aug</v>
      </c>
      <c r="D1365" t="s">
        <v>253</v>
      </c>
      <c r="E1365" t="s">
        <v>40</v>
      </c>
      <c r="F1365" t="s">
        <v>389</v>
      </c>
      <c r="G1365">
        <v>6</v>
      </c>
      <c r="H1365" s="7">
        <v>125.64</v>
      </c>
      <c r="I1365" t="s">
        <v>21</v>
      </c>
      <c r="J1365" t="s">
        <v>42</v>
      </c>
      <c r="K1365">
        <v>0</v>
      </c>
      <c r="L1365" s="7">
        <f t="shared" si="64"/>
        <v>753.84</v>
      </c>
      <c r="M1365" s="7"/>
      <c r="O1365">
        <f t="shared" si="65"/>
        <v>2</v>
      </c>
      <c r="Q1365" t="s">
        <v>23</v>
      </c>
    </row>
    <row r="1366" spans="1:17" x14ac:dyDescent="0.3">
      <c r="A1366" t="s">
        <v>2302</v>
      </c>
      <c r="B1366" s="6">
        <v>45227</v>
      </c>
      <c r="C1366" s="6" t="str">
        <f t="shared" si="63"/>
        <v>Oct</v>
      </c>
      <c r="D1366" t="s">
        <v>1056</v>
      </c>
      <c r="E1366" t="s">
        <v>19</v>
      </c>
      <c r="F1366" t="s">
        <v>148</v>
      </c>
      <c r="G1366">
        <v>3</v>
      </c>
      <c r="H1366" s="7">
        <v>156.41999999999999</v>
      </c>
      <c r="I1366" t="s">
        <v>64</v>
      </c>
      <c r="J1366" t="s">
        <v>42</v>
      </c>
      <c r="K1366">
        <v>15</v>
      </c>
      <c r="L1366" s="7">
        <f t="shared" si="64"/>
        <v>469.26</v>
      </c>
      <c r="M1366" s="7"/>
      <c r="O1366">
        <f t="shared" si="65"/>
        <v>2</v>
      </c>
      <c r="Q1366" t="s">
        <v>65</v>
      </c>
    </row>
    <row r="1367" spans="1:17" x14ac:dyDescent="0.3">
      <c r="A1367" t="s">
        <v>2303</v>
      </c>
      <c r="B1367" s="6">
        <v>45028</v>
      </c>
      <c r="C1367" s="6" t="str">
        <f t="shared" si="63"/>
        <v>Apr</v>
      </c>
      <c r="D1367" t="s">
        <v>1017</v>
      </c>
      <c r="E1367" t="s">
        <v>19</v>
      </c>
      <c r="F1367" t="s">
        <v>722</v>
      </c>
      <c r="G1367">
        <v>5</v>
      </c>
      <c r="H1367" s="7">
        <v>244.15</v>
      </c>
      <c r="I1367" t="s">
        <v>32</v>
      </c>
      <c r="J1367" t="s">
        <v>22</v>
      </c>
      <c r="K1367">
        <v>10</v>
      </c>
      <c r="L1367" s="7">
        <f t="shared" si="64"/>
        <v>1220.75</v>
      </c>
      <c r="M1367" s="7"/>
      <c r="O1367">
        <f t="shared" si="65"/>
        <v>2</v>
      </c>
      <c r="Q1367" t="s">
        <v>33</v>
      </c>
    </row>
    <row r="1368" spans="1:17" x14ac:dyDescent="0.3">
      <c r="A1368" t="s">
        <v>2304</v>
      </c>
      <c r="B1368" s="6">
        <v>45070</v>
      </c>
      <c r="C1368" s="6" t="str">
        <f t="shared" si="63"/>
        <v>May</v>
      </c>
      <c r="D1368" t="s">
        <v>2274</v>
      </c>
      <c r="E1368" t="s">
        <v>31</v>
      </c>
      <c r="F1368" t="s">
        <v>514</v>
      </c>
      <c r="G1368">
        <v>2</v>
      </c>
      <c r="H1368" s="7">
        <v>36.28</v>
      </c>
      <c r="I1368" t="s">
        <v>21</v>
      </c>
      <c r="J1368" t="s">
        <v>42</v>
      </c>
      <c r="K1368">
        <v>15</v>
      </c>
      <c r="L1368" s="7">
        <f t="shared" si="64"/>
        <v>72.56</v>
      </c>
      <c r="M1368" s="7"/>
      <c r="O1368">
        <f t="shared" si="65"/>
        <v>2</v>
      </c>
      <c r="Q1368" t="s">
        <v>23</v>
      </c>
    </row>
    <row r="1369" spans="1:17" x14ac:dyDescent="0.3">
      <c r="A1369" t="s">
        <v>2305</v>
      </c>
      <c r="B1369" s="6">
        <v>45260</v>
      </c>
      <c r="C1369" s="6" t="str">
        <f t="shared" si="63"/>
        <v>Nov</v>
      </c>
      <c r="D1369" t="s">
        <v>648</v>
      </c>
      <c r="E1369" t="s">
        <v>36</v>
      </c>
      <c r="F1369" t="s">
        <v>205</v>
      </c>
      <c r="G1369">
        <v>2</v>
      </c>
      <c r="H1369" s="7">
        <v>307.52</v>
      </c>
      <c r="I1369" t="s">
        <v>64</v>
      </c>
      <c r="J1369" t="s">
        <v>42</v>
      </c>
      <c r="K1369">
        <v>10</v>
      </c>
      <c r="L1369" s="7">
        <f t="shared" si="64"/>
        <v>615.04</v>
      </c>
      <c r="M1369" s="7"/>
      <c r="O1369">
        <f t="shared" si="65"/>
        <v>2</v>
      </c>
      <c r="Q1369" t="s">
        <v>65</v>
      </c>
    </row>
    <row r="1370" spans="1:17" x14ac:dyDescent="0.3">
      <c r="A1370" t="s">
        <v>2306</v>
      </c>
      <c r="B1370" s="6">
        <v>44958</v>
      </c>
      <c r="C1370" s="6" t="str">
        <f t="shared" si="63"/>
        <v>Feb</v>
      </c>
      <c r="D1370" t="s">
        <v>717</v>
      </c>
      <c r="E1370" t="s">
        <v>19</v>
      </c>
      <c r="F1370" t="s">
        <v>423</v>
      </c>
      <c r="G1370">
        <v>4</v>
      </c>
      <c r="H1370" s="7">
        <v>491.95</v>
      </c>
      <c r="I1370" t="s">
        <v>32</v>
      </c>
      <c r="J1370" t="s">
        <v>87</v>
      </c>
      <c r="K1370">
        <v>15</v>
      </c>
      <c r="L1370" s="7">
        <f t="shared" si="64"/>
        <v>1967.8</v>
      </c>
      <c r="M1370" s="7"/>
      <c r="O1370">
        <f t="shared" si="65"/>
        <v>2</v>
      </c>
      <c r="Q1370" t="s">
        <v>33</v>
      </c>
    </row>
    <row r="1371" spans="1:17" x14ac:dyDescent="0.3">
      <c r="A1371" t="s">
        <v>2307</v>
      </c>
      <c r="B1371" s="6">
        <v>45180</v>
      </c>
      <c r="C1371" s="6" t="str">
        <f t="shared" si="63"/>
        <v>Sep</v>
      </c>
      <c r="D1371" t="s">
        <v>760</v>
      </c>
      <c r="E1371" t="s">
        <v>19</v>
      </c>
      <c r="F1371" t="s">
        <v>800</v>
      </c>
      <c r="G1371">
        <v>1</v>
      </c>
      <c r="H1371" s="7">
        <v>183.6</v>
      </c>
      <c r="I1371" t="s">
        <v>103</v>
      </c>
      <c r="J1371" t="s">
        <v>22</v>
      </c>
      <c r="K1371">
        <v>20</v>
      </c>
      <c r="L1371" s="7">
        <f t="shared" si="64"/>
        <v>183.6</v>
      </c>
      <c r="M1371" s="7"/>
      <c r="O1371">
        <f t="shared" si="65"/>
        <v>2</v>
      </c>
      <c r="Q1371" t="s">
        <v>104</v>
      </c>
    </row>
    <row r="1372" spans="1:17" x14ac:dyDescent="0.3">
      <c r="A1372" t="s">
        <v>2308</v>
      </c>
      <c r="B1372" s="6">
        <v>45289</v>
      </c>
      <c r="C1372" s="6" t="str">
        <f t="shared" si="63"/>
        <v>Dec</v>
      </c>
      <c r="D1372" t="s">
        <v>1323</v>
      </c>
      <c r="E1372" t="s">
        <v>40</v>
      </c>
      <c r="F1372" t="s">
        <v>270</v>
      </c>
      <c r="G1372">
        <v>3</v>
      </c>
      <c r="H1372" s="7">
        <v>377.66</v>
      </c>
      <c r="I1372" t="s">
        <v>19</v>
      </c>
      <c r="J1372" t="s">
        <v>19</v>
      </c>
      <c r="K1372">
        <v>15</v>
      </c>
      <c r="L1372" s="7">
        <f t="shared" si="64"/>
        <v>1132.98</v>
      </c>
      <c r="M1372" s="7"/>
      <c r="O1372">
        <f t="shared" si="65"/>
        <v>2</v>
      </c>
      <c r="Q1372" t="s">
        <v>19</v>
      </c>
    </row>
    <row r="1373" spans="1:17" x14ac:dyDescent="0.3">
      <c r="A1373" t="s">
        <v>2309</v>
      </c>
      <c r="B1373" s="6">
        <v>44980</v>
      </c>
      <c r="C1373" s="6" t="str">
        <f t="shared" si="63"/>
        <v>Feb</v>
      </c>
      <c r="D1373" t="s">
        <v>1705</v>
      </c>
      <c r="E1373" t="s">
        <v>40</v>
      </c>
      <c r="F1373" t="s">
        <v>665</v>
      </c>
      <c r="G1373">
        <v>9</v>
      </c>
      <c r="H1373" s="7">
        <v>252.52</v>
      </c>
      <c r="I1373" t="s">
        <v>32</v>
      </c>
      <c r="J1373" t="s">
        <v>19</v>
      </c>
      <c r="K1373">
        <v>0</v>
      </c>
      <c r="L1373" s="7">
        <f t="shared" si="64"/>
        <v>2272.6800000000003</v>
      </c>
      <c r="M1373" s="7"/>
      <c r="O1373">
        <f t="shared" si="65"/>
        <v>2</v>
      </c>
      <c r="Q1373" t="s">
        <v>33</v>
      </c>
    </row>
    <row r="1374" spans="1:17" x14ac:dyDescent="0.3">
      <c r="A1374" t="s">
        <v>2310</v>
      </c>
      <c r="B1374" s="6">
        <v>45072</v>
      </c>
      <c r="C1374" s="6" t="str">
        <f t="shared" si="63"/>
        <v>May</v>
      </c>
      <c r="D1374" t="s">
        <v>1131</v>
      </c>
      <c r="E1374" t="s">
        <v>36</v>
      </c>
      <c r="F1374" t="s">
        <v>409</v>
      </c>
      <c r="G1374">
        <v>7</v>
      </c>
      <c r="H1374" s="7">
        <v>68.27</v>
      </c>
      <c r="I1374" t="s">
        <v>46</v>
      </c>
      <c r="J1374" t="s">
        <v>87</v>
      </c>
      <c r="K1374">
        <v>10</v>
      </c>
      <c r="L1374" s="7">
        <f t="shared" si="64"/>
        <v>477.89</v>
      </c>
      <c r="M1374" s="7"/>
      <c r="O1374">
        <f t="shared" si="65"/>
        <v>2</v>
      </c>
      <c r="Q1374" t="s">
        <v>47</v>
      </c>
    </row>
    <row r="1375" spans="1:17" x14ac:dyDescent="0.3">
      <c r="A1375" t="s">
        <v>2311</v>
      </c>
      <c r="B1375" s="6">
        <v>45050</v>
      </c>
      <c r="C1375" s="6" t="str">
        <f t="shared" si="63"/>
        <v>May</v>
      </c>
      <c r="D1375" t="s">
        <v>1830</v>
      </c>
      <c r="E1375" t="s">
        <v>31</v>
      </c>
      <c r="F1375" t="s">
        <v>469</v>
      </c>
      <c r="G1375">
        <v>7</v>
      </c>
      <c r="H1375" s="7">
        <v>293.20999999999998</v>
      </c>
      <c r="I1375" t="s">
        <v>64</v>
      </c>
      <c r="J1375" t="s">
        <v>42</v>
      </c>
      <c r="K1375">
        <v>0</v>
      </c>
      <c r="L1375" s="7">
        <f t="shared" si="64"/>
        <v>2052.4699999999998</v>
      </c>
      <c r="M1375" s="7"/>
      <c r="O1375">
        <f t="shared" si="65"/>
        <v>2</v>
      </c>
      <c r="Q1375" t="s">
        <v>65</v>
      </c>
    </row>
    <row r="1376" spans="1:17" x14ac:dyDescent="0.3">
      <c r="A1376" t="s">
        <v>2312</v>
      </c>
      <c r="B1376" s="6">
        <v>44929</v>
      </c>
      <c r="C1376" s="6" t="str">
        <f t="shared" si="63"/>
        <v>Jan</v>
      </c>
      <c r="D1376" t="s">
        <v>1832</v>
      </c>
      <c r="E1376" t="s">
        <v>36</v>
      </c>
      <c r="F1376" t="s">
        <v>350</v>
      </c>
      <c r="G1376">
        <v>4</v>
      </c>
      <c r="H1376" s="7">
        <v>153.44</v>
      </c>
      <c r="I1376" t="s">
        <v>103</v>
      </c>
      <c r="J1376" t="s">
        <v>19</v>
      </c>
      <c r="K1376">
        <v>15</v>
      </c>
      <c r="L1376" s="7">
        <f t="shared" si="64"/>
        <v>613.76</v>
      </c>
      <c r="M1376" s="7"/>
      <c r="O1376">
        <f t="shared" si="65"/>
        <v>2</v>
      </c>
      <c r="Q1376" t="s">
        <v>104</v>
      </c>
    </row>
    <row r="1377" spans="1:17" x14ac:dyDescent="0.3">
      <c r="A1377" t="s">
        <v>2313</v>
      </c>
      <c r="B1377" s="6">
        <v>45139</v>
      </c>
      <c r="C1377" s="6" t="str">
        <f t="shared" si="63"/>
        <v>Aug</v>
      </c>
      <c r="D1377" t="s">
        <v>2314</v>
      </c>
      <c r="E1377" t="s">
        <v>26</v>
      </c>
      <c r="F1377" t="s">
        <v>556</v>
      </c>
      <c r="G1377">
        <v>2</v>
      </c>
      <c r="H1377" s="7">
        <v>22.03</v>
      </c>
      <c r="I1377" t="s">
        <v>32</v>
      </c>
      <c r="J1377" t="s">
        <v>22</v>
      </c>
      <c r="K1377">
        <v>10</v>
      </c>
      <c r="L1377" s="7">
        <f t="shared" si="64"/>
        <v>44.06</v>
      </c>
      <c r="M1377" s="7"/>
      <c r="O1377">
        <f t="shared" si="65"/>
        <v>2</v>
      </c>
      <c r="Q1377" t="s">
        <v>33</v>
      </c>
    </row>
    <row r="1378" spans="1:17" x14ac:dyDescent="0.3">
      <c r="A1378" t="s">
        <v>2315</v>
      </c>
      <c r="B1378" s="6">
        <v>44927</v>
      </c>
      <c r="C1378" s="6" t="str">
        <f t="shared" si="63"/>
        <v>Jan</v>
      </c>
      <c r="D1378" t="s">
        <v>1097</v>
      </c>
      <c r="E1378" t="s">
        <v>62</v>
      </c>
      <c r="F1378" t="s">
        <v>176</v>
      </c>
      <c r="G1378">
        <v>4</v>
      </c>
      <c r="H1378" s="7">
        <v>319.29000000000002</v>
      </c>
      <c r="I1378" t="s">
        <v>21</v>
      </c>
      <c r="J1378" t="s">
        <v>42</v>
      </c>
      <c r="K1378">
        <v>10</v>
      </c>
      <c r="L1378" s="7">
        <f t="shared" si="64"/>
        <v>1277.1600000000001</v>
      </c>
      <c r="M1378" s="7"/>
      <c r="O1378">
        <f t="shared" si="65"/>
        <v>2</v>
      </c>
      <c r="Q1378" t="s">
        <v>23</v>
      </c>
    </row>
    <row r="1379" spans="1:17" x14ac:dyDescent="0.3">
      <c r="A1379" t="s">
        <v>2316</v>
      </c>
      <c r="B1379" s="6">
        <v>45084</v>
      </c>
      <c r="C1379" s="6" t="str">
        <f t="shared" si="63"/>
        <v>Jun</v>
      </c>
      <c r="D1379" t="s">
        <v>1518</v>
      </c>
      <c r="E1379" t="s">
        <v>26</v>
      </c>
      <c r="F1379" t="s">
        <v>110</v>
      </c>
      <c r="G1379">
        <v>6</v>
      </c>
      <c r="H1379" s="7">
        <v>430.17</v>
      </c>
      <c r="I1379" t="s">
        <v>19</v>
      </c>
      <c r="J1379" t="s">
        <v>42</v>
      </c>
      <c r="K1379">
        <v>10</v>
      </c>
      <c r="L1379" s="7">
        <f t="shared" si="64"/>
        <v>2581.02</v>
      </c>
      <c r="M1379" s="7"/>
      <c r="O1379">
        <f t="shared" si="65"/>
        <v>3</v>
      </c>
      <c r="Q1379" t="s">
        <v>19</v>
      </c>
    </row>
    <row r="1380" spans="1:17" x14ac:dyDescent="0.3">
      <c r="A1380" t="s">
        <v>2317</v>
      </c>
      <c r="B1380" s="6">
        <v>45252</v>
      </c>
      <c r="C1380" s="6" t="str">
        <f t="shared" si="63"/>
        <v>Nov</v>
      </c>
      <c r="D1380" t="s">
        <v>1664</v>
      </c>
      <c r="E1380" t="s">
        <v>62</v>
      </c>
      <c r="F1380" t="s">
        <v>474</v>
      </c>
      <c r="G1380">
        <v>3</v>
      </c>
      <c r="H1380" s="7">
        <v>175.66</v>
      </c>
      <c r="I1380" t="s">
        <v>32</v>
      </c>
      <c r="J1380" t="s">
        <v>22</v>
      </c>
      <c r="K1380">
        <v>10</v>
      </c>
      <c r="L1380" s="7">
        <f t="shared" si="64"/>
        <v>526.98</v>
      </c>
      <c r="M1380" s="7"/>
      <c r="O1380">
        <f t="shared" si="65"/>
        <v>2</v>
      </c>
      <c r="Q1380" t="s">
        <v>33</v>
      </c>
    </row>
    <row r="1381" spans="1:17" x14ac:dyDescent="0.3">
      <c r="A1381" t="s">
        <v>2318</v>
      </c>
      <c r="B1381" s="6">
        <v>44979</v>
      </c>
      <c r="C1381" s="6" t="str">
        <f t="shared" si="63"/>
        <v>Feb</v>
      </c>
      <c r="D1381" t="s">
        <v>494</v>
      </c>
      <c r="E1381" t="s">
        <v>26</v>
      </c>
      <c r="F1381" t="s">
        <v>313</v>
      </c>
      <c r="G1381">
        <v>1</v>
      </c>
      <c r="H1381" s="7">
        <v>198.2</v>
      </c>
      <c r="I1381" t="s">
        <v>21</v>
      </c>
      <c r="J1381" t="s">
        <v>28</v>
      </c>
      <c r="K1381">
        <v>5</v>
      </c>
      <c r="L1381" s="7">
        <f t="shared" si="64"/>
        <v>198.2</v>
      </c>
      <c r="M1381" s="7"/>
      <c r="O1381">
        <f t="shared" si="65"/>
        <v>2</v>
      </c>
      <c r="Q1381" t="s">
        <v>23</v>
      </c>
    </row>
    <row r="1382" spans="1:17" x14ac:dyDescent="0.3">
      <c r="A1382" t="s">
        <v>2319</v>
      </c>
      <c r="B1382" s="6">
        <v>45092</v>
      </c>
      <c r="C1382" s="6" t="str">
        <f t="shared" si="63"/>
        <v>Jun</v>
      </c>
      <c r="D1382" t="s">
        <v>1104</v>
      </c>
      <c r="E1382" t="s">
        <v>31</v>
      </c>
      <c r="F1382" t="s">
        <v>469</v>
      </c>
      <c r="G1382">
        <v>8</v>
      </c>
      <c r="H1382" s="7">
        <v>446.06</v>
      </c>
      <c r="I1382" t="s">
        <v>21</v>
      </c>
      <c r="J1382" t="s">
        <v>72</v>
      </c>
      <c r="K1382">
        <v>20</v>
      </c>
      <c r="L1382" s="7">
        <f t="shared" si="64"/>
        <v>3568.48</v>
      </c>
      <c r="M1382" s="7"/>
      <c r="O1382">
        <f t="shared" si="65"/>
        <v>5</v>
      </c>
      <c r="Q1382" t="s">
        <v>23</v>
      </c>
    </row>
    <row r="1383" spans="1:17" x14ac:dyDescent="0.3">
      <c r="A1383" t="s">
        <v>2320</v>
      </c>
      <c r="B1383" s="6">
        <v>45177</v>
      </c>
      <c r="C1383" s="6" t="str">
        <f t="shared" si="63"/>
        <v>Sep</v>
      </c>
      <c r="D1383" t="s">
        <v>1199</v>
      </c>
      <c r="E1383" t="s">
        <v>26</v>
      </c>
      <c r="F1383" t="s">
        <v>125</v>
      </c>
      <c r="G1383">
        <v>5</v>
      </c>
      <c r="H1383" s="7">
        <v>407.74</v>
      </c>
      <c r="I1383" t="s">
        <v>32</v>
      </c>
      <c r="J1383" t="s">
        <v>42</v>
      </c>
      <c r="K1383">
        <v>15</v>
      </c>
      <c r="L1383" s="7">
        <f t="shared" si="64"/>
        <v>2038.7</v>
      </c>
      <c r="M1383" s="7"/>
      <c r="O1383">
        <f t="shared" si="65"/>
        <v>2</v>
      </c>
      <c r="Q1383" t="s">
        <v>33</v>
      </c>
    </row>
    <row r="1384" spans="1:17" x14ac:dyDescent="0.3">
      <c r="A1384" t="s">
        <v>2321</v>
      </c>
      <c r="B1384" s="6">
        <v>45284</v>
      </c>
      <c r="C1384" s="6" t="str">
        <f t="shared" si="63"/>
        <v>Dec</v>
      </c>
      <c r="D1384" t="s">
        <v>427</v>
      </c>
      <c r="E1384" t="s">
        <v>36</v>
      </c>
      <c r="F1384" t="s">
        <v>538</v>
      </c>
      <c r="G1384">
        <v>5</v>
      </c>
      <c r="H1384" s="7">
        <v>358.9</v>
      </c>
      <c r="I1384" t="s">
        <v>32</v>
      </c>
      <c r="J1384" t="s">
        <v>87</v>
      </c>
      <c r="K1384">
        <v>5</v>
      </c>
      <c r="L1384" s="7">
        <f t="shared" si="64"/>
        <v>1794.5</v>
      </c>
      <c r="M1384" s="7"/>
      <c r="O1384">
        <f t="shared" si="65"/>
        <v>2</v>
      </c>
      <c r="Q1384" t="s">
        <v>33</v>
      </c>
    </row>
    <row r="1385" spans="1:17" x14ac:dyDescent="0.3">
      <c r="A1385" t="s">
        <v>2322</v>
      </c>
      <c r="B1385" s="6">
        <v>44956</v>
      </c>
      <c r="C1385" s="6" t="str">
        <f t="shared" si="63"/>
        <v>Jan</v>
      </c>
      <c r="D1385" t="s">
        <v>2009</v>
      </c>
      <c r="E1385" t="s">
        <v>40</v>
      </c>
      <c r="F1385" t="s">
        <v>173</v>
      </c>
      <c r="G1385">
        <v>4</v>
      </c>
      <c r="H1385" s="7">
        <v>128.15</v>
      </c>
      <c r="I1385" t="s">
        <v>21</v>
      </c>
      <c r="J1385" t="s">
        <v>19</v>
      </c>
      <c r="K1385">
        <v>10</v>
      </c>
      <c r="L1385" s="7">
        <f t="shared" si="64"/>
        <v>512.6</v>
      </c>
      <c r="M1385" s="7"/>
      <c r="O1385">
        <f t="shared" si="65"/>
        <v>2</v>
      </c>
      <c r="Q1385" t="s">
        <v>23</v>
      </c>
    </row>
    <row r="1386" spans="1:17" x14ac:dyDescent="0.3">
      <c r="A1386" t="s">
        <v>2323</v>
      </c>
      <c r="B1386" s="6">
        <v>45282</v>
      </c>
      <c r="C1386" s="6" t="str">
        <f t="shared" si="63"/>
        <v>Dec</v>
      </c>
      <c r="D1386" t="s">
        <v>841</v>
      </c>
      <c r="E1386" t="s">
        <v>19</v>
      </c>
      <c r="F1386" t="s">
        <v>1568</v>
      </c>
      <c r="G1386">
        <v>5</v>
      </c>
      <c r="H1386" s="7">
        <v>455.56</v>
      </c>
      <c r="I1386" t="s">
        <v>21</v>
      </c>
      <c r="J1386" t="s">
        <v>42</v>
      </c>
      <c r="K1386">
        <v>15</v>
      </c>
      <c r="L1386" s="7">
        <f t="shared" si="64"/>
        <v>2277.8000000000002</v>
      </c>
      <c r="M1386" s="7"/>
      <c r="O1386">
        <f t="shared" si="65"/>
        <v>2</v>
      </c>
      <c r="Q1386" t="s">
        <v>23</v>
      </c>
    </row>
    <row r="1387" spans="1:17" x14ac:dyDescent="0.3">
      <c r="A1387" t="s">
        <v>2324</v>
      </c>
      <c r="B1387" s="6">
        <v>44976</v>
      </c>
      <c r="C1387" s="6" t="str">
        <f t="shared" si="63"/>
        <v>Feb</v>
      </c>
      <c r="D1387" t="s">
        <v>1838</v>
      </c>
      <c r="E1387" t="s">
        <v>50</v>
      </c>
      <c r="F1387" t="s">
        <v>102</v>
      </c>
      <c r="G1387">
        <v>3</v>
      </c>
      <c r="H1387" s="7">
        <v>81.44</v>
      </c>
      <c r="I1387" t="s">
        <v>19</v>
      </c>
      <c r="J1387" t="s">
        <v>87</v>
      </c>
      <c r="K1387">
        <v>5</v>
      </c>
      <c r="L1387" s="7">
        <f t="shared" si="64"/>
        <v>244.32</v>
      </c>
      <c r="M1387" s="7"/>
      <c r="O1387">
        <f t="shared" si="65"/>
        <v>2</v>
      </c>
      <c r="Q1387" t="s">
        <v>19</v>
      </c>
    </row>
    <row r="1388" spans="1:17" x14ac:dyDescent="0.3">
      <c r="A1388" t="s">
        <v>2325</v>
      </c>
      <c r="B1388" s="6">
        <v>45026</v>
      </c>
      <c r="C1388" s="6" t="str">
        <f t="shared" si="63"/>
        <v>Apr</v>
      </c>
      <c r="D1388" t="s">
        <v>1830</v>
      </c>
      <c r="E1388" t="s">
        <v>50</v>
      </c>
      <c r="F1388" t="s">
        <v>179</v>
      </c>
      <c r="G1388">
        <v>9</v>
      </c>
      <c r="H1388" s="7">
        <v>315.25</v>
      </c>
      <c r="I1388" t="s">
        <v>64</v>
      </c>
      <c r="J1388" t="s">
        <v>72</v>
      </c>
      <c r="K1388">
        <v>0</v>
      </c>
      <c r="L1388" s="7">
        <f t="shared" si="64"/>
        <v>2837.25</v>
      </c>
      <c r="M1388" s="7"/>
      <c r="O1388">
        <f t="shared" si="65"/>
        <v>3</v>
      </c>
      <c r="Q1388" t="s">
        <v>65</v>
      </c>
    </row>
    <row r="1389" spans="1:17" x14ac:dyDescent="0.3">
      <c r="A1389" t="s">
        <v>2326</v>
      </c>
      <c r="B1389" s="6">
        <v>45282</v>
      </c>
      <c r="C1389" s="6" t="str">
        <f t="shared" si="63"/>
        <v>Dec</v>
      </c>
      <c r="D1389" t="s">
        <v>2327</v>
      </c>
      <c r="E1389" t="s">
        <v>19</v>
      </c>
      <c r="F1389" t="s">
        <v>41</v>
      </c>
      <c r="G1389">
        <v>5</v>
      </c>
      <c r="H1389" s="7">
        <v>19.260000000000002</v>
      </c>
      <c r="I1389" t="s">
        <v>103</v>
      </c>
      <c r="J1389" t="s">
        <v>22</v>
      </c>
      <c r="K1389">
        <v>10</v>
      </c>
      <c r="L1389" s="7">
        <f t="shared" si="64"/>
        <v>96.300000000000011</v>
      </c>
      <c r="M1389" s="7"/>
      <c r="O1389">
        <f t="shared" si="65"/>
        <v>2</v>
      </c>
      <c r="Q1389" t="s">
        <v>104</v>
      </c>
    </row>
    <row r="1390" spans="1:17" x14ac:dyDescent="0.3">
      <c r="A1390" t="s">
        <v>2328</v>
      </c>
      <c r="B1390" s="6">
        <v>44950</v>
      </c>
      <c r="C1390" s="6" t="str">
        <f t="shared" si="63"/>
        <v>Jan</v>
      </c>
      <c r="D1390" t="s">
        <v>2329</v>
      </c>
      <c r="E1390" t="s">
        <v>19</v>
      </c>
      <c r="F1390" t="s">
        <v>128</v>
      </c>
      <c r="G1390">
        <v>3</v>
      </c>
      <c r="H1390" s="7">
        <v>323.64</v>
      </c>
      <c r="I1390" t="s">
        <v>32</v>
      </c>
      <c r="J1390" t="s">
        <v>42</v>
      </c>
      <c r="K1390">
        <v>5</v>
      </c>
      <c r="L1390" s="7">
        <f t="shared" si="64"/>
        <v>970.92</v>
      </c>
      <c r="M1390" s="7"/>
      <c r="O1390">
        <f t="shared" si="65"/>
        <v>2</v>
      </c>
      <c r="Q1390" t="s">
        <v>33</v>
      </c>
    </row>
    <row r="1391" spans="1:17" x14ac:dyDescent="0.3">
      <c r="A1391" t="s">
        <v>2330</v>
      </c>
      <c r="B1391" s="6">
        <v>45014</v>
      </c>
      <c r="C1391" s="6" t="str">
        <f t="shared" si="63"/>
        <v>Mar</v>
      </c>
      <c r="D1391" t="s">
        <v>1913</v>
      </c>
      <c r="E1391" t="s">
        <v>19</v>
      </c>
      <c r="F1391" t="s">
        <v>1038</v>
      </c>
      <c r="G1391">
        <v>1</v>
      </c>
      <c r="H1391" s="7">
        <v>142.19</v>
      </c>
      <c r="I1391" t="s">
        <v>32</v>
      </c>
      <c r="J1391" t="s">
        <v>72</v>
      </c>
      <c r="K1391">
        <v>10</v>
      </c>
      <c r="L1391" s="7">
        <f t="shared" si="64"/>
        <v>142.19</v>
      </c>
      <c r="M1391" s="7"/>
      <c r="O1391">
        <f t="shared" si="65"/>
        <v>2</v>
      </c>
      <c r="Q1391" t="s">
        <v>33</v>
      </c>
    </row>
    <row r="1392" spans="1:17" x14ac:dyDescent="0.3">
      <c r="A1392" t="s">
        <v>2331</v>
      </c>
      <c r="B1392" s="6">
        <v>45188</v>
      </c>
      <c r="C1392" s="6" t="str">
        <f t="shared" si="63"/>
        <v>Sep</v>
      </c>
      <c r="D1392" t="s">
        <v>579</v>
      </c>
      <c r="E1392" t="s">
        <v>26</v>
      </c>
      <c r="F1392" t="s">
        <v>45</v>
      </c>
      <c r="G1392">
        <v>6</v>
      </c>
      <c r="H1392" s="7">
        <v>252.16</v>
      </c>
      <c r="I1392" t="s">
        <v>21</v>
      </c>
      <c r="J1392" t="s">
        <v>19</v>
      </c>
      <c r="K1392">
        <v>0</v>
      </c>
      <c r="L1392" s="7">
        <f t="shared" si="64"/>
        <v>1512.96</v>
      </c>
      <c r="M1392" s="7"/>
      <c r="O1392">
        <f t="shared" si="65"/>
        <v>2</v>
      </c>
      <c r="Q1392" t="s">
        <v>23</v>
      </c>
    </row>
    <row r="1393" spans="1:17" x14ac:dyDescent="0.3">
      <c r="A1393" t="s">
        <v>2332</v>
      </c>
      <c r="B1393" s="6">
        <v>45208</v>
      </c>
      <c r="C1393" s="6" t="str">
        <f t="shared" si="63"/>
        <v>Oct</v>
      </c>
      <c r="D1393" t="s">
        <v>1442</v>
      </c>
      <c r="E1393" t="s">
        <v>31</v>
      </c>
      <c r="F1393" t="s">
        <v>41</v>
      </c>
      <c r="G1393">
        <v>5</v>
      </c>
      <c r="H1393" s="7">
        <v>175.91</v>
      </c>
      <c r="I1393" t="s">
        <v>32</v>
      </c>
      <c r="J1393" t="s">
        <v>19</v>
      </c>
      <c r="K1393">
        <v>10</v>
      </c>
      <c r="L1393" s="7">
        <f t="shared" si="64"/>
        <v>879.55</v>
      </c>
      <c r="M1393" s="7"/>
      <c r="O1393">
        <f t="shared" si="65"/>
        <v>2</v>
      </c>
      <c r="Q1393" t="s">
        <v>33</v>
      </c>
    </row>
    <row r="1394" spans="1:17" x14ac:dyDescent="0.3">
      <c r="A1394" t="s">
        <v>2333</v>
      </c>
      <c r="B1394" s="6">
        <v>45283</v>
      </c>
      <c r="C1394" s="6" t="str">
        <f t="shared" si="63"/>
        <v>Dec</v>
      </c>
      <c r="D1394" t="s">
        <v>195</v>
      </c>
      <c r="E1394" t="s">
        <v>31</v>
      </c>
      <c r="F1394" t="s">
        <v>913</v>
      </c>
      <c r="G1394">
        <v>3</v>
      </c>
      <c r="H1394" s="7">
        <v>90.51</v>
      </c>
      <c r="I1394" t="s">
        <v>21</v>
      </c>
      <c r="J1394" t="s">
        <v>28</v>
      </c>
      <c r="K1394">
        <v>20</v>
      </c>
      <c r="L1394" s="7">
        <f t="shared" si="64"/>
        <v>271.53000000000003</v>
      </c>
      <c r="M1394" s="7"/>
      <c r="O1394">
        <f t="shared" si="65"/>
        <v>2</v>
      </c>
      <c r="Q1394" t="s">
        <v>23</v>
      </c>
    </row>
    <row r="1395" spans="1:17" x14ac:dyDescent="0.3">
      <c r="A1395" t="s">
        <v>2334</v>
      </c>
      <c r="B1395" s="6">
        <v>45225</v>
      </c>
      <c r="C1395" s="6" t="str">
        <f t="shared" si="63"/>
        <v>Oct</v>
      </c>
      <c r="D1395" t="s">
        <v>987</v>
      </c>
      <c r="E1395" t="s">
        <v>36</v>
      </c>
      <c r="F1395" t="s">
        <v>353</v>
      </c>
      <c r="G1395">
        <v>1</v>
      </c>
      <c r="H1395" s="7">
        <v>312.88</v>
      </c>
      <c r="I1395" t="s">
        <v>46</v>
      </c>
      <c r="J1395" t="s">
        <v>28</v>
      </c>
      <c r="K1395">
        <v>10</v>
      </c>
      <c r="L1395" s="7">
        <f t="shared" si="64"/>
        <v>312.88</v>
      </c>
      <c r="M1395" s="7"/>
      <c r="O1395">
        <f t="shared" si="65"/>
        <v>2</v>
      </c>
      <c r="Q1395" t="s">
        <v>47</v>
      </c>
    </row>
    <row r="1396" spans="1:17" x14ac:dyDescent="0.3">
      <c r="A1396" t="s">
        <v>2335</v>
      </c>
      <c r="B1396" s="6">
        <v>45141</v>
      </c>
      <c r="C1396" s="6" t="str">
        <f t="shared" si="63"/>
        <v>Aug</v>
      </c>
      <c r="D1396" t="s">
        <v>2336</v>
      </c>
      <c r="E1396" t="s">
        <v>62</v>
      </c>
      <c r="F1396" t="s">
        <v>1146</v>
      </c>
      <c r="G1396">
        <v>9</v>
      </c>
      <c r="H1396" s="7">
        <v>441.58</v>
      </c>
      <c r="I1396" t="s">
        <v>19</v>
      </c>
      <c r="J1396" t="s">
        <v>42</v>
      </c>
      <c r="K1396">
        <v>10</v>
      </c>
      <c r="L1396" s="7">
        <f t="shared" si="64"/>
        <v>3974.22</v>
      </c>
      <c r="M1396" s="7"/>
      <c r="O1396">
        <f t="shared" si="65"/>
        <v>5</v>
      </c>
      <c r="Q1396" t="s">
        <v>19</v>
      </c>
    </row>
    <row r="1397" spans="1:17" x14ac:dyDescent="0.3">
      <c r="A1397" t="s">
        <v>2337</v>
      </c>
      <c r="B1397" s="6">
        <v>45280</v>
      </c>
      <c r="C1397" s="6" t="str">
        <f t="shared" si="63"/>
        <v>Dec</v>
      </c>
      <c r="D1397" t="s">
        <v>2338</v>
      </c>
      <c r="E1397" t="s">
        <v>26</v>
      </c>
      <c r="F1397" t="s">
        <v>1325</v>
      </c>
      <c r="G1397">
        <v>8</v>
      </c>
      <c r="H1397" s="7">
        <v>479.75</v>
      </c>
      <c r="I1397" t="s">
        <v>32</v>
      </c>
      <c r="J1397" t="s">
        <v>87</v>
      </c>
      <c r="K1397">
        <v>20</v>
      </c>
      <c r="L1397" s="7">
        <f t="shared" si="64"/>
        <v>3838</v>
      </c>
      <c r="M1397" s="7"/>
      <c r="O1397">
        <f t="shared" si="65"/>
        <v>5</v>
      </c>
      <c r="Q1397" t="s">
        <v>33</v>
      </c>
    </row>
    <row r="1398" spans="1:17" x14ac:dyDescent="0.3">
      <c r="A1398" t="s">
        <v>2339</v>
      </c>
      <c r="B1398" s="6">
        <v>45222</v>
      </c>
      <c r="C1398" s="6" t="str">
        <f t="shared" si="63"/>
        <v>Oct</v>
      </c>
      <c r="D1398" t="s">
        <v>2340</v>
      </c>
      <c r="E1398" t="s">
        <v>19</v>
      </c>
      <c r="F1398" t="s">
        <v>45</v>
      </c>
      <c r="G1398">
        <v>2</v>
      </c>
      <c r="H1398" s="7">
        <v>100.21</v>
      </c>
      <c r="I1398" t="s">
        <v>103</v>
      </c>
      <c r="J1398" t="s">
        <v>42</v>
      </c>
      <c r="K1398">
        <v>20</v>
      </c>
      <c r="L1398" s="7">
        <f t="shared" si="64"/>
        <v>200.42</v>
      </c>
      <c r="M1398" s="7"/>
      <c r="O1398">
        <f t="shared" si="65"/>
        <v>2</v>
      </c>
      <c r="Q1398" t="s">
        <v>104</v>
      </c>
    </row>
    <row r="1399" spans="1:17" x14ac:dyDescent="0.3">
      <c r="A1399" t="s">
        <v>2341</v>
      </c>
      <c r="B1399" s="6">
        <v>44948</v>
      </c>
      <c r="C1399" s="6" t="str">
        <f t="shared" si="63"/>
        <v>Jan</v>
      </c>
      <c r="D1399" t="s">
        <v>2342</v>
      </c>
      <c r="E1399" t="s">
        <v>19</v>
      </c>
      <c r="F1399" t="s">
        <v>246</v>
      </c>
      <c r="G1399">
        <v>8</v>
      </c>
      <c r="H1399" s="7">
        <v>360.1</v>
      </c>
      <c r="I1399" t="s">
        <v>46</v>
      </c>
      <c r="J1399" t="s">
        <v>19</v>
      </c>
      <c r="K1399">
        <v>20</v>
      </c>
      <c r="L1399" s="7">
        <f t="shared" si="64"/>
        <v>2880.8</v>
      </c>
      <c r="M1399" s="7"/>
      <c r="O1399">
        <f t="shared" si="65"/>
        <v>3</v>
      </c>
      <c r="Q1399" t="s">
        <v>47</v>
      </c>
    </row>
    <row r="1400" spans="1:17" x14ac:dyDescent="0.3">
      <c r="A1400" t="s">
        <v>2343</v>
      </c>
      <c r="B1400" s="6">
        <v>45074</v>
      </c>
      <c r="C1400" s="6" t="str">
        <f t="shared" si="63"/>
        <v>May</v>
      </c>
      <c r="D1400" t="s">
        <v>635</v>
      </c>
      <c r="E1400" t="s">
        <v>50</v>
      </c>
      <c r="F1400" t="s">
        <v>116</v>
      </c>
      <c r="G1400">
        <v>9</v>
      </c>
      <c r="H1400" s="7">
        <v>333.85</v>
      </c>
      <c r="I1400" t="s">
        <v>21</v>
      </c>
      <c r="J1400" t="s">
        <v>42</v>
      </c>
      <c r="K1400">
        <v>15</v>
      </c>
      <c r="L1400" s="7">
        <f t="shared" si="64"/>
        <v>3004.65</v>
      </c>
      <c r="M1400" s="7"/>
      <c r="O1400">
        <f t="shared" si="65"/>
        <v>4</v>
      </c>
      <c r="Q1400" t="s">
        <v>23</v>
      </c>
    </row>
    <row r="1401" spans="1:17" x14ac:dyDescent="0.3">
      <c r="A1401" t="s">
        <v>2344</v>
      </c>
      <c r="B1401" s="6">
        <v>45114</v>
      </c>
      <c r="C1401" s="6" t="str">
        <f t="shared" si="63"/>
        <v>Jul</v>
      </c>
      <c r="D1401" t="s">
        <v>1219</v>
      </c>
      <c r="E1401" t="s">
        <v>31</v>
      </c>
      <c r="F1401" t="s">
        <v>110</v>
      </c>
      <c r="G1401">
        <v>1</v>
      </c>
      <c r="H1401" s="7">
        <v>174.97</v>
      </c>
      <c r="I1401" t="s">
        <v>64</v>
      </c>
      <c r="J1401" t="s">
        <v>87</v>
      </c>
      <c r="K1401">
        <v>15</v>
      </c>
      <c r="L1401" s="7">
        <f t="shared" si="64"/>
        <v>174.97</v>
      </c>
      <c r="M1401" s="7"/>
      <c r="O1401">
        <f t="shared" si="65"/>
        <v>2</v>
      </c>
      <c r="Q1401" t="s">
        <v>65</v>
      </c>
    </row>
    <row r="1402" spans="1:17" x14ac:dyDescent="0.3">
      <c r="A1402" t="s">
        <v>2345</v>
      </c>
      <c r="B1402" s="6">
        <v>44997</v>
      </c>
      <c r="C1402" s="6" t="str">
        <f t="shared" si="63"/>
        <v>Mar</v>
      </c>
      <c r="D1402" t="s">
        <v>2346</v>
      </c>
      <c r="E1402" t="s">
        <v>19</v>
      </c>
      <c r="F1402" t="s">
        <v>289</v>
      </c>
      <c r="G1402">
        <v>5</v>
      </c>
      <c r="H1402" s="7">
        <v>14.45</v>
      </c>
      <c r="I1402" t="s">
        <v>19</v>
      </c>
      <c r="J1402" t="s">
        <v>19</v>
      </c>
      <c r="K1402">
        <v>20</v>
      </c>
      <c r="L1402" s="7">
        <f t="shared" si="64"/>
        <v>72.25</v>
      </c>
      <c r="M1402" s="7"/>
      <c r="O1402">
        <f t="shared" si="65"/>
        <v>2</v>
      </c>
      <c r="Q1402" t="s">
        <v>19</v>
      </c>
    </row>
    <row r="1403" spans="1:17" x14ac:dyDescent="0.3">
      <c r="A1403" t="s">
        <v>2347</v>
      </c>
      <c r="B1403" s="6">
        <v>44952</v>
      </c>
      <c r="C1403" s="6" t="str">
        <f t="shared" si="63"/>
        <v>Jan</v>
      </c>
      <c r="D1403" t="s">
        <v>454</v>
      </c>
      <c r="E1403" t="s">
        <v>19</v>
      </c>
      <c r="F1403" t="s">
        <v>75</v>
      </c>
      <c r="G1403">
        <v>8</v>
      </c>
      <c r="H1403" s="7">
        <v>346.45</v>
      </c>
      <c r="I1403" t="s">
        <v>64</v>
      </c>
      <c r="J1403" t="s">
        <v>42</v>
      </c>
      <c r="K1403">
        <v>0</v>
      </c>
      <c r="L1403" s="7">
        <f t="shared" si="64"/>
        <v>2771.6</v>
      </c>
      <c r="M1403" s="7"/>
      <c r="O1403">
        <f t="shared" si="65"/>
        <v>3</v>
      </c>
      <c r="Q1403" t="s">
        <v>65</v>
      </c>
    </row>
    <row r="1404" spans="1:17" x14ac:dyDescent="0.3">
      <c r="A1404" t="s">
        <v>2348</v>
      </c>
      <c r="B1404" s="6">
        <v>45098</v>
      </c>
      <c r="C1404" s="6" t="str">
        <f t="shared" si="63"/>
        <v>Jun</v>
      </c>
      <c r="D1404" t="s">
        <v>2349</v>
      </c>
      <c r="E1404" t="s">
        <v>19</v>
      </c>
      <c r="F1404" t="s">
        <v>20</v>
      </c>
      <c r="G1404">
        <v>2</v>
      </c>
      <c r="H1404" s="7">
        <v>473.02</v>
      </c>
      <c r="I1404" t="s">
        <v>64</v>
      </c>
      <c r="J1404" t="s">
        <v>19</v>
      </c>
      <c r="K1404">
        <v>20</v>
      </c>
      <c r="L1404" s="7">
        <f t="shared" si="64"/>
        <v>946.04</v>
      </c>
      <c r="M1404" s="7"/>
      <c r="O1404">
        <f t="shared" si="65"/>
        <v>2</v>
      </c>
      <c r="Q1404" t="s">
        <v>65</v>
      </c>
    </row>
    <row r="1405" spans="1:17" x14ac:dyDescent="0.3">
      <c r="A1405" t="s">
        <v>2350</v>
      </c>
      <c r="B1405" s="6">
        <v>45107</v>
      </c>
      <c r="C1405" s="6" t="str">
        <f t="shared" si="63"/>
        <v>Jun</v>
      </c>
      <c r="D1405" t="s">
        <v>623</v>
      </c>
      <c r="E1405" t="s">
        <v>40</v>
      </c>
      <c r="F1405" t="s">
        <v>78</v>
      </c>
      <c r="G1405">
        <v>4</v>
      </c>
      <c r="H1405" s="7">
        <v>317.89999999999998</v>
      </c>
      <c r="I1405" t="s">
        <v>46</v>
      </c>
      <c r="J1405" t="s">
        <v>19</v>
      </c>
      <c r="K1405">
        <v>5</v>
      </c>
      <c r="L1405" s="7">
        <f t="shared" si="64"/>
        <v>1271.5999999999999</v>
      </c>
      <c r="M1405" s="7"/>
      <c r="O1405">
        <f t="shared" si="65"/>
        <v>2</v>
      </c>
      <c r="Q1405" t="s">
        <v>47</v>
      </c>
    </row>
    <row r="1406" spans="1:17" x14ac:dyDescent="0.3">
      <c r="A1406" t="s">
        <v>2351</v>
      </c>
      <c r="B1406" s="6">
        <v>45175</v>
      </c>
      <c r="C1406" s="6" t="str">
        <f t="shared" si="63"/>
        <v>Sep</v>
      </c>
      <c r="D1406" t="s">
        <v>2352</v>
      </c>
      <c r="E1406" t="s">
        <v>26</v>
      </c>
      <c r="F1406" t="s">
        <v>698</v>
      </c>
      <c r="G1406">
        <v>5</v>
      </c>
      <c r="H1406" s="7">
        <v>220.47</v>
      </c>
      <c r="I1406" t="s">
        <v>19</v>
      </c>
      <c r="J1406" t="s">
        <v>19</v>
      </c>
      <c r="K1406">
        <v>20</v>
      </c>
      <c r="L1406" s="7">
        <f t="shared" si="64"/>
        <v>1102.3499999999999</v>
      </c>
      <c r="M1406" s="7"/>
      <c r="O1406">
        <f t="shared" si="65"/>
        <v>2</v>
      </c>
      <c r="Q1406" t="s">
        <v>19</v>
      </c>
    </row>
    <row r="1407" spans="1:17" x14ac:dyDescent="0.3">
      <c r="A1407" t="s">
        <v>2353</v>
      </c>
      <c r="B1407" s="6">
        <v>44973</v>
      </c>
      <c r="C1407" s="6" t="str">
        <f t="shared" si="63"/>
        <v>Feb</v>
      </c>
      <c r="D1407" t="s">
        <v>2354</v>
      </c>
      <c r="E1407" t="s">
        <v>62</v>
      </c>
      <c r="F1407" t="s">
        <v>107</v>
      </c>
      <c r="G1407">
        <v>3</v>
      </c>
      <c r="H1407" s="7">
        <v>264.95</v>
      </c>
      <c r="I1407" t="s">
        <v>32</v>
      </c>
      <c r="J1407" t="s">
        <v>22</v>
      </c>
      <c r="K1407">
        <v>15</v>
      </c>
      <c r="L1407" s="7">
        <f t="shared" si="64"/>
        <v>794.84999999999991</v>
      </c>
      <c r="M1407" s="7"/>
      <c r="O1407">
        <f t="shared" si="65"/>
        <v>2</v>
      </c>
      <c r="Q1407" t="s">
        <v>33</v>
      </c>
    </row>
    <row r="1408" spans="1:17" x14ac:dyDescent="0.3">
      <c r="A1408" t="s">
        <v>2355</v>
      </c>
      <c r="B1408" s="6">
        <v>45187</v>
      </c>
      <c r="C1408" s="6" t="str">
        <f t="shared" si="63"/>
        <v>Sep</v>
      </c>
      <c r="D1408" t="s">
        <v>1042</v>
      </c>
      <c r="E1408" t="s">
        <v>36</v>
      </c>
      <c r="F1408" t="s">
        <v>157</v>
      </c>
      <c r="G1408">
        <v>5</v>
      </c>
      <c r="H1408" s="7">
        <v>103.82</v>
      </c>
      <c r="I1408" t="s">
        <v>46</v>
      </c>
      <c r="J1408" t="s">
        <v>19</v>
      </c>
      <c r="K1408">
        <v>15</v>
      </c>
      <c r="L1408" s="7">
        <f t="shared" si="64"/>
        <v>519.09999999999991</v>
      </c>
      <c r="M1408" s="7"/>
      <c r="O1408">
        <f t="shared" si="65"/>
        <v>2</v>
      </c>
      <c r="Q1408" t="s">
        <v>47</v>
      </c>
    </row>
    <row r="1409" spans="1:17" x14ac:dyDescent="0.3">
      <c r="A1409" t="s">
        <v>2356</v>
      </c>
      <c r="B1409" s="6">
        <v>45251</v>
      </c>
      <c r="C1409" s="6" t="str">
        <f t="shared" si="63"/>
        <v>Nov</v>
      </c>
      <c r="D1409" t="s">
        <v>537</v>
      </c>
      <c r="E1409" t="s">
        <v>62</v>
      </c>
      <c r="F1409" t="s">
        <v>415</v>
      </c>
      <c r="G1409">
        <v>8</v>
      </c>
      <c r="H1409" s="7">
        <v>376.52</v>
      </c>
      <c r="I1409" t="s">
        <v>32</v>
      </c>
      <c r="J1409" t="s">
        <v>19</v>
      </c>
      <c r="K1409">
        <v>5</v>
      </c>
      <c r="L1409" s="7">
        <f t="shared" si="64"/>
        <v>3012.16</v>
      </c>
      <c r="M1409" s="7"/>
      <c r="O1409">
        <f t="shared" si="65"/>
        <v>4</v>
      </c>
      <c r="Q1409" t="s">
        <v>33</v>
      </c>
    </row>
    <row r="1410" spans="1:17" x14ac:dyDescent="0.3">
      <c r="A1410" t="s">
        <v>2357</v>
      </c>
      <c r="B1410" s="6">
        <v>45061</v>
      </c>
      <c r="C1410" s="6" t="str">
        <f t="shared" si="63"/>
        <v>May</v>
      </c>
      <c r="D1410" t="s">
        <v>594</v>
      </c>
      <c r="E1410" t="s">
        <v>19</v>
      </c>
      <c r="F1410" t="s">
        <v>217</v>
      </c>
      <c r="G1410">
        <v>3</v>
      </c>
      <c r="H1410" s="7">
        <v>374.48</v>
      </c>
      <c r="I1410" t="s">
        <v>21</v>
      </c>
      <c r="J1410" t="s">
        <v>19</v>
      </c>
      <c r="K1410">
        <v>5</v>
      </c>
      <c r="L1410" s="7">
        <f t="shared" si="64"/>
        <v>1123.44</v>
      </c>
      <c r="M1410" s="7"/>
      <c r="O1410">
        <f t="shared" si="65"/>
        <v>2</v>
      </c>
      <c r="Q1410" t="s">
        <v>23</v>
      </c>
    </row>
    <row r="1411" spans="1:17" x14ac:dyDescent="0.3">
      <c r="A1411" t="s">
        <v>2358</v>
      </c>
      <c r="B1411" s="6">
        <v>45117</v>
      </c>
      <c r="C1411" s="6" t="str">
        <f t="shared" ref="C1411:C1474" si="66">TEXT(B1411,"MMM")</f>
        <v>Jul</v>
      </c>
      <c r="D1411" t="s">
        <v>2359</v>
      </c>
      <c r="E1411" t="s">
        <v>19</v>
      </c>
      <c r="F1411" t="s">
        <v>94</v>
      </c>
      <c r="G1411">
        <v>4</v>
      </c>
      <c r="H1411" s="7">
        <v>77.03</v>
      </c>
      <c r="I1411" t="s">
        <v>64</v>
      </c>
      <c r="J1411" t="s">
        <v>87</v>
      </c>
      <c r="K1411">
        <v>10</v>
      </c>
      <c r="L1411" s="7">
        <f t="shared" ref="L1411:L1474" si="67">G1411*H1411</f>
        <v>308.12</v>
      </c>
      <c r="M1411" s="7"/>
      <c r="O1411">
        <f t="shared" si="65"/>
        <v>2</v>
      </c>
      <c r="Q1411" t="s">
        <v>65</v>
      </c>
    </row>
    <row r="1412" spans="1:17" x14ac:dyDescent="0.3">
      <c r="A1412" t="s">
        <v>2360</v>
      </c>
      <c r="B1412" s="6">
        <v>45096</v>
      </c>
      <c r="C1412" s="6" t="str">
        <f t="shared" si="66"/>
        <v>Jun</v>
      </c>
      <c r="D1412" t="s">
        <v>2126</v>
      </c>
      <c r="E1412" t="s">
        <v>62</v>
      </c>
      <c r="F1412" t="s">
        <v>469</v>
      </c>
      <c r="G1412">
        <v>9</v>
      </c>
      <c r="H1412" s="7">
        <v>439.6</v>
      </c>
      <c r="I1412" t="s">
        <v>19</v>
      </c>
      <c r="J1412" t="s">
        <v>87</v>
      </c>
      <c r="K1412">
        <v>0</v>
      </c>
      <c r="L1412" s="7">
        <f t="shared" si="67"/>
        <v>3956.4</v>
      </c>
      <c r="M1412" s="7"/>
      <c r="O1412">
        <f t="shared" ref="O1412:O1475" si="68">IF(L1412&gt;3500,5,IF(L1412&gt;3000,4,IF(L1412&gt;2500,3,IF(L1412&gt;2000,2,IF(L1412&gt;1000,2,2)))))</f>
        <v>5</v>
      </c>
      <c r="Q1412" t="s">
        <v>19</v>
      </c>
    </row>
    <row r="1413" spans="1:17" x14ac:dyDescent="0.3">
      <c r="A1413" t="s">
        <v>2361</v>
      </c>
      <c r="B1413" s="6">
        <v>45188</v>
      </c>
      <c r="C1413" s="6" t="str">
        <f t="shared" si="66"/>
        <v>Sep</v>
      </c>
      <c r="D1413" t="s">
        <v>1256</v>
      </c>
      <c r="E1413" t="s">
        <v>19</v>
      </c>
      <c r="F1413" t="s">
        <v>732</v>
      </c>
      <c r="G1413">
        <v>7</v>
      </c>
      <c r="H1413" s="7">
        <v>138.25</v>
      </c>
      <c r="I1413" t="s">
        <v>64</v>
      </c>
      <c r="J1413" t="s">
        <v>28</v>
      </c>
      <c r="K1413">
        <v>0</v>
      </c>
      <c r="L1413" s="7">
        <f t="shared" si="67"/>
        <v>967.75</v>
      </c>
      <c r="M1413" s="7"/>
      <c r="O1413">
        <f t="shared" si="68"/>
        <v>2</v>
      </c>
      <c r="Q1413" t="s">
        <v>65</v>
      </c>
    </row>
    <row r="1414" spans="1:17" x14ac:dyDescent="0.3">
      <c r="A1414" t="s">
        <v>2362</v>
      </c>
      <c r="B1414" s="6">
        <v>45233</v>
      </c>
      <c r="C1414" s="6" t="str">
        <f t="shared" si="66"/>
        <v>Nov</v>
      </c>
      <c r="D1414" t="s">
        <v>2009</v>
      </c>
      <c r="E1414" t="s">
        <v>19</v>
      </c>
      <c r="F1414" t="s">
        <v>944</v>
      </c>
      <c r="G1414">
        <v>1</v>
      </c>
      <c r="H1414" s="7">
        <v>491.22</v>
      </c>
      <c r="I1414" t="s">
        <v>46</v>
      </c>
      <c r="J1414" t="s">
        <v>28</v>
      </c>
      <c r="K1414">
        <v>0</v>
      </c>
      <c r="L1414" s="7">
        <f t="shared" si="67"/>
        <v>491.22</v>
      </c>
      <c r="M1414" s="7"/>
      <c r="O1414">
        <f t="shared" si="68"/>
        <v>2</v>
      </c>
      <c r="Q1414" t="s">
        <v>47</v>
      </c>
    </row>
    <row r="1415" spans="1:17" x14ac:dyDescent="0.3">
      <c r="A1415" t="s">
        <v>2363</v>
      </c>
      <c r="B1415" s="6">
        <v>45187</v>
      </c>
      <c r="C1415" s="6" t="str">
        <f t="shared" si="66"/>
        <v>Sep</v>
      </c>
      <c r="D1415" t="s">
        <v>885</v>
      </c>
      <c r="E1415" t="s">
        <v>19</v>
      </c>
      <c r="F1415" t="s">
        <v>732</v>
      </c>
      <c r="G1415">
        <v>5</v>
      </c>
      <c r="H1415" s="7">
        <v>194.54</v>
      </c>
      <c r="I1415" t="s">
        <v>64</v>
      </c>
      <c r="J1415" t="s">
        <v>42</v>
      </c>
      <c r="K1415">
        <v>10</v>
      </c>
      <c r="L1415" s="7">
        <f t="shared" si="67"/>
        <v>972.69999999999993</v>
      </c>
      <c r="M1415" s="7"/>
      <c r="O1415">
        <f t="shared" si="68"/>
        <v>2</v>
      </c>
      <c r="Q1415" t="s">
        <v>65</v>
      </c>
    </row>
    <row r="1416" spans="1:17" x14ac:dyDescent="0.3">
      <c r="A1416" t="s">
        <v>2364</v>
      </c>
      <c r="B1416" s="6">
        <v>45261</v>
      </c>
      <c r="C1416" s="6" t="str">
        <f t="shared" si="66"/>
        <v>Dec</v>
      </c>
      <c r="D1416" t="s">
        <v>2365</v>
      </c>
      <c r="E1416" t="s">
        <v>19</v>
      </c>
      <c r="F1416" t="s">
        <v>328</v>
      </c>
      <c r="G1416">
        <v>4</v>
      </c>
      <c r="H1416" s="7">
        <v>93.05</v>
      </c>
      <c r="I1416" t="s">
        <v>103</v>
      </c>
      <c r="J1416" t="s">
        <v>22</v>
      </c>
      <c r="K1416">
        <v>15</v>
      </c>
      <c r="L1416" s="7">
        <f t="shared" si="67"/>
        <v>372.2</v>
      </c>
      <c r="M1416" s="7"/>
      <c r="O1416">
        <f t="shared" si="68"/>
        <v>2</v>
      </c>
      <c r="Q1416" t="s">
        <v>104</v>
      </c>
    </row>
    <row r="1417" spans="1:17" x14ac:dyDescent="0.3">
      <c r="A1417" t="s">
        <v>2366</v>
      </c>
      <c r="B1417" s="6">
        <v>45035</v>
      </c>
      <c r="C1417" s="6" t="str">
        <f t="shared" si="66"/>
        <v>Apr</v>
      </c>
      <c r="D1417" t="s">
        <v>425</v>
      </c>
      <c r="E1417" t="s">
        <v>19</v>
      </c>
      <c r="F1417" t="s">
        <v>185</v>
      </c>
      <c r="G1417">
        <v>9</v>
      </c>
      <c r="H1417" s="7">
        <v>179.1</v>
      </c>
      <c r="I1417" t="s">
        <v>32</v>
      </c>
      <c r="J1417" t="s">
        <v>22</v>
      </c>
      <c r="K1417">
        <v>0</v>
      </c>
      <c r="L1417" s="7">
        <f t="shared" si="67"/>
        <v>1611.8999999999999</v>
      </c>
      <c r="M1417" s="7"/>
      <c r="O1417">
        <f t="shared" si="68"/>
        <v>2</v>
      </c>
      <c r="Q1417" t="s">
        <v>33</v>
      </c>
    </row>
    <row r="1418" spans="1:17" x14ac:dyDescent="0.3">
      <c r="A1418" t="s">
        <v>2367</v>
      </c>
      <c r="B1418" s="6">
        <v>45105</v>
      </c>
      <c r="C1418" s="6" t="str">
        <f t="shared" si="66"/>
        <v>Jun</v>
      </c>
      <c r="D1418" t="s">
        <v>1586</v>
      </c>
      <c r="E1418" t="s">
        <v>31</v>
      </c>
      <c r="F1418" t="s">
        <v>107</v>
      </c>
      <c r="G1418">
        <v>6</v>
      </c>
      <c r="H1418" s="7">
        <v>222.89</v>
      </c>
      <c r="I1418" t="s">
        <v>19</v>
      </c>
      <c r="J1418" t="s">
        <v>72</v>
      </c>
      <c r="K1418">
        <v>10</v>
      </c>
      <c r="L1418" s="7">
        <f t="shared" si="67"/>
        <v>1337.34</v>
      </c>
      <c r="M1418" s="7"/>
      <c r="O1418">
        <f t="shared" si="68"/>
        <v>2</v>
      </c>
      <c r="Q1418" t="s">
        <v>19</v>
      </c>
    </row>
    <row r="1419" spans="1:17" x14ac:dyDescent="0.3">
      <c r="A1419" t="s">
        <v>2368</v>
      </c>
      <c r="B1419" s="6">
        <v>44993</v>
      </c>
      <c r="C1419" s="6" t="str">
        <f t="shared" si="66"/>
        <v>Mar</v>
      </c>
      <c r="D1419" t="s">
        <v>2108</v>
      </c>
      <c r="E1419" t="s">
        <v>36</v>
      </c>
      <c r="F1419" t="s">
        <v>75</v>
      </c>
      <c r="G1419">
        <v>9</v>
      </c>
      <c r="H1419" s="7">
        <v>39.31</v>
      </c>
      <c r="I1419" t="s">
        <v>103</v>
      </c>
      <c r="J1419" t="s">
        <v>42</v>
      </c>
      <c r="K1419">
        <v>10</v>
      </c>
      <c r="L1419" s="7">
        <f t="shared" si="67"/>
        <v>353.79</v>
      </c>
      <c r="M1419" s="7"/>
      <c r="O1419">
        <f t="shared" si="68"/>
        <v>2</v>
      </c>
      <c r="Q1419" t="s">
        <v>104</v>
      </c>
    </row>
    <row r="1420" spans="1:17" x14ac:dyDescent="0.3">
      <c r="A1420" t="s">
        <v>2369</v>
      </c>
      <c r="B1420" s="6">
        <v>45005</v>
      </c>
      <c r="C1420" s="6" t="str">
        <f t="shared" si="66"/>
        <v>Mar</v>
      </c>
      <c r="D1420" t="s">
        <v>1383</v>
      </c>
      <c r="E1420" t="s">
        <v>62</v>
      </c>
      <c r="F1420" t="s">
        <v>198</v>
      </c>
      <c r="G1420">
        <v>6</v>
      </c>
      <c r="H1420" s="7">
        <v>291.22000000000003</v>
      </c>
      <c r="I1420" t="s">
        <v>46</v>
      </c>
      <c r="J1420" t="s">
        <v>72</v>
      </c>
      <c r="K1420">
        <v>0</v>
      </c>
      <c r="L1420" s="7">
        <f t="shared" si="67"/>
        <v>1747.3200000000002</v>
      </c>
      <c r="M1420" s="7"/>
      <c r="O1420">
        <f t="shared" si="68"/>
        <v>2</v>
      </c>
      <c r="Q1420" t="s">
        <v>47</v>
      </c>
    </row>
    <row r="1421" spans="1:17" x14ac:dyDescent="0.3">
      <c r="A1421" t="s">
        <v>2370</v>
      </c>
      <c r="B1421" s="6">
        <v>45085</v>
      </c>
      <c r="C1421" s="6" t="str">
        <f t="shared" si="66"/>
        <v>Jun</v>
      </c>
      <c r="D1421" t="s">
        <v>1135</v>
      </c>
      <c r="E1421" t="s">
        <v>40</v>
      </c>
      <c r="F1421" t="s">
        <v>968</v>
      </c>
      <c r="G1421">
        <v>6</v>
      </c>
      <c r="H1421" s="7">
        <v>300.83</v>
      </c>
      <c r="I1421" t="s">
        <v>64</v>
      </c>
      <c r="J1421" t="s">
        <v>87</v>
      </c>
      <c r="K1421">
        <v>5</v>
      </c>
      <c r="L1421" s="7">
        <f t="shared" si="67"/>
        <v>1804.98</v>
      </c>
      <c r="M1421" s="7"/>
      <c r="O1421">
        <f t="shared" si="68"/>
        <v>2</v>
      </c>
      <c r="Q1421" t="s">
        <v>65</v>
      </c>
    </row>
    <row r="1422" spans="1:17" x14ac:dyDescent="0.3">
      <c r="A1422" t="s">
        <v>2371</v>
      </c>
      <c r="B1422" s="6">
        <v>44964</v>
      </c>
      <c r="C1422" s="6" t="str">
        <f t="shared" si="66"/>
        <v>Feb</v>
      </c>
      <c r="D1422" t="s">
        <v>626</v>
      </c>
      <c r="E1422" t="s">
        <v>19</v>
      </c>
      <c r="F1422" t="s">
        <v>139</v>
      </c>
      <c r="G1422">
        <v>5</v>
      </c>
      <c r="H1422" s="7">
        <v>370.77</v>
      </c>
      <c r="I1422" t="s">
        <v>21</v>
      </c>
      <c r="J1422" t="s">
        <v>72</v>
      </c>
      <c r="K1422">
        <v>10</v>
      </c>
      <c r="L1422" s="7">
        <f t="shared" si="67"/>
        <v>1853.85</v>
      </c>
      <c r="M1422" s="7"/>
      <c r="O1422">
        <f t="shared" si="68"/>
        <v>2</v>
      </c>
      <c r="Q1422" t="s">
        <v>23</v>
      </c>
    </row>
    <row r="1423" spans="1:17" x14ac:dyDescent="0.3">
      <c r="A1423" t="s">
        <v>2372</v>
      </c>
      <c r="B1423" s="6">
        <v>45168</v>
      </c>
      <c r="C1423" s="6" t="str">
        <f t="shared" si="66"/>
        <v>Aug</v>
      </c>
      <c r="D1423" t="s">
        <v>567</v>
      </c>
      <c r="E1423" t="s">
        <v>26</v>
      </c>
      <c r="F1423" t="s">
        <v>263</v>
      </c>
      <c r="G1423">
        <v>5</v>
      </c>
      <c r="H1423" s="7">
        <v>19.440000000000001</v>
      </c>
      <c r="I1423" t="s">
        <v>21</v>
      </c>
      <c r="J1423" t="s">
        <v>72</v>
      </c>
      <c r="K1423">
        <v>5</v>
      </c>
      <c r="L1423" s="7">
        <f t="shared" si="67"/>
        <v>97.2</v>
      </c>
      <c r="M1423" s="7"/>
      <c r="O1423">
        <f t="shared" si="68"/>
        <v>2</v>
      </c>
      <c r="Q1423" t="s">
        <v>23</v>
      </c>
    </row>
    <row r="1424" spans="1:17" x14ac:dyDescent="0.3">
      <c r="A1424" t="s">
        <v>2373</v>
      </c>
      <c r="B1424" s="6">
        <v>45081</v>
      </c>
      <c r="C1424" s="6" t="str">
        <f t="shared" si="66"/>
        <v>Jun</v>
      </c>
      <c r="D1424" t="s">
        <v>1764</v>
      </c>
      <c r="E1424" t="s">
        <v>50</v>
      </c>
      <c r="F1424" t="s">
        <v>131</v>
      </c>
      <c r="G1424">
        <v>2</v>
      </c>
      <c r="H1424" s="7">
        <v>272.91000000000003</v>
      </c>
      <c r="I1424" t="s">
        <v>32</v>
      </c>
      <c r="J1424" t="s">
        <v>87</v>
      </c>
      <c r="K1424">
        <v>15</v>
      </c>
      <c r="L1424" s="7">
        <f t="shared" si="67"/>
        <v>545.82000000000005</v>
      </c>
      <c r="M1424" s="7"/>
      <c r="O1424">
        <f t="shared" si="68"/>
        <v>2</v>
      </c>
      <c r="Q1424" t="s">
        <v>33</v>
      </c>
    </row>
    <row r="1425" spans="1:17" x14ac:dyDescent="0.3">
      <c r="A1425" t="s">
        <v>2374</v>
      </c>
      <c r="B1425" s="6">
        <v>44946</v>
      </c>
      <c r="C1425" s="6" t="str">
        <f t="shared" si="66"/>
        <v>Jan</v>
      </c>
      <c r="D1425" t="s">
        <v>852</v>
      </c>
      <c r="E1425" t="s">
        <v>62</v>
      </c>
      <c r="F1425" t="s">
        <v>154</v>
      </c>
      <c r="G1425">
        <v>8</v>
      </c>
      <c r="H1425" s="7">
        <v>31.19</v>
      </c>
      <c r="I1425" t="s">
        <v>103</v>
      </c>
      <c r="J1425" t="s">
        <v>87</v>
      </c>
      <c r="K1425">
        <v>10</v>
      </c>
      <c r="L1425" s="7">
        <f t="shared" si="67"/>
        <v>249.52</v>
      </c>
      <c r="M1425" s="7"/>
      <c r="O1425">
        <f t="shared" si="68"/>
        <v>2</v>
      </c>
      <c r="Q1425" t="s">
        <v>104</v>
      </c>
    </row>
    <row r="1426" spans="1:17" x14ac:dyDescent="0.3">
      <c r="A1426" t="s">
        <v>2375</v>
      </c>
      <c r="B1426" s="6">
        <v>45255</v>
      </c>
      <c r="C1426" s="6" t="str">
        <f t="shared" si="66"/>
        <v>Nov</v>
      </c>
      <c r="D1426" t="s">
        <v>1620</v>
      </c>
      <c r="E1426" t="s">
        <v>26</v>
      </c>
      <c r="F1426" t="s">
        <v>398</v>
      </c>
      <c r="G1426">
        <v>8</v>
      </c>
      <c r="H1426" s="7">
        <v>352.07</v>
      </c>
      <c r="I1426" t="s">
        <v>21</v>
      </c>
      <c r="J1426" t="s">
        <v>87</v>
      </c>
      <c r="K1426">
        <v>10</v>
      </c>
      <c r="L1426" s="7">
        <f t="shared" si="67"/>
        <v>2816.56</v>
      </c>
      <c r="M1426" s="7"/>
      <c r="O1426">
        <f t="shared" si="68"/>
        <v>3</v>
      </c>
      <c r="Q1426" t="s">
        <v>23</v>
      </c>
    </row>
    <row r="1427" spans="1:17" x14ac:dyDescent="0.3">
      <c r="A1427" t="s">
        <v>2376</v>
      </c>
      <c r="B1427" s="6">
        <v>45170</v>
      </c>
      <c r="C1427" s="6" t="str">
        <f t="shared" si="66"/>
        <v>Sep</v>
      </c>
      <c r="D1427" t="s">
        <v>1655</v>
      </c>
      <c r="E1427" t="s">
        <v>26</v>
      </c>
      <c r="F1427" t="s">
        <v>1063</v>
      </c>
      <c r="G1427">
        <v>1</v>
      </c>
      <c r="H1427" s="7">
        <v>32.590000000000003</v>
      </c>
      <c r="I1427" t="s">
        <v>103</v>
      </c>
      <c r="J1427" t="s">
        <v>87</v>
      </c>
      <c r="K1427">
        <v>5</v>
      </c>
      <c r="L1427" s="7">
        <f t="shared" si="67"/>
        <v>32.590000000000003</v>
      </c>
      <c r="M1427" s="7"/>
      <c r="O1427">
        <f t="shared" si="68"/>
        <v>2</v>
      </c>
      <c r="Q1427" t="s">
        <v>104</v>
      </c>
    </row>
    <row r="1428" spans="1:17" x14ac:dyDescent="0.3">
      <c r="A1428" t="s">
        <v>2377</v>
      </c>
      <c r="B1428" s="6">
        <v>45198</v>
      </c>
      <c r="C1428" s="6" t="str">
        <f t="shared" si="66"/>
        <v>Sep</v>
      </c>
      <c r="D1428" t="s">
        <v>471</v>
      </c>
      <c r="E1428" t="s">
        <v>31</v>
      </c>
      <c r="F1428" t="s">
        <v>151</v>
      </c>
      <c r="G1428">
        <v>8</v>
      </c>
      <c r="H1428" s="7">
        <v>456.31</v>
      </c>
      <c r="I1428" t="s">
        <v>64</v>
      </c>
      <c r="J1428" t="s">
        <v>87</v>
      </c>
      <c r="K1428">
        <v>0</v>
      </c>
      <c r="L1428" s="7">
        <f t="shared" si="67"/>
        <v>3650.48</v>
      </c>
      <c r="M1428" s="7"/>
      <c r="O1428">
        <f t="shared" si="68"/>
        <v>5</v>
      </c>
      <c r="Q1428" t="s">
        <v>65</v>
      </c>
    </row>
    <row r="1429" spans="1:17" x14ac:dyDescent="0.3">
      <c r="A1429" t="s">
        <v>2378</v>
      </c>
      <c r="B1429" s="6">
        <v>45214</v>
      </c>
      <c r="C1429" s="6" t="str">
        <f t="shared" si="66"/>
        <v>Oct</v>
      </c>
      <c r="D1429" t="s">
        <v>1516</v>
      </c>
      <c r="E1429" t="s">
        <v>40</v>
      </c>
      <c r="F1429" t="s">
        <v>353</v>
      </c>
      <c r="G1429">
        <v>5</v>
      </c>
      <c r="H1429" s="7">
        <v>352.53</v>
      </c>
      <c r="I1429" t="s">
        <v>64</v>
      </c>
      <c r="J1429" t="s">
        <v>42</v>
      </c>
      <c r="K1429">
        <v>15</v>
      </c>
      <c r="L1429" s="7">
        <f t="shared" si="67"/>
        <v>1762.6499999999999</v>
      </c>
      <c r="M1429" s="7"/>
      <c r="O1429">
        <f t="shared" si="68"/>
        <v>2</v>
      </c>
      <c r="Q1429" t="s">
        <v>65</v>
      </c>
    </row>
    <row r="1430" spans="1:17" x14ac:dyDescent="0.3">
      <c r="A1430" t="s">
        <v>2379</v>
      </c>
      <c r="B1430" s="6">
        <v>44960</v>
      </c>
      <c r="C1430" s="6" t="str">
        <f t="shared" si="66"/>
        <v>Feb</v>
      </c>
      <c r="D1430" t="s">
        <v>2380</v>
      </c>
      <c r="E1430" t="s">
        <v>31</v>
      </c>
      <c r="F1430" t="s">
        <v>193</v>
      </c>
      <c r="G1430">
        <v>2</v>
      </c>
      <c r="H1430" s="7">
        <v>256.16000000000003</v>
      </c>
      <c r="I1430" t="s">
        <v>21</v>
      </c>
      <c r="J1430" t="s">
        <v>42</v>
      </c>
      <c r="K1430">
        <v>20</v>
      </c>
      <c r="L1430" s="7">
        <f t="shared" si="67"/>
        <v>512.32000000000005</v>
      </c>
      <c r="M1430" s="7"/>
      <c r="O1430">
        <f t="shared" si="68"/>
        <v>2</v>
      </c>
      <c r="Q1430" t="s">
        <v>23</v>
      </c>
    </row>
    <row r="1431" spans="1:17" x14ac:dyDescent="0.3">
      <c r="A1431" t="s">
        <v>2381</v>
      </c>
      <c r="B1431" s="6">
        <v>45260</v>
      </c>
      <c r="C1431" s="6" t="str">
        <f t="shared" si="66"/>
        <v>Nov</v>
      </c>
      <c r="D1431" t="s">
        <v>2382</v>
      </c>
      <c r="E1431" t="s">
        <v>36</v>
      </c>
      <c r="F1431" t="s">
        <v>432</v>
      </c>
      <c r="G1431">
        <v>2</v>
      </c>
      <c r="H1431" s="7">
        <v>223.54</v>
      </c>
      <c r="I1431" t="s">
        <v>19</v>
      </c>
      <c r="J1431" t="s">
        <v>72</v>
      </c>
      <c r="K1431">
        <v>20</v>
      </c>
      <c r="L1431" s="7">
        <f t="shared" si="67"/>
        <v>447.08</v>
      </c>
      <c r="M1431" s="7"/>
      <c r="O1431">
        <f t="shared" si="68"/>
        <v>2</v>
      </c>
      <c r="Q1431" t="s">
        <v>19</v>
      </c>
    </row>
    <row r="1432" spans="1:17" x14ac:dyDescent="0.3">
      <c r="A1432" t="s">
        <v>2383</v>
      </c>
      <c r="B1432" s="6">
        <v>45106</v>
      </c>
      <c r="C1432" s="6" t="str">
        <f t="shared" si="66"/>
        <v>Jun</v>
      </c>
      <c r="D1432" t="s">
        <v>2145</v>
      </c>
      <c r="E1432" t="s">
        <v>19</v>
      </c>
      <c r="F1432" t="s">
        <v>939</v>
      </c>
      <c r="G1432">
        <v>6</v>
      </c>
      <c r="H1432" s="7">
        <v>69.680000000000007</v>
      </c>
      <c r="I1432" t="s">
        <v>64</v>
      </c>
      <c r="J1432" t="s">
        <v>72</v>
      </c>
      <c r="K1432">
        <v>0</v>
      </c>
      <c r="L1432" s="7">
        <f t="shared" si="67"/>
        <v>418.08000000000004</v>
      </c>
      <c r="M1432" s="7"/>
      <c r="O1432">
        <f t="shared" si="68"/>
        <v>2</v>
      </c>
      <c r="Q1432" t="s">
        <v>65</v>
      </c>
    </row>
    <row r="1433" spans="1:17" x14ac:dyDescent="0.3">
      <c r="A1433" t="s">
        <v>2384</v>
      </c>
      <c r="B1433" s="6">
        <v>45052</v>
      </c>
      <c r="C1433" s="6" t="str">
        <f t="shared" si="66"/>
        <v>May</v>
      </c>
      <c r="D1433" t="s">
        <v>522</v>
      </c>
      <c r="E1433" t="s">
        <v>62</v>
      </c>
      <c r="F1433" t="s">
        <v>499</v>
      </c>
      <c r="G1433">
        <v>9</v>
      </c>
      <c r="H1433" s="7">
        <v>149.04</v>
      </c>
      <c r="I1433" t="s">
        <v>19</v>
      </c>
      <c r="J1433" t="s">
        <v>28</v>
      </c>
      <c r="K1433">
        <v>15</v>
      </c>
      <c r="L1433" s="7">
        <f t="shared" si="67"/>
        <v>1341.36</v>
      </c>
      <c r="M1433" s="7"/>
      <c r="O1433">
        <f t="shared" si="68"/>
        <v>2</v>
      </c>
      <c r="Q1433" t="s">
        <v>19</v>
      </c>
    </row>
    <row r="1434" spans="1:17" x14ac:dyDescent="0.3">
      <c r="A1434" t="s">
        <v>2385</v>
      </c>
      <c r="B1434" s="6">
        <v>45160</v>
      </c>
      <c r="C1434" s="6" t="str">
        <f t="shared" si="66"/>
        <v>Aug</v>
      </c>
      <c r="D1434" t="s">
        <v>906</v>
      </c>
      <c r="E1434" t="s">
        <v>19</v>
      </c>
      <c r="F1434" t="s">
        <v>684</v>
      </c>
      <c r="G1434">
        <v>1</v>
      </c>
      <c r="H1434" s="7">
        <v>435.13</v>
      </c>
      <c r="I1434" t="s">
        <v>32</v>
      </c>
      <c r="J1434" t="s">
        <v>28</v>
      </c>
      <c r="K1434">
        <v>15</v>
      </c>
      <c r="L1434" s="7">
        <f t="shared" si="67"/>
        <v>435.13</v>
      </c>
      <c r="M1434" s="7"/>
      <c r="O1434">
        <f t="shared" si="68"/>
        <v>2</v>
      </c>
      <c r="Q1434" t="s">
        <v>33</v>
      </c>
    </row>
    <row r="1435" spans="1:17" x14ac:dyDescent="0.3">
      <c r="A1435" t="s">
        <v>2386</v>
      </c>
      <c r="B1435" s="6">
        <v>45210</v>
      </c>
      <c r="C1435" s="6" t="str">
        <f t="shared" si="66"/>
        <v>Oct</v>
      </c>
      <c r="D1435" t="s">
        <v>175</v>
      </c>
      <c r="E1435" t="s">
        <v>19</v>
      </c>
      <c r="F1435" t="s">
        <v>84</v>
      </c>
      <c r="G1435">
        <v>6</v>
      </c>
      <c r="H1435" s="7">
        <v>452.7</v>
      </c>
      <c r="I1435" t="s">
        <v>103</v>
      </c>
      <c r="J1435" t="s">
        <v>28</v>
      </c>
      <c r="K1435">
        <v>15</v>
      </c>
      <c r="L1435" s="7">
        <f t="shared" si="67"/>
        <v>2716.2</v>
      </c>
      <c r="M1435" s="7"/>
      <c r="O1435">
        <f t="shared" si="68"/>
        <v>3</v>
      </c>
      <c r="Q1435" t="s">
        <v>104</v>
      </c>
    </row>
    <row r="1436" spans="1:17" x14ac:dyDescent="0.3">
      <c r="A1436" t="s">
        <v>2387</v>
      </c>
      <c r="B1436" s="6">
        <v>45190</v>
      </c>
      <c r="C1436" s="6" t="str">
        <f t="shared" si="66"/>
        <v>Sep</v>
      </c>
      <c r="D1436" t="s">
        <v>2388</v>
      </c>
      <c r="E1436" t="s">
        <v>31</v>
      </c>
      <c r="F1436" t="s">
        <v>165</v>
      </c>
      <c r="G1436">
        <v>9</v>
      </c>
      <c r="H1436" s="7">
        <v>5.37</v>
      </c>
      <c r="I1436" t="s">
        <v>64</v>
      </c>
      <c r="J1436" t="s">
        <v>72</v>
      </c>
      <c r="K1436">
        <v>15</v>
      </c>
      <c r="L1436" s="7">
        <f t="shared" si="67"/>
        <v>48.33</v>
      </c>
      <c r="M1436" s="7"/>
      <c r="O1436">
        <f t="shared" si="68"/>
        <v>2</v>
      </c>
      <c r="Q1436" t="s">
        <v>65</v>
      </c>
    </row>
    <row r="1437" spans="1:17" x14ac:dyDescent="0.3">
      <c r="A1437" t="s">
        <v>2389</v>
      </c>
      <c r="B1437" s="6">
        <v>45139</v>
      </c>
      <c r="C1437" s="6" t="str">
        <f t="shared" si="66"/>
        <v>Aug</v>
      </c>
      <c r="D1437" t="s">
        <v>917</v>
      </c>
      <c r="E1437" t="s">
        <v>40</v>
      </c>
      <c r="F1437" t="s">
        <v>932</v>
      </c>
      <c r="G1437">
        <v>8</v>
      </c>
      <c r="H1437" s="7">
        <v>299.10000000000002</v>
      </c>
      <c r="I1437" t="s">
        <v>19</v>
      </c>
      <c r="J1437" t="s">
        <v>22</v>
      </c>
      <c r="K1437">
        <v>20</v>
      </c>
      <c r="L1437" s="7">
        <f t="shared" si="67"/>
        <v>2392.8000000000002</v>
      </c>
      <c r="M1437" s="7"/>
      <c r="O1437">
        <f t="shared" si="68"/>
        <v>2</v>
      </c>
      <c r="Q1437" t="s">
        <v>19</v>
      </c>
    </row>
    <row r="1438" spans="1:17" x14ac:dyDescent="0.3">
      <c r="A1438" t="s">
        <v>2390</v>
      </c>
      <c r="B1438" s="6">
        <v>44940</v>
      </c>
      <c r="C1438" s="6" t="str">
        <f t="shared" si="66"/>
        <v>Jan</v>
      </c>
      <c r="D1438" t="s">
        <v>1848</v>
      </c>
      <c r="E1438" t="s">
        <v>26</v>
      </c>
      <c r="F1438" t="s">
        <v>698</v>
      </c>
      <c r="G1438">
        <v>6</v>
      </c>
      <c r="H1438" s="7">
        <v>361.05</v>
      </c>
      <c r="I1438" t="s">
        <v>46</v>
      </c>
      <c r="J1438" t="s">
        <v>19</v>
      </c>
      <c r="K1438">
        <v>5</v>
      </c>
      <c r="L1438" s="7">
        <f t="shared" si="67"/>
        <v>2166.3000000000002</v>
      </c>
      <c r="M1438" s="7"/>
      <c r="O1438">
        <f t="shared" si="68"/>
        <v>2</v>
      </c>
      <c r="Q1438" t="s">
        <v>47</v>
      </c>
    </row>
    <row r="1439" spans="1:17" x14ac:dyDescent="0.3">
      <c r="A1439" t="s">
        <v>2391</v>
      </c>
      <c r="B1439" s="6">
        <v>45134</v>
      </c>
      <c r="C1439" s="6" t="str">
        <f t="shared" si="66"/>
        <v>Jul</v>
      </c>
      <c r="D1439" t="s">
        <v>990</v>
      </c>
      <c r="E1439" t="s">
        <v>50</v>
      </c>
      <c r="F1439" t="s">
        <v>281</v>
      </c>
      <c r="G1439">
        <v>3</v>
      </c>
      <c r="H1439" s="7">
        <v>311.27999999999997</v>
      </c>
      <c r="I1439" t="s">
        <v>64</v>
      </c>
      <c r="J1439" t="s">
        <v>19</v>
      </c>
      <c r="K1439">
        <v>15</v>
      </c>
      <c r="L1439" s="7">
        <f t="shared" si="67"/>
        <v>933.83999999999992</v>
      </c>
      <c r="M1439" s="7"/>
      <c r="O1439">
        <f t="shared" si="68"/>
        <v>2</v>
      </c>
      <c r="Q1439" t="s">
        <v>65</v>
      </c>
    </row>
    <row r="1440" spans="1:17" x14ac:dyDescent="0.3">
      <c r="A1440" t="s">
        <v>2392</v>
      </c>
      <c r="B1440" s="6">
        <v>45280</v>
      </c>
      <c r="C1440" s="6" t="str">
        <f t="shared" si="66"/>
        <v>Dec</v>
      </c>
      <c r="D1440" t="s">
        <v>912</v>
      </c>
      <c r="E1440" t="s">
        <v>19</v>
      </c>
      <c r="F1440" t="s">
        <v>1618</v>
      </c>
      <c r="G1440">
        <v>8</v>
      </c>
      <c r="H1440" s="7">
        <v>45.43</v>
      </c>
      <c r="I1440" t="s">
        <v>46</v>
      </c>
      <c r="J1440" t="s">
        <v>28</v>
      </c>
      <c r="K1440">
        <v>5</v>
      </c>
      <c r="L1440" s="7">
        <f t="shared" si="67"/>
        <v>363.44</v>
      </c>
      <c r="M1440" s="7"/>
      <c r="O1440">
        <f t="shared" si="68"/>
        <v>2</v>
      </c>
      <c r="Q1440" t="s">
        <v>47</v>
      </c>
    </row>
    <row r="1441" spans="1:17" x14ac:dyDescent="0.3">
      <c r="A1441" t="s">
        <v>2393</v>
      </c>
      <c r="B1441" s="6">
        <v>45043</v>
      </c>
      <c r="C1441" s="6" t="str">
        <f t="shared" si="66"/>
        <v>Apr</v>
      </c>
      <c r="D1441" t="s">
        <v>2394</v>
      </c>
      <c r="E1441" t="s">
        <v>19</v>
      </c>
      <c r="F1441" t="s">
        <v>222</v>
      </c>
      <c r="G1441">
        <v>9</v>
      </c>
      <c r="H1441" s="7">
        <v>112.77</v>
      </c>
      <c r="I1441" t="s">
        <v>46</v>
      </c>
      <c r="J1441" t="s">
        <v>72</v>
      </c>
      <c r="K1441">
        <v>15</v>
      </c>
      <c r="L1441" s="7">
        <f t="shared" si="67"/>
        <v>1014.93</v>
      </c>
      <c r="M1441" s="7"/>
      <c r="O1441">
        <f t="shared" si="68"/>
        <v>2</v>
      </c>
      <c r="Q1441" t="s">
        <v>47</v>
      </c>
    </row>
    <row r="1442" spans="1:17" x14ac:dyDescent="0.3">
      <c r="A1442" t="s">
        <v>2395</v>
      </c>
      <c r="B1442" s="6">
        <v>45167</v>
      </c>
      <c r="C1442" s="6" t="str">
        <f t="shared" si="66"/>
        <v>Aug</v>
      </c>
      <c r="D1442" t="s">
        <v>737</v>
      </c>
      <c r="E1442" t="s">
        <v>62</v>
      </c>
      <c r="F1442" t="s">
        <v>231</v>
      </c>
      <c r="G1442">
        <v>1</v>
      </c>
      <c r="H1442" s="7">
        <v>128.91999999999999</v>
      </c>
      <c r="I1442" t="s">
        <v>21</v>
      </c>
      <c r="J1442" t="s">
        <v>22</v>
      </c>
      <c r="K1442">
        <v>10</v>
      </c>
      <c r="L1442" s="7">
        <f t="shared" si="67"/>
        <v>128.91999999999999</v>
      </c>
      <c r="M1442" s="7"/>
      <c r="O1442">
        <f t="shared" si="68"/>
        <v>2</v>
      </c>
      <c r="Q1442" t="s">
        <v>23</v>
      </c>
    </row>
    <row r="1443" spans="1:17" x14ac:dyDescent="0.3">
      <c r="A1443" t="s">
        <v>2396</v>
      </c>
      <c r="B1443" s="6">
        <v>45267</v>
      </c>
      <c r="C1443" s="6" t="str">
        <f t="shared" si="66"/>
        <v>Dec</v>
      </c>
      <c r="D1443" t="s">
        <v>1416</v>
      </c>
      <c r="E1443" t="s">
        <v>36</v>
      </c>
      <c r="F1443" t="s">
        <v>341</v>
      </c>
      <c r="G1443">
        <v>9</v>
      </c>
      <c r="H1443" s="7">
        <v>416.7</v>
      </c>
      <c r="I1443" t="s">
        <v>19</v>
      </c>
      <c r="J1443" t="s">
        <v>72</v>
      </c>
      <c r="K1443">
        <v>10</v>
      </c>
      <c r="L1443" s="7">
        <f t="shared" si="67"/>
        <v>3750.2999999999997</v>
      </c>
      <c r="M1443" s="7"/>
      <c r="O1443">
        <f t="shared" si="68"/>
        <v>5</v>
      </c>
      <c r="Q1443" t="s">
        <v>19</v>
      </c>
    </row>
    <row r="1444" spans="1:17" x14ac:dyDescent="0.3">
      <c r="A1444" t="s">
        <v>2397</v>
      </c>
      <c r="B1444" s="6">
        <v>45117</v>
      </c>
      <c r="C1444" s="6" t="str">
        <f t="shared" si="66"/>
        <v>Jul</v>
      </c>
      <c r="D1444" t="s">
        <v>269</v>
      </c>
      <c r="E1444" t="s">
        <v>19</v>
      </c>
      <c r="F1444" t="s">
        <v>237</v>
      </c>
      <c r="G1444">
        <v>6</v>
      </c>
      <c r="H1444" s="7">
        <v>234.28</v>
      </c>
      <c r="I1444" t="s">
        <v>19</v>
      </c>
      <c r="J1444" t="s">
        <v>19</v>
      </c>
      <c r="K1444">
        <v>10</v>
      </c>
      <c r="L1444" s="7">
        <f t="shared" si="67"/>
        <v>1405.68</v>
      </c>
      <c r="M1444" s="7"/>
      <c r="O1444">
        <f t="shared" si="68"/>
        <v>2</v>
      </c>
      <c r="Q1444" t="s">
        <v>19</v>
      </c>
    </row>
    <row r="1445" spans="1:17" x14ac:dyDescent="0.3">
      <c r="A1445" t="s">
        <v>2398</v>
      </c>
      <c r="B1445" s="6">
        <v>45279</v>
      </c>
      <c r="C1445" s="6" t="str">
        <f t="shared" si="66"/>
        <v>Dec</v>
      </c>
      <c r="D1445" t="s">
        <v>1718</v>
      </c>
      <c r="E1445" t="s">
        <v>26</v>
      </c>
      <c r="F1445" t="s">
        <v>107</v>
      </c>
      <c r="G1445">
        <v>6</v>
      </c>
      <c r="H1445" s="7">
        <v>245.98</v>
      </c>
      <c r="I1445" t="s">
        <v>103</v>
      </c>
      <c r="J1445" t="s">
        <v>19</v>
      </c>
      <c r="K1445">
        <v>10</v>
      </c>
      <c r="L1445" s="7">
        <f t="shared" si="67"/>
        <v>1475.8799999999999</v>
      </c>
      <c r="M1445" s="7"/>
      <c r="O1445">
        <f t="shared" si="68"/>
        <v>2</v>
      </c>
      <c r="Q1445" t="s">
        <v>104</v>
      </c>
    </row>
    <row r="1446" spans="1:17" x14ac:dyDescent="0.3">
      <c r="A1446" t="s">
        <v>2399</v>
      </c>
      <c r="B1446" s="6">
        <v>45202</v>
      </c>
      <c r="C1446" s="6" t="str">
        <f t="shared" si="66"/>
        <v>Oct</v>
      </c>
      <c r="D1446" t="s">
        <v>2400</v>
      </c>
      <c r="E1446" t="s">
        <v>62</v>
      </c>
      <c r="F1446" t="s">
        <v>281</v>
      </c>
      <c r="G1446">
        <v>4</v>
      </c>
      <c r="H1446" s="7">
        <v>467.77</v>
      </c>
      <c r="I1446" t="s">
        <v>46</v>
      </c>
      <c r="J1446" t="s">
        <v>22</v>
      </c>
      <c r="K1446">
        <v>10</v>
      </c>
      <c r="L1446" s="7">
        <f t="shared" si="67"/>
        <v>1871.08</v>
      </c>
      <c r="M1446" s="7"/>
      <c r="O1446">
        <f t="shared" si="68"/>
        <v>2</v>
      </c>
      <c r="Q1446" t="s">
        <v>47</v>
      </c>
    </row>
    <row r="1447" spans="1:17" x14ac:dyDescent="0.3">
      <c r="A1447" t="s">
        <v>2401</v>
      </c>
      <c r="B1447" s="6">
        <v>45240</v>
      </c>
      <c r="C1447" s="6" t="str">
        <f t="shared" si="66"/>
        <v>Nov</v>
      </c>
      <c r="D1447" t="s">
        <v>650</v>
      </c>
      <c r="E1447" t="s">
        <v>26</v>
      </c>
      <c r="F1447" t="s">
        <v>1063</v>
      </c>
      <c r="G1447">
        <v>1</v>
      </c>
      <c r="H1447" s="7">
        <v>320.36</v>
      </c>
      <c r="I1447" t="s">
        <v>19</v>
      </c>
      <c r="J1447" t="s">
        <v>72</v>
      </c>
      <c r="K1447">
        <v>15</v>
      </c>
      <c r="L1447" s="7">
        <f t="shared" si="67"/>
        <v>320.36</v>
      </c>
      <c r="M1447" s="7"/>
      <c r="O1447">
        <f t="shared" si="68"/>
        <v>2</v>
      </c>
      <c r="Q1447" t="s">
        <v>19</v>
      </c>
    </row>
    <row r="1448" spans="1:17" x14ac:dyDescent="0.3">
      <c r="A1448" t="s">
        <v>2402</v>
      </c>
      <c r="B1448" s="6">
        <v>45081</v>
      </c>
      <c r="C1448" s="6" t="str">
        <f t="shared" si="66"/>
        <v>Jun</v>
      </c>
      <c r="D1448" t="s">
        <v>1910</v>
      </c>
      <c r="E1448" t="s">
        <v>50</v>
      </c>
      <c r="F1448" t="s">
        <v>472</v>
      </c>
      <c r="G1448">
        <v>8</v>
      </c>
      <c r="H1448" s="7">
        <v>449.84</v>
      </c>
      <c r="I1448" t="s">
        <v>19</v>
      </c>
      <c r="J1448" t="s">
        <v>28</v>
      </c>
      <c r="K1448">
        <v>5</v>
      </c>
      <c r="L1448" s="7">
        <f t="shared" si="67"/>
        <v>3598.72</v>
      </c>
      <c r="M1448" s="7"/>
      <c r="O1448">
        <f t="shared" si="68"/>
        <v>5</v>
      </c>
      <c r="Q1448" t="s">
        <v>19</v>
      </c>
    </row>
    <row r="1449" spans="1:17" x14ac:dyDescent="0.3">
      <c r="A1449" t="s">
        <v>2403</v>
      </c>
      <c r="B1449" s="6">
        <v>44958</v>
      </c>
      <c r="C1449" s="6" t="str">
        <f t="shared" si="66"/>
        <v>Feb</v>
      </c>
      <c r="D1449" t="s">
        <v>2117</v>
      </c>
      <c r="E1449" t="s">
        <v>26</v>
      </c>
      <c r="F1449" t="s">
        <v>472</v>
      </c>
      <c r="G1449">
        <v>2</v>
      </c>
      <c r="H1449" s="7">
        <v>230.97</v>
      </c>
      <c r="I1449" t="s">
        <v>46</v>
      </c>
      <c r="J1449" t="s">
        <v>22</v>
      </c>
      <c r="K1449">
        <v>10</v>
      </c>
      <c r="L1449" s="7">
        <f t="shared" si="67"/>
        <v>461.94</v>
      </c>
      <c r="M1449" s="7"/>
      <c r="O1449">
        <f t="shared" si="68"/>
        <v>2</v>
      </c>
      <c r="Q1449" t="s">
        <v>47</v>
      </c>
    </row>
    <row r="1450" spans="1:17" x14ac:dyDescent="0.3">
      <c r="A1450" t="s">
        <v>2404</v>
      </c>
      <c r="B1450" s="6">
        <v>45216</v>
      </c>
      <c r="C1450" s="6" t="str">
        <f t="shared" si="66"/>
        <v>Oct</v>
      </c>
      <c r="D1450" t="s">
        <v>167</v>
      </c>
      <c r="E1450" t="s">
        <v>50</v>
      </c>
      <c r="F1450" t="s">
        <v>289</v>
      </c>
      <c r="G1450">
        <v>1</v>
      </c>
      <c r="H1450" s="7">
        <v>78.97</v>
      </c>
      <c r="I1450" t="s">
        <v>32</v>
      </c>
      <c r="J1450" t="s">
        <v>72</v>
      </c>
      <c r="K1450">
        <v>20</v>
      </c>
      <c r="L1450" s="7">
        <f t="shared" si="67"/>
        <v>78.97</v>
      </c>
      <c r="M1450" s="7"/>
      <c r="O1450">
        <f t="shared" si="68"/>
        <v>2</v>
      </c>
      <c r="Q1450" t="s">
        <v>33</v>
      </c>
    </row>
    <row r="1451" spans="1:17" x14ac:dyDescent="0.3">
      <c r="A1451" t="s">
        <v>2405</v>
      </c>
      <c r="B1451" s="6">
        <v>45069</v>
      </c>
      <c r="C1451" s="6" t="str">
        <f t="shared" si="66"/>
        <v>May</v>
      </c>
      <c r="D1451" t="s">
        <v>207</v>
      </c>
      <c r="E1451" t="s">
        <v>40</v>
      </c>
      <c r="F1451" t="s">
        <v>1302</v>
      </c>
      <c r="G1451">
        <v>2</v>
      </c>
      <c r="H1451" s="7">
        <v>465.32</v>
      </c>
      <c r="I1451" t="s">
        <v>46</v>
      </c>
      <c r="J1451" t="s">
        <v>19</v>
      </c>
      <c r="K1451">
        <v>0</v>
      </c>
      <c r="L1451" s="7">
        <f t="shared" si="67"/>
        <v>930.64</v>
      </c>
      <c r="M1451" s="7"/>
      <c r="O1451">
        <f t="shared" si="68"/>
        <v>2</v>
      </c>
      <c r="Q1451" t="s">
        <v>47</v>
      </c>
    </row>
    <row r="1452" spans="1:17" x14ac:dyDescent="0.3">
      <c r="A1452" t="s">
        <v>2406</v>
      </c>
      <c r="B1452" s="6">
        <v>45270</v>
      </c>
      <c r="C1452" s="6" t="str">
        <f t="shared" si="66"/>
        <v>Dec</v>
      </c>
      <c r="D1452" t="s">
        <v>677</v>
      </c>
      <c r="E1452" t="s">
        <v>40</v>
      </c>
      <c r="F1452" t="s">
        <v>383</v>
      </c>
      <c r="G1452">
        <v>1</v>
      </c>
      <c r="H1452" s="7">
        <v>232.06</v>
      </c>
      <c r="I1452" t="s">
        <v>32</v>
      </c>
      <c r="J1452" t="s">
        <v>72</v>
      </c>
      <c r="K1452">
        <v>10</v>
      </c>
      <c r="L1452" s="7">
        <f t="shared" si="67"/>
        <v>232.06</v>
      </c>
      <c r="M1452" s="7"/>
      <c r="O1452">
        <f t="shared" si="68"/>
        <v>2</v>
      </c>
      <c r="Q1452" t="s">
        <v>33</v>
      </c>
    </row>
    <row r="1453" spans="1:17" x14ac:dyDescent="0.3">
      <c r="A1453" t="s">
        <v>2407</v>
      </c>
      <c r="B1453" s="6">
        <v>45111</v>
      </c>
      <c r="C1453" s="6" t="str">
        <f t="shared" si="66"/>
        <v>Jul</v>
      </c>
      <c r="D1453" t="s">
        <v>44</v>
      </c>
      <c r="E1453" t="s">
        <v>62</v>
      </c>
      <c r="F1453" t="s">
        <v>856</v>
      </c>
      <c r="G1453">
        <v>1</v>
      </c>
      <c r="H1453" s="7">
        <v>94.91</v>
      </c>
      <c r="I1453" t="s">
        <v>21</v>
      </c>
      <c r="J1453" t="s">
        <v>22</v>
      </c>
      <c r="K1453">
        <v>10</v>
      </c>
      <c r="L1453" s="7">
        <f t="shared" si="67"/>
        <v>94.91</v>
      </c>
      <c r="M1453" s="7"/>
      <c r="O1453">
        <f t="shared" si="68"/>
        <v>2</v>
      </c>
      <c r="Q1453" t="s">
        <v>23</v>
      </c>
    </row>
    <row r="1454" spans="1:17" x14ac:dyDescent="0.3">
      <c r="A1454" t="s">
        <v>2408</v>
      </c>
      <c r="B1454" s="6">
        <v>45177</v>
      </c>
      <c r="C1454" s="6" t="str">
        <f t="shared" si="66"/>
        <v>Sep</v>
      </c>
      <c r="D1454" t="s">
        <v>2409</v>
      </c>
      <c r="E1454" t="s">
        <v>31</v>
      </c>
      <c r="F1454" t="s">
        <v>523</v>
      </c>
      <c r="G1454">
        <v>9</v>
      </c>
      <c r="H1454" s="7">
        <v>154.69</v>
      </c>
      <c r="I1454" t="s">
        <v>19</v>
      </c>
      <c r="J1454" t="s">
        <v>22</v>
      </c>
      <c r="K1454">
        <v>20</v>
      </c>
      <c r="L1454" s="7">
        <f t="shared" si="67"/>
        <v>1392.21</v>
      </c>
      <c r="M1454" s="7"/>
      <c r="O1454">
        <f t="shared" si="68"/>
        <v>2</v>
      </c>
      <c r="Q1454" t="s">
        <v>19</v>
      </c>
    </row>
    <row r="1455" spans="1:17" x14ac:dyDescent="0.3">
      <c r="A1455" t="s">
        <v>2410</v>
      </c>
      <c r="B1455" s="6">
        <v>45198</v>
      </c>
      <c r="C1455" s="6" t="str">
        <f t="shared" si="66"/>
        <v>Sep</v>
      </c>
      <c r="D1455" t="s">
        <v>2411</v>
      </c>
      <c r="E1455" t="s">
        <v>62</v>
      </c>
      <c r="F1455" t="s">
        <v>939</v>
      </c>
      <c r="G1455">
        <v>1</v>
      </c>
      <c r="H1455" s="7">
        <v>30.15</v>
      </c>
      <c r="I1455" t="s">
        <v>64</v>
      </c>
      <c r="J1455" t="s">
        <v>42</v>
      </c>
      <c r="K1455">
        <v>15</v>
      </c>
      <c r="L1455" s="7">
        <f t="shared" si="67"/>
        <v>30.15</v>
      </c>
      <c r="M1455" s="7"/>
      <c r="O1455">
        <f t="shared" si="68"/>
        <v>2</v>
      </c>
      <c r="Q1455" t="s">
        <v>65</v>
      </c>
    </row>
    <row r="1456" spans="1:17" x14ac:dyDescent="0.3">
      <c r="A1456" t="s">
        <v>2412</v>
      </c>
      <c r="B1456" s="6">
        <v>45254</v>
      </c>
      <c r="C1456" s="6" t="str">
        <f t="shared" si="66"/>
        <v>Nov</v>
      </c>
      <c r="D1456" t="s">
        <v>291</v>
      </c>
      <c r="E1456" t="s">
        <v>26</v>
      </c>
      <c r="F1456" t="s">
        <v>319</v>
      </c>
      <c r="G1456">
        <v>4</v>
      </c>
      <c r="H1456" s="7">
        <v>236.81</v>
      </c>
      <c r="I1456" t="s">
        <v>46</v>
      </c>
      <c r="J1456" t="s">
        <v>28</v>
      </c>
      <c r="K1456">
        <v>10</v>
      </c>
      <c r="L1456" s="7">
        <f t="shared" si="67"/>
        <v>947.24</v>
      </c>
      <c r="M1456" s="7"/>
      <c r="O1456">
        <f t="shared" si="68"/>
        <v>2</v>
      </c>
      <c r="Q1456" t="s">
        <v>47</v>
      </c>
    </row>
    <row r="1457" spans="1:17" x14ac:dyDescent="0.3">
      <c r="A1457" t="s">
        <v>2413</v>
      </c>
      <c r="B1457" s="6">
        <v>44964</v>
      </c>
      <c r="C1457" s="6" t="str">
        <f t="shared" si="66"/>
        <v>Feb</v>
      </c>
      <c r="D1457" t="s">
        <v>2036</v>
      </c>
      <c r="E1457" t="s">
        <v>50</v>
      </c>
      <c r="F1457" t="s">
        <v>932</v>
      </c>
      <c r="G1457">
        <v>6</v>
      </c>
      <c r="H1457" s="7">
        <v>427.3</v>
      </c>
      <c r="I1457" t="s">
        <v>19</v>
      </c>
      <c r="J1457" t="s">
        <v>22</v>
      </c>
      <c r="K1457">
        <v>10</v>
      </c>
      <c r="L1457" s="7">
        <f t="shared" si="67"/>
        <v>2563.8000000000002</v>
      </c>
      <c r="M1457" s="7"/>
      <c r="O1457">
        <f t="shared" si="68"/>
        <v>3</v>
      </c>
      <c r="Q1457" t="s">
        <v>19</v>
      </c>
    </row>
    <row r="1458" spans="1:17" x14ac:dyDescent="0.3">
      <c r="A1458" t="s">
        <v>2414</v>
      </c>
      <c r="B1458" s="6">
        <v>45169</v>
      </c>
      <c r="C1458" s="6" t="str">
        <f t="shared" si="66"/>
        <v>Aug</v>
      </c>
      <c r="D1458" t="s">
        <v>408</v>
      </c>
      <c r="E1458" t="s">
        <v>62</v>
      </c>
      <c r="F1458" t="s">
        <v>378</v>
      </c>
      <c r="G1458">
        <v>7</v>
      </c>
      <c r="H1458" s="7">
        <v>467.12</v>
      </c>
      <c r="I1458" t="s">
        <v>64</v>
      </c>
      <c r="J1458" t="s">
        <v>72</v>
      </c>
      <c r="K1458">
        <v>5</v>
      </c>
      <c r="L1458" s="7">
        <f t="shared" si="67"/>
        <v>3269.84</v>
      </c>
      <c r="M1458" s="7"/>
      <c r="O1458">
        <f t="shared" si="68"/>
        <v>4</v>
      </c>
      <c r="Q1458" t="s">
        <v>65</v>
      </c>
    </row>
    <row r="1459" spans="1:17" x14ac:dyDescent="0.3">
      <c r="A1459" t="s">
        <v>2415</v>
      </c>
      <c r="B1459" s="6">
        <v>45169</v>
      </c>
      <c r="C1459" s="6" t="str">
        <f t="shared" si="66"/>
        <v>Aug</v>
      </c>
      <c r="D1459" t="s">
        <v>2416</v>
      </c>
      <c r="E1459" t="s">
        <v>62</v>
      </c>
      <c r="F1459" t="s">
        <v>480</v>
      </c>
      <c r="G1459">
        <v>2</v>
      </c>
      <c r="H1459" s="7">
        <v>466.64</v>
      </c>
      <c r="I1459" t="s">
        <v>103</v>
      </c>
      <c r="J1459" t="s">
        <v>87</v>
      </c>
      <c r="K1459">
        <v>15</v>
      </c>
      <c r="L1459" s="7">
        <f t="shared" si="67"/>
        <v>933.28</v>
      </c>
      <c r="M1459" s="7"/>
      <c r="O1459">
        <f t="shared" si="68"/>
        <v>2</v>
      </c>
      <c r="Q1459" t="s">
        <v>104</v>
      </c>
    </row>
    <row r="1460" spans="1:17" x14ac:dyDescent="0.3">
      <c r="A1460" t="s">
        <v>2417</v>
      </c>
      <c r="B1460" s="6">
        <v>45099</v>
      </c>
      <c r="C1460" s="6" t="str">
        <f t="shared" si="66"/>
        <v>Jun</v>
      </c>
      <c r="D1460" t="s">
        <v>324</v>
      </c>
      <c r="E1460" t="s">
        <v>31</v>
      </c>
      <c r="F1460" t="s">
        <v>474</v>
      </c>
      <c r="G1460">
        <v>6</v>
      </c>
      <c r="H1460" s="7">
        <v>66.989999999999995</v>
      </c>
      <c r="I1460" t="s">
        <v>64</v>
      </c>
      <c r="J1460" t="s">
        <v>22</v>
      </c>
      <c r="K1460">
        <v>20</v>
      </c>
      <c r="L1460" s="7">
        <f t="shared" si="67"/>
        <v>401.93999999999994</v>
      </c>
      <c r="M1460" s="7"/>
      <c r="O1460">
        <f t="shared" si="68"/>
        <v>2</v>
      </c>
      <c r="Q1460" t="s">
        <v>65</v>
      </c>
    </row>
    <row r="1461" spans="1:17" x14ac:dyDescent="0.3">
      <c r="A1461" t="s">
        <v>2418</v>
      </c>
      <c r="B1461" s="6">
        <v>45069</v>
      </c>
      <c r="C1461" s="6" t="str">
        <f t="shared" si="66"/>
        <v>May</v>
      </c>
      <c r="D1461" t="s">
        <v>1412</v>
      </c>
      <c r="E1461" t="s">
        <v>50</v>
      </c>
      <c r="F1461" t="s">
        <v>417</v>
      </c>
      <c r="G1461">
        <v>7</v>
      </c>
      <c r="H1461" s="7">
        <v>252.16</v>
      </c>
      <c r="I1461" t="s">
        <v>21</v>
      </c>
      <c r="J1461" t="s">
        <v>28</v>
      </c>
      <c r="K1461">
        <v>15</v>
      </c>
      <c r="L1461" s="7">
        <f t="shared" si="67"/>
        <v>1765.12</v>
      </c>
      <c r="M1461" s="7"/>
      <c r="O1461">
        <f t="shared" si="68"/>
        <v>2</v>
      </c>
      <c r="Q1461" t="s">
        <v>23</v>
      </c>
    </row>
    <row r="1462" spans="1:17" x14ac:dyDescent="0.3">
      <c r="A1462" t="s">
        <v>2419</v>
      </c>
      <c r="B1462" s="6">
        <v>45026</v>
      </c>
      <c r="C1462" s="6" t="str">
        <f t="shared" si="66"/>
        <v>Apr</v>
      </c>
      <c r="D1462" t="s">
        <v>2420</v>
      </c>
      <c r="E1462" t="s">
        <v>50</v>
      </c>
      <c r="F1462" t="s">
        <v>237</v>
      </c>
      <c r="G1462">
        <v>2</v>
      </c>
      <c r="H1462" s="7">
        <v>18.97</v>
      </c>
      <c r="I1462" t="s">
        <v>64</v>
      </c>
      <c r="J1462" t="s">
        <v>42</v>
      </c>
      <c r="K1462">
        <v>15</v>
      </c>
      <c r="L1462" s="7">
        <f t="shared" si="67"/>
        <v>37.94</v>
      </c>
      <c r="M1462" s="7"/>
      <c r="O1462">
        <f t="shared" si="68"/>
        <v>2</v>
      </c>
      <c r="Q1462" t="s">
        <v>65</v>
      </c>
    </row>
    <row r="1463" spans="1:17" x14ac:dyDescent="0.3">
      <c r="A1463" t="s">
        <v>2421</v>
      </c>
      <c r="B1463" s="6">
        <v>45207</v>
      </c>
      <c r="C1463" s="6" t="str">
        <f t="shared" si="66"/>
        <v>Oct</v>
      </c>
      <c r="D1463" t="s">
        <v>2244</v>
      </c>
      <c r="E1463" t="s">
        <v>50</v>
      </c>
      <c r="F1463" t="s">
        <v>193</v>
      </c>
      <c r="G1463">
        <v>2</v>
      </c>
      <c r="H1463" s="7">
        <v>428.31</v>
      </c>
      <c r="I1463" t="s">
        <v>19</v>
      </c>
      <c r="J1463" t="s">
        <v>42</v>
      </c>
      <c r="K1463">
        <v>10</v>
      </c>
      <c r="L1463" s="7">
        <f t="shared" si="67"/>
        <v>856.62</v>
      </c>
      <c r="M1463" s="7"/>
      <c r="O1463">
        <f t="shared" si="68"/>
        <v>2</v>
      </c>
      <c r="Q1463" t="s">
        <v>19</v>
      </c>
    </row>
    <row r="1464" spans="1:17" x14ac:dyDescent="0.3">
      <c r="A1464" t="s">
        <v>2422</v>
      </c>
      <c r="B1464" s="6">
        <v>45013</v>
      </c>
      <c r="C1464" s="6" t="str">
        <f t="shared" si="66"/>
        <v>Mar</v>
      </c>
      <c r="D1464" t="s">
        <v>1112</v>
      </c>
      <c r="E1464" t="s">
        <v>31</v>
      </c>
      <c r="F1464" t="s">
        <v>386</v>
      </c>
      <c r="G1464">
        <v>7</v>
      </c>
      <c r="H1464" s="7">
        <v>182.58</v>
      </c>
      <c r="I1464" t="s">
        <v>19</v>
      </c>
      <c r="J1464" t="s">
        <v>42</v>
      </c>
      <c r="K1464">
        <v>20</v>
      </c>
      <c r="L1464" s="7">
        <f t="shared" si="67"/>
        <v>1278.0600000000002</v>
      </c>
      <c r="M1464" s="7"/>
      <c r="O1464">
        <f t="shared" si="68"/>
        <v>2</v>
      </c>
      <c r="Q1464" t="s">
        <v>19</v>
      </c>
    </row>
    <row r="1465" spans="1:17" x14ac:dyDescent="0.3">
      <c r="A1465" t="s">
        <v>2423</v>
      </c>
      <c r="B1465" s="6">
        <v>45252</v>
      </c>
      <c r="C1465" s="6" t="str">
        <f t="shared" si="66"/>
        <v>Nov</v>
      </c>
      <c r="D1465" t="s">
        <v>355</v>
      </c>
      <c r="E1465" t="s">
        <v>50</v>
      </c>
      <c r="F1465" t="s">
        <v>789</v>
      </c>
      <c r="G1465">
        <v>1</v>
      </c>
      <c r="H1465" s="7">
        <v>317.39999999999998</v>
      </c>
      <c r="I1465" t="s">
        <v>32</v>
      </c>
      <c r="J1465" t="s">
        <v>19</v>
      </c>
      <c r="K1465">
        <v>0</v>
      </c>
      <c r="L1465" s="7">
        <f t="shared" si="67"/>
        <v>317.39999999999998</v>
      </c>
      <c r="M1465" s="7"/>
      <c r="O1465">
        <f t="shared" si="68"/>
        <v>2</v>
      </c>
      <c r="Q1465" t="s">
        <v>33</v>
      </c>
    </row>
    <row r="1466" spans="1:17" x14ac:dyDescent="0.3">
      <c r="A1466" t="s">
        <v>2424</v>
      </c>
      <c r="B1466" s="6">
        <v>44946</v>
      </c>
      <c r="C1466" s="6" t="str">
        <f t="shared" si="66"/>
        <v>Jan</v>
      </c>
      <c r="D1466" t="s">
        <v>645</v>
      </c>
      <c r="E1466" t="s">
        <v>31</v>
      </c>
      <c r="F1466" t="s">
        <v>1282</v>
      </c>
      <c r="G1466">
        <v>8</v>
      </c>
      <c r="H1466" s="7">
        <v>252.16</v>
      </c>
      <c r="I1466" t="s">
        <v>103</v>
      </c>
      <c r="J1466" t="s">
        <v>42</v>
      </c>
      <c r="K1466">
        <v>10</v>
      </c>
      <c r="L1466" s="7">
        <f t="shared" si="67"/>
        <v>2017.28</v>
      </c>
      <c r="M1466" s="7"/>
      <c r="O1466">
        <f t="shared" si="68"/>
        <v>2</v>
      </c>
      <c r="Q1466" t="s">
        <v>104</v>
      </c>
    </row>
    <row r="1467" spans="1:17" x14ac:dyDescent="0.3">
      <c r="A1467" t="s">
        <v>2425</v>
      </c>
      <c r="B1467" s="6">
        <v>44984</v>
      </c>
      <c r="C1467" s="6" t="str">
        <f t="shared" si="66"/>
        <v>Feb</v>
      </c>
      <c r="D1467" t="s">
        <v>1505</v>
      </c>
      <c r="E1467" t="s">
        <v>19</v>
      </c>
      <c r="F1467" t="s">
        <v>514</v>
      </c>
      <c r="G1467">
        <v>3</v>
      </c>
      <c r="H1467" s="7">
        <v>217.77</v>
      </c>
      <c r="I1467" t="s">
        <v>46</v>
      </c>
      <c r="J1467" t="s">
        <v>28</v>
      </c>
      <c r="K1467">
        <v>10</v>
      </c>
      <c r="L1467" s="7">
        <f t="shared" si="67"/>
        <v>653.31000000000006</v>
      </c>
      <c r="M1467" s="7"/>
      <c r="O1467">
        <f t="shared" si="68"/>
        <v>2</v>
      </c>
      <c r="Q1467" t="s">
        <v>47</v>
      </c>
    </row>
    <row r="1468" spans="1:17" x14ac:dyDescent="0.3">
      <c r="A1468" t="s">
        <v>2426</v>
      </c>
      <c r="B1468" s="6">
        <v>45002</v>
      </c>
      <c r="C1468" s="6" t="str">
        <f t="shared" si="66"/>
        <v>Mar</v>
      </c>
      <c r="D1468" t="s">
        <v>569</v>
      </c>
      <c r="E1468" t="s">
        <v>19</v>
      </c>
      <c r="F1468" t="s">
        <v>372</v>
      </c>
      <c r="G1468">
        <v>6</v>
      </c>
      <c r="H1468" s="7">
        <v>156.69</v>
      </c>
      <c r="I1468" t="s">
        <v>103</v>
      </c>
      <c r="J1468" t="s">
        <v>87</v>
      </c>
      <c r="K1468">
        <v>20</v>
      </c>
      <c r="L1468" s="7">
        <f t="shared" si="67"/>
        <v>940.14</v>
      </c>
      <c r="M1468" s="7"/>
      <c r="O1468">
        <f t="shared" si="68"/>
        <v>2</v>
      </c>
      <c r="Q1468" t="s">
        <v>104</v>
      </c>
    </row>
    <row r="1469" spans="1:17" x14ac:dyDescent="0.3">
      <c r="A1469" t="s">
        <v>2427</v>
      </c>
      <c r="B1469" s="6">
        <v>45099</v>
      </c>
      <c r="C1469" s="6" t="str">
        <f t="shared" si="66"/>
        <v>Jun</v>
      </c>
      <c r="D1469" t="s">
        <v>1050</v>
      </c>
      <c r="E1469" t="s">
        <v>62</v>
      </c>
      <c r="F1469" t="s">
        <v>257</v>
      </c>
      <c r="G1469">
        <v>9</v>
      </c>
      <c r="H1469" s="7">
        <v>481.3</v>
      </c>
      <c r="I1469" t="s">
        <v>103</v>
      </c>
      <c r="J1469" t="s">
        <v>19</v>
      </c>
      <c r="K1469">
        <v>5</v>
      </c>
      <c r="L1469" s="7">
        <f t="shared" si="67"/>
        <v>4331.7</v>
      </c>
      <c r="M1469" s="7"/>
      <c r="O1469">
        <f t="shared" si="68"/>
        <v>5</v>
      </c>
      <c r="Q1469" t="s">
        <v>104</v>
      </c>
    </row>
    <row r="1470" spans="1:17" x14ac:dyDescent="0.3">
      <c r="A1470" t="s">
        <v>2428</v>
      </c>
      <c r="B1470" s="6">
        <v>45089</v>
      </c>
      <c r="C1470" s="6" t="str">
        <f t="shared" si="66"/>
        <v>Jun</v>
      </c>
      <c r="D1470" t="s">
        <v>1444</v>
      </c>
      <c r="E1470" t="s">
        <v>19</v>
      </c>
      <c r="F1470" t="s">
        <v>344</v>
      </c>
      <c r="G1470">
        <v>6</v>
      </c>
      <c r="H1470" s="7">
        <v>482.42</v>
      </c>
      <c r="I1470" t="s">
        <v>64</v>
      </c>
      <c r="J1470" t="s">
        <v>72</v>
      </c>
      <c r="K1470">
        <v>10</v>
      </c>
      <c r="L1470" s="7">
        <f t="shared" si="67"/>
        <v>2894.52</v>
      </c>
      <c r="M1470" s="7"/>
      <c r="O1470">
        <f t="shared" si="68"/>
        <v>3</v>
      </c>
      <c r="Q1470" t="s">
        <v>65</v>
      </c>
    </row>
    <row r="1471" spans="1:17" x14ac:dyDescent="0.3">
      <c r="A1471" t="s">
        <v>2429</v>
      </c>
      <c r="B1471" s="6">
        <v>45244</v>
      </c>
      <c r="C1471" s="6" t="str">
        <f t="shared" si="66"/>
        <v>Nov</v>
      </c>
      <c r="D1471" t="s">
        <v>333</v>
      </c>
      <c r="E1471" t="s">
        <v>19</v>
      </c>
      <c r="F1471" t="s">
        <v>214</v>
      </c>
      <c r="G1471">
        <v>9</v>
      </c>
      <c r="H1471" s="7">
        <v>148.27000000000001</v>
      </c>
      <c r="I1471" t="s">
        <v>64</v>
      </c>
      <c r="J1471" t="s">
        <v>19</v>
      </c>
      <c r="K1471">
        <v>10</v>
      </c>
      <c r="L1471" s="7">
        <f t="shared" si="67"/>
        <v>1334.43</v>
      </c>
      <c r="M1471" s="7"/>
      <c r="O1471">
        <f t="shared" si="68"/>
        <v>2</v>
      </c>
      <c r="Q1471" t="s">
        <v>65</v>
      </c>
    </row>
    <row r="1472" spans="1:17" x14ac:dyDescent="0.3">
      <c r="A1472" t="s">
        <v>2430</v>
      </c>
      <c r="B1472" s="6">
        <v>44960</v>
      </c>
      <c r="C1472" s="6" t="str">
        <f t="shared" si="66"/>
        <v>Feb</v>
      </c>
      <c r="D1472" t="s">
        <v>83</v>
      </c>
      <c r="E1472" t="s">
        <v>19</v>
      </c>
      <c r="F1472" t="s">
        <v>939</v>
      </c>
      <c r="G1472">
        <v>7</v>
      </c>
      <c r="H1472" s="7">
        <v>242.41</v>
      </c>
      <c r="I1472" t="s">
        <v>64</v>
      </c>
      <c r="J1472" t="s">
        <v>72</v>
      </c>
      <c r="K1472">
        <v>10</v>
      </c>
      <c r="L1472" s="7">
        <f t="shared" si="67"/>
        <v>1696.87</v>
      </c>
      <c r="M1472" s="7"/>
      <c r="O1472">
        <f t="shared" si="68"/>
        <v>2</v>
      </c>
      <c r="Q1472" t="s">
        <v>65</v>
      </c>
    </row>
    <row r="1473" spans="1:17" x14ac:dyDescent="0.3">
      <c r="A1473" t="s">
        <v>2431</v>
      </c>
      <c r="B1473" s="6">
        <v>45247</v>
      </c>
      <c r="C1473" s="6" t="str">
        <f t="shared" si="66"/>
        <v>Nov</v>
      </c>
      <c r="D1473" t="s">
        <v>150</v>
      </c>
      <c r="E1473" t="s">
        <v>40</v>
      </c>
      <c r="F1473" t="s">
        <v>698</v>
      </c>
      <c r="G1473">
        <v>9</v>
      </c>
      <c r="H1473" s="7">
        <v>486.56</v>
      </c>
      <c r="I1473" t="s">
        <v>19</v>
      </c>
      <c r="J1473" t="s">
        <v>28</v>
      </c>
      <c r="K1473">
        <v>5</v>
      </c>
      <c r="L1473" s="7">
        <f t="shared" si="67"/>
        <v>4379.04</v>
      </c>
      <c r="M1473" s="7"/>
      <c r="O1473">
        <f t="shared" si="68"/>
        <v>5</v>
      </c>
      <c r="Q1473" t="s">
        <v>19</v>
      </c>
    </row>
    <row r="1474" spans="1:17" x14ac:dyDescent="0.3">
      <c r="A1474" t="s">
        <v>2432</v>
      </c>
      <c r="B1474" s="6">
        <v>45073</v>
      </c>
      <c r="C1474" s="6" t="str">
        <f t="shared" si="66"/>
        <v>May</v>
      </c>
      <c r="D1474" t="s">
        <v>516</v>
      </c>
      <c r="E1474" t="s">
        <v>36</v>
      </c>
      <c r="F1474" t="s">
        <v>398</v>
      </c>
      <c r="G1474">
        <v>2</v>
      </c>
      <c r="H1474" s="7">
        <v>7.41</v>
      </c>
      <c r="I1474" t="s">
        <v>19</v>
      </c>
      <c r="J1474" t="s">
        <v>87</v>
      </c>
      <c r="K1474">
        <v>10</v>
      </c>
      <c r="L1474" s="7">
        <f t="shared" si="67"/>
        <v>14.82</v>
      </c>
      <c r="M1474" s="7"/>
      <c r="O1474">
        <f t="shared" si="68"/>
        <v>2</v>
      </c>
      <c r="Q1474" t="s">
        <v>19</v>
      </c>
    </row>
    <row r="1475" spans="1:17" x14ac:dyDescent="0.3">
      <c r="A1475" t="s">
        <v>2433</v>
      </c>
      <c r="B1475" s="6">
        <v>45194</v>
      </c>
      <c r="C1475" s="6" t="str">
        <f t="shared" ref="C1475:C1538" si="69">TEXT(B1475,"MMM")</f>
        <v>Sep</v>
      </c>
      <c r="D1475" t="s">
        <v>1093</v>
      </c>
      <c r="E1475" t="s">
        <v>19</v>
      </c>
      <c r="F1475" t="s">
        <v>983</v>
      </c>
      <c r="G1475">
        <v>8</v>
      </c>
      <c r="H1475" s="7">
        <v>209.28</v>
      </c>
      <c r="I1475" t="s">
        <v>64</v>
      </c>
      <c r="J1475" t="s">
        <v>19</v>
      </c>
      <c r="K1475">
        <v>15</v>
      </c>
      <c r="L1475" s="7">
        <f t="shared" ref="L1475:L1538" si="70">G1475*H1475</f>
        <v>1674.24</v>
      </c>
      <c r="M1475" s="7"/>
      <c r="O1475">
        <f t="shared" si="68"/>
        <v>2</v>
      </c>
      <c r="Q1475" t="s">
        <v>65</v>
      </c>
    </row>
    <row r="1476" spans="1:17" x14ac:dyDescent="0.3">
      <c r="A1476" t="s">
        <v>2434</v>
      </c>
      <c r="B1476" s="6">
        <v>44941</v>
      </c>
      <c r="C1476" s="6" t="str">
        <f t="shared" si="69"/>
        <v>Jan</v>
      </c>
      <c r="D1476" t="s">
        <v>1137</v>
      </c>
      <c r="E1476" t="s">
        <v>19</v>
      </c>
      <c r="F1476" t="s">
        <v>939</v>
      </c>
      <c r="G1476">
        <v>8</v>
      </c>
      <c r="H1476" s="7">
        <v>54.73</v>
      </c>
      <c r="I1476" t="s">
        <v>64</v>
      </c>
      <c r="J1476" t="s">
        <v>22</v>
      </c>
      <c r="K1476">
        <v>20</v>
      </c>
      <c r="L1476" s="7">
        <f t="shared" si="70"/>
        <v>437.84</v>
      </c>
      <c r="M1476" s="7"/>
      <c r="O1476">
        <f t="shared" ref="O1476:O1539" si="71">IF(L1476&gt;3500,5,IF(L1476&gt;3000,4,IF(L1476&gt;2500,3,IF(L1476&gt;2000,2,IF(L1476&gt;1000,2,2)))))</f>
        <v>2</v>
      </c>
      <c r="Q1476" t="s">
        <v>65</v>
      </c>
    </row>
    <row r="1477" spans="1:17" x14ac:dyDescent="0.3">
      <c r="A1477" t="s">
        <v>2435</v>
      </c>
      <c r="B1477" s="6">
        <v>45062</v>
      </c>
      <c r="C1477" s="6" t="str">
        <f t="shared" si="69"/>
        <v>May</v>
      </c>
      <c r="D1477" t="s">
        <v>2436</v>
      </c>
      <c r="E1477" t="s">
        <v>26</v>
      </c>
      <c r="F1477" t="s">
        <v>472</v>
      </c>
      <c r="G1477">
        <v>2</v>
      </c>
      <c r="H1477" s="7">
        <v>257.02999999999997</v>
      </c>
      <c r="I1477" t="s">
        <v>103</v>
      </c>
      <c r="J1477" t="s">
        <v>22</v>
      </c>
      <c r="K1477">
        <v>5</v>
      </c>
      <c r="L1477" s="7">
        <f t="shared" si="70"/>
        <v>514.05999999999995</v>
      </c>
      <c r="M1477" s="7"/>
      <c r="O1477">
        <f t="shared" si="71"/>
        <v>2</v>
      </c>
      <c r="Q1477" t="s">
        <v>104</v>
      </c>
    </row>
    <row r="1478" spans="1:17" x14ac:dyDescent="0.3">
      <c r="A1478" t="s">
        <v>2437</v>
      </c>
      <c r="B1478" s="6">
        <v>45227</v>
      </c>
      <c r="C1478" s="6" t="str">
        <f t="shared" si="69"/>
        <v>Oct</v>
      </c>
      <c r="D1478" t="s">
        <v>1437</v>
      </c>
      <c r="E1478" t="s">
        <v>40</v>
      </c>
      <c r="F1478" t="s">
        <v>642</v>
      </c>
      <c r="G1478">
        <v>4</v>
      </c>
      <c r="H1478" s="7">
        <v>17.21</v>
      </c>
      <c r="I1478" t="s">
        <v>19</v>
      </c>
      <c r="J1478" t="s">
        <v>22</v>
      </c>
      <c r="K1478">
        <v>10</v>
      </c>
      <c r="L1478" s="7">
        <f t="shared" si="70"/>
        <v>68.84</v>
      </c>
      <c r="M1478" s="7"/>
      <c r="O1478">
        <f t="shared" si="71"/>
        <v>2</v>
      </c>
      <c r="Q1478" t="s">
        <v>19</v>
      </c>
    </row>
    <row r="1479" spans="1:17" x14ac:dyDescent="0.3">
      <c r="A1479" t="s">
        <v>2438</v>
      </c>
      <c r="B1479" s="6">
        <v>44964</v>
      </c>
      <c r="C1479" s="6" t="str">
        <f t="shared" si="69"/>
        <v>Feb</v>
      </c>
      <c r="D1479" t="s">
        <v>1321</v>
      </c>
      <c r="E1479" t="s">
        <v>50</v>
      </c>
      <c r="F1479" t="s">
        <v>708</v>
      </c>
      <c r="G1479">
        <v>7</v>
      </c>
      <c r="H1479" s="7">
        <v>206.41</v>
      </c>
      <c r="I1479" t="s">
        <v>64</v>
      </c>
      <c r="J1479" t="s">
        <v>22</v>
      </c>
      <c r="K1479">
        <v>10</v>
      </c>
      <c r="L1479" s="7">
        <f t="shared" si="70"/>
        <v>1444.87</v>
      </c>
      <c r="M1479" s="7"/>
      <c r="O1479">
        <f t="shared" si="71"/>
        <v>2</v>
      </c>
      <c r="Q1479" t="s">
        <v>65</v>
      </c>
    </row>
    <row r="1480" spans="1:17" x14ac:dyDescent="0.3">
      <c r="A1480" t="s">
        <v>2439</v>
      </c>
      <c r="B1480" s="6">
        <v>44945</v>
      </c>
      <c r="C1480" s="6" t="str">
        <f t="shared" si="69"/>
        <v>Jan</v>
      </c>
      <c r="D1480" t="s">
        <v>799</v>
      </c>
      <c r="E1480" t="s">
        <v>26</v>
      </c>
      <c r="F1480" t="s">
        <v>900</v>
      </c>
      <c r="G1480">
        <v>4</v>
      </c>
      <c r="H1480" s="7">
        <v>114.25</v>
      </c>
      <c r="I1480" t="s">
        <v>19</v>
      </c>
      <c r="J1480" t="s">
        <v>28</v>
      </c>
      <c r="K1480">
        <v>10</v>
      </c>
      <c r="L1480" s="7">
        <f t="shared" si="70"/>
        <v>457</v>
      </c>
      <c r="M1480" s="7"/>
      <c r="O1480">
        <f t="shared" si="71"/>
        <v>2</v>
      </c>
      <c r="Q1480" t="s">
        <v>19</v>
      </c>
    </row>
    <row r="1481" spans="1:17" x14ac:dyDescent="0.3">
      <c r="A1481" t="s">
        <v>2440</v>
      </c>
      <c r="B1481" s="6">
        <v>45050</v>
      </c>
      <c r="C1481" s="6" t="str">
        <f t="shared" si="69"/>
        <v>May</v>
      </c>
      <c r="D1481" t="s">
        <v>35</v>
      </c>
      <c r="E1481" t="s">
        <v>40</v>
      </c>
      <c r="F1481" t="s">
        <v>68</v>
      </c>
      <c r="G1481">
        <v>4</v>
      </c>
      <c r="H1481" s="7">
        <v>268.99</v>
      </c>
      <c r="I1481" t="s">
        <v>64</v>
      </c>
      <c r="J1481" t="s">
        <v>87</v>
      </c>
      <c r="K1481">
        <v>5</v>
      </c>
      <c r="L1481" s="7">
        <f t="shared" si="70"/>
        <v>1075.96</v>
      </c>
      <c r="M1481" s="7"/>
      <c r="O1481">
        <f t="shared" si="71"/>
        <v>2</v>
      </c>
      <c r="Q1481" t="s">
        <v>65</v>
      </c>
    </row>
    <row r="1482" spans="1:17" x14ac:dyDescent="0.3">
      <c r="A1482" t="s">
        <v>2441</v>
      </c>
      <c r="B1482" s="6">
        <v>45115</v>
      </c>
      <c r="C1482" s="6" t="str">
        <f t="shared" si="69"/>
        <v>Jul</v>
      </c>
      <c r="D1482" t="s">
        <v>1271</v>
      </c>
      <c r="E1482" t="s">
        <v>36</v>
      </c>
      <c r="F1482" t="s">
        <v>359</v>
      </c>
      <c r="G1482">
        <v>6</v>
      </c>
      <c r="H1482" s="7">
        <v>498.02</v>
      </c>
      <c r="I1482" t="s">
        <v>19</v>
      </c>
      <c r="J1482" t="s">
        <v>87</v>
      </c>
      <c r="K1482">
        <v>10</v>
      </c>
      <c r="L1482" s="7">
        <f t="shared" si="70"/>
        <v>2988.12</v>
      </c>
      <c r="M1482" s="7"/>
      <c r="O1482">
        <f t="shared" si="71"/>
        <v>3</v>
      </c>
      <c r="Q1482" t="s">
        <v>19</v>
      </c>
    </row>
    <row r="1483" spans="1:17" x14ac:dyDescent="0.3">
      <c r="A1483" t="s">
        <v>2442</v>
      </c>
      <c r="B1483" s="6">
        <v>45137</v>
      </c>
      <c r="C1483" s="6" t="str">
        <f t="shared" si="69"/>
        <v>Jul</v>
      </c>
      <c r="D1483" t="s">
        <v>216</v>
      </c>
      <c r="E1483" t="s">
        <v>40</v>
      </c>
      <c r="F1483" t="s">
        <v>713</v>
      </c>
      <c r="G1483">
        <v>6</v>
      </c>
      <c r="H1483" s="7">
        <v>401.27</v>
      </c>
      <c r="I1483" t="s">
        <v>46</v>
      </c>
      <c r="J1483" t="s">
        <v>28</v>
      </c>
      <c r="K1483">
        <v>10</v>
      </c>
      <c r="L1483" s="7">
        <f t="shared" si="70"/>
        <v>2407.62</v>
      </c>
      <c r="M1483" s="7"/>
      <c r="O1483">
        <f t="shared" si="71"/>
        <v>2</v>
      </c>
      <c r="Q1483" t="s">
        <v>47</v>
      </c>
    </row>
    <row r="1484" spans="1:17" x14ac:dyDescent="0.3">
      <c r="A1484" t="s">
        <v>2443</v>
      </c>
      <c r="B1484" s="6">
        <v>45242</v>
      </c>
      <c r="C1484" s="6" t="str">
        <f t="shared" si="69"/>
        <v>Nov</v>
      </c>
      <c r="D1484" t="s">
        <v>2338</v>
      </c>
      <c r="E1484" t="s">
        <v>62</v>
      </c>
      <c r="F1484" t="s">
        <v>375</v>
      </c>
      <c r="G1484">
        <v>3</v>
      </c>
      <c r="H1484" s="7">
        <v>423.59</v>
      </c>
      <c r="I1484" t="s">
        <v>32</v>
      </c>
      <c r="J1484" t="s">
        <v>19</v>
      </c>
      <c r="K1484">
        <v>10</v>
      </c>
      <c r="L1484" s="7">
        <f t="shared" si="70"/>
        <v>1270.77</v>
      </c>
      <c r="M1484" s="7"/>
      <c r="O1484">
        <f t="shared" si="71"/>
        <v>2</v>
      </c>
      <c r="Q1484" t="s">
        <v>33</v>
      </c>
    </row>
    <row r="1485" spans="1:17" x14ac:dyDescent="0.3">
      <c r="A1485" t="s">
        <v>2444</v>
      </c>
      <c r="B1485" s="6">
        <v>44944</v>
      </c>
      <c r="C1485" s="6" t="str">
        <f t="shared" si="69"/>
        <v>Jan</v>
      </c>
      <c r="D1485" t="s">
        <v>2134</v>
      </c>
      <c r="E1485" t="s">
        <v>19</v>
      </c>
      <c r="F1485" t="s">
        <v>251</v>
      </c>
      <c r="G1485">
        <v>9</v>
      </c>
      <c r="H1485" s="7">
        <v>319.45999999999998</v>
      </c>
      <c r="I1485" t="s">
        <v>64</v>
      </c>
      <c r="J1485" t="s">
        <v>19</v>
      </c>
      <c r="K1485">
        <v>0</v>
      </c>
      <c r="L1485" s="7">
        <f t="shared" si="70"/>
        <v>2875.14</v>
      </c>
      <c r="M1485" s="7"/>
      <c r="O1485">
        <f t="shared" si="71"/>
        <v>3</v>
      </c>
      <c r="Q1485" t="s">
        <v>65</v>
      </c>
    </row>
    <row r="1486" spans="1:17" x14ac:dyDescent="0.3">
      <c r="A1486" t="s">
        <v>2445</v>
      </c>
      <c r="B1486" s="6">
        <v>45156</v>
      </c>
      <c r="C1486" s="6" t="str">
        <f t="shared" si="69"/>
        <v>Aug</v>
      </c>
      <c r="D1486" t="s">
        <v>30</v>
      </c>
      <c r="E1486" t="s">
        <v>50</v>
      </c>
      <c r="F1486" t="s">
        <v>257</v>
      </c>
      <c r="G1486">
        <v>2</v>
      </c>
      <c r="H1486" s="7">
        <v>25.57</v>
      </c>
      <c r="I1486" t="s">
        <v>64</v>
      </c>
      <c r="J1486" t="s">
        <v>42</v>
      </c>
      <c r="K1486">
        <v>10</v>
      </c>
      <c r="L1486" s="7">
        <f t="shared" si="70"/>
        <v>51.14</v>
      </c>
      <c r="M1486" s="7"/>
      <c r="O1486">
        <f t="shared" si="71"/>
        <v>2</v>
      </c>
      <c r="Q1486" t="s">
        <v>65</v>
      </c>
    </row>
    <row r="1487" spans="1:17" x14ac:dyDescent="0.3">
      <c r="A1487" t="s">
        <v>2446</v>
      </c>
      <c r="B1487" s="6">
        <v>45069</v>
      </c>
      <c r="C1487" s="6" t="str">
        <f t="shared" si="69"/>
        <v>May</v>
      </c>
      <c r="D1487" t="s">
        <v>2354</v>
      </c>
      <c r="E1487" t="s">
        <v>31</v>
      </c>
      <c r="F1487" t="s">
        <v>37</v>
      </c>
      <c r="G1487">
        <v>6</v>
      </c>
      <c r="H1487" s="7">
        <v>107.36</v>
      </c>
      <c r="I1487" t="s">
        <v>32</v>
      </c>
      <c r="J1487" t="s">
        <v>42</v>
      </c>
      <c r="K1487">
        <v>0</v>
      </c>
      <c r="L1487" s="7">
        <f t="shared" si="70"/>
        <v>644.16</v>
      </c>
      <c r="M1487" s="7"/>
      <c r="O1487">
        <f t="shared" si="71"/>
        <v>2</v>
      </c>
      <c r="Q1487" t="s">
        <v>33</v>
      </c>
    </row>
    <row r="1488" spans="1:17" x14ac:dyDescent="0.3">
      <c r="A1488" t="s">
        <v>2447</v>
      </c>
      <c r="B1488" s="6">
        <v>45010</v>
      </c>
      <c r="C1488" s="6" t="str">
        <f t="shared" si="69"/>
        <v>Mar</v>
      </c>
      <c r="D1488" t="s">
        <v>858</v>
      </c>
      <c r="E1488" t="s">
        <v>19</v>
      </c>
      <c r="F1488" t="s">
        <v>730</v>
      </c>
      <c r="G1488">
        <v>7</v>
      </c>
      <c r="H1488" s="7">
        <v>462.91</v>
      </c>
      <c r="I1488" t="s">
        <v>64</v>
      </c>
      <c r="J1488" t="s">
        <v>28</v>
      </c>
      <c r="K1488">
        <v>0</v>
      </c>
      <c r="L1488" s="7">
        <f t="shared" si="70"/>
        <v>3240.3700000000003</v>
      </c>
      <c r="M1488" s="7"/>
      <c r="O1488">
        <f t="shared" si="71"/>
        <v>4</v>
      </c>
      <c r="Q1488" t="s">
        <v>65</v>
      </c>
    </row>
    <row r="1489" spans="1:17" x14ac:dyDescent="0.3">
      <c r="A1489" t="s">
        <v>2448</v>
      </c>
      <c r="B1489" s="6">
        <v>45213</v>
      </c>
      <c r="C1489" s="6" t="str">
        <f t="shared" si="69"/>
        <v>Oct</v>
      </c>
      <c r="D1489" t="s">
        <v>1840</v>
      </c>
      <c r="E1489" t="s">
        <v>19</v>
      </c>
      <c r="F1489" t="s">
        <v>257</v>
      </c>
      <c r="G1489">
        <v>9</v>
      </c>
      <c r="H1489" s="7">
        <v>186.23</v>
      </c>
      <c r="I1489" t="s">
        <v>103</v>
      </c>
      <c r="J1489" t="s">
        <v>28</v>
      </c>
      <c r="K1489">
        <v>10</v>
      </c>
      <c r="L1489" s="7">
        <f t="shared" si="70"/>
        <v>1676.07</v>
      </c>
      <c r="M1489" s="7"/>
      <c r="O1489">
        <f t="shared" si="71"/>
        <v>2</v>
      </c>
      <c r="Q1489" t="s">
        <v>104</v>
      </c>
    </row>
    <row r="1490" spans="1:17" x14ac:dyDescent="0.3">
      <c r="A1490" t="s">
        <v>2449</v>
      </c>
      <c r="B1490" s="6">
        <v>45043</v>
      </c>
      <c r="C1490" s="6" t="str">
        <f t="shared" si="69"/>
        <v>Apr</v>
      </c>
      <c r="D1490" t="s">
        <v>2450</v>
      </c>
      <c r="E1490" t="s">
        <v>26</v>
      </c>
      <c r="F1490" t="s">
        <v>278</v>
      </c>
      <c r="G1490">
        <v>3</v>
      </c>
      <c r="H1490" s="7">
        <v>56.3</v>
      </c>
      <c r="I1490" t="s">
        <v>103</v>
      </c>
      <c r="J1490" t="s">
        <v>87</v>
      </c>
      <c r="K1490">
        <v>5</v>
      </c>
      <c r="L1490" s="7">
        <f t="shared" si="70"/>
        <v>168.89999999999998</v>
      </c>
      <c r="M1490" s="7"/>
      <c r="O1490">
        <f t="shared" si="71"/>
        <v>2</v>
      </c>
      <c r="Q1490" t="s">
        <v>104</v>
      </c>
    </row>
    <row r="1491" spans="1:17" x14ac:dyDescent="0.3">
      <c r="A1491" t="s">
        <v>2451</v>
      </c>
      <c r="B1491" s="6">
        <v>45205</v>
      </c>
      <c r="C1491" s="6" t="str">
        <f t="shared" si="69"/>
        <v>Oct</v>
      </c>
      <c r="D1491" t="s">
        <v>897</v>
      </c>
      <c r="E1491" t="s">
        <v>50</v>
      </c>
      <c r="F1491" t="s">
        <v>474</v>
      </c>
      <c r="G1491">
        <v>3</v>
      </c>
      <c r="H1491" s="7">
        <v>352.69</v>
      </c>
      <c r="I1491" t="s">
        <v>64</v>
      </c>
      <c r="J1491" t="s">
        <v>42</v>
      </c>
      <c r="K1491">
        <v>15</v>
      </c>
      <c r="L1491" s="7">
        <f t="shared" si="70"/>
        <v>1058.07</v>
      </c>
      <c r="M1491" s="7"/>
      <c r="O1491">
        <f t="shared" si="71"/>
        <v>2</v>
      </c>
      <c r="Q1491" t="s">
        <v>65</v>
      </c>
    </row>
    <row r="1492" spans="1:17" x14ac:dyDescent="0.3">
      <c r="A1492" t="s">
        <v>2452</v>
      </c>
      <c r="B1492" s="6">
        <v>44984</v>
      </c>
      <c r="C1492" s="6" t="str">
        <f t="shared" si="69"/>
        <v>Feb</v>
      </c>
      <c r="D1492" t="s">
        <v>1418</v>
      </c>
      <c r="E1492" t="s">
        <v>40</v>
      </c>
      <c r="F1492" t="s">
        <v>54</v>
      </c>
      <c r="G1492">
        <v>7</v>
      </c>
      <c r="H1492" s="7">
        <v>153.22999999999999</v>
      </c>
      <c r="I1492" t="s">
        <v>19</v>
      </c>
      <c r="J1492" t="s">
        <v>87</v>
      </c>
      <c r="K1492">
        <v>10</v>
      </c>
      <c r="L1492" s="7">
        <f t="shared" si="70"/>
        <v>1072.6099999999999</v>
      </c>
      <c r="M1492" s="7"/>
      <c r="O1492">
        <f t="shared" si="71"/>
        <v>2</v>
      </c>
      <c r="Q1492" t="s">
        <v>19</v>
      </c>
    </row>
    <row r="1493" spans="1:17" x14ac:dyDescent="0.3">
      <c r="A1493" t="s">
        <v>2453</v>
      </c>
      <c r="B1493" s="6">
        <v>44960</v>
      </c>
      <c r="C1493" s="6" t="str">
        <f t="shared" si="69"/>
        <v>Feb</v>
      </c>
      <c r="D1493" t="s">
        <v>2454</v>
      </c>
      <c r="E1493" t="s">
        <v>19</v>
      </c>
      <c r="F1493" t="s">
        <v>193</v>
      </c>
      <c r="G1493">
        <v>4</v>
      </c>
      <c r="H1493" s="7">
        <v>138.08000000000001</v>
      </c>
      <c r="I1493" t="s">
        <v>46</v>
      </c>
      <c r="J1493" t="s">
        <v>72</v>
      </c>
      <c r="K1493">
        <v>20</v>
      </c>
      <c r="L1493" s="7">
        <f t="shared" si="70"/>
        <v>552.32000000000005</v>
      </c>
      <c r="M1493" s="7"/>
      <c r="O1493">
        <f t="shared" si="71"/>
        <v>2</v>
      </c>
      <c r="Q1493" t="s">
        <v>47</v>
      </c>
    </row>
    <row r="1494" spans="1:17" x14ac:dyDescent="0.3">
      <c r="A1494" t="s">
        <v>2455</v>
      </c>
      <c r="B1494" s="6">
        <v>45262</v>
      </c>
      <c r="C1494" s="6" t="str">
        <f t="shared" si="69"/>
        <v>Dec</v>
      </c>
      <c r="D1494" t="s">
        <v>374</v>
      </c>
      <c r="E1494" t="s">
        <v>40</v>
      </c>
      <c r="F1494" t="s">
        <v>116</v>
      </c>
      <c r="G1494">
        <v>8</v>
      </c>
      <c r="H1494" s="7">
        <v>499</v>
      </c>
      <c r="I1494" t="s">
        <v>103</v>
      </c>
      <c r="J1494" t="s">
        <v>42</v>
      </c>
      <c r="K1494">
        <v>0</v>
      </c>
      <c r="L1494" s="7">
        <f t="shared" si="70"/>
        <v>3992</v>
      </c>
      <c r="M1494" s="7"/>
      <c r="O1494">
        <f t="shared" si="71"/>
        <v>5</v>
      </c>
      <c r="Q1494" t="s">
        <v>104</v>
      </c>
    </row>
    <row r="1495" spans="1:17" x14ac:dyDescent="0.3">
      <c r="A1495" t="s">
        <v>2456</v>
      </c>
      <c r="B1495" s="6">
        <v>45097</v>
      </c>
      <c r="C1495" s="6" t="str">
        <f t="shared" si="69"/>
        <v>Jun</v>
      </c>
      <c r="D1495" t="s">
        <v>1896</v>
      </c>
      <c r="E1495" t="s">
        <v>40</v>
      </c>
      <c r="F1495" t="s">
        <v>417</v>
      </c>
      <c r="G1495">
        <v>7</v>
      </c>
      <c r="H1495" s="7">
        <v>429.78</v>
      </c>
      <c r="I1495" t="s">
        <v>103</v>
      </c>
      <c r="J1495" t="s">
        <v>72</v>
      </c>
      <c r="K1495">
        <v>5</v>
      </c>
      <c r="L1495" s="7">
        <f t="shared" si="70"/>
        <v>3008.46</v>
      </c>
      <c r="M1495" s="7"/>
      <c r="O1495">
        <f t="shared" si="71"/>
        <v>4</v>
      </c>
      <c r="Q1495" t="s">
        <v>104</v>
      </c>
    </row>
    <row r="1496" spans="1:17" x14ac:dyDescent="0.3">
      <c r="A1496" t="s">
        <v>2457</v>
      </c>
      <c r="B1496" s="6">
        <v>45257</v>
      </c>
      <c r="C1496" s="6" t="str">
        <f t="shared" si="69"/>
        <v>Nov</v>
      </c>
      <c r="D1496" t="s">
        <v>2458</v>
      </c>
      <c r="E1496" t="s">
        <v>26</v>
      </c>
      <c r="F1496" t="s">
        <v>176</v>
      </c>
      <c r="G1496">
        <v>5</v>
      </c>
      <c r="H1496" s="7">
        <v>206.93</v>
      </c>
      <c r="I1496" t="s">
        <v>64</v>
      </c>
      <c r="J1496" t="s">
        <v>28</v>
      </c>
      <c r="K1496">
        <v>10</v>
      </c>
      <c r="L1496" s="7">
        <f t="shared" si="70"/>
        <v>1034.6500000000001</v>
      </c>
      <c r="M1496" s="7"/>
      <c r="O1496">
        <f t="shared" si="71"/>
        <v>2</v>
      </c>
      <c r="Q1496" t="s">
        <v>65</v>
      </c>
    </row>
    <row r="1497" spans="1:17" x14ac:dyDescent="0.3">
      <c r="A1497" t="s">
        <v>2459</v>
      </c>
      <c r="B1497" s="6">
        <v>44948</v>
      </c>
      <c r="C1497" s="6" t="str">
        <f t="shared" si="69"/>
        <v>Jan</v>
      </c>
      <c r="D1497" t="s">
        <v>881</v>
      </c>
      <c r="E1497" t="s">
        <v>36</v>
      </c>
      <c r="F1497" t="s">
        <v>412</v>
      </c>
      <c r="G1497">
        <v>7</v>
      </c>
      <c r="H1497" s="7">
        <v>490.23</v>
      </c>
      <c r="I1497" t="s">
        <v>103</v>
      </c>
      <c r="J1497" t="s">
        <v>28</v>
      </c>
      <c r="K1497">
        <v>5</v>
      </c>
      <c r="L1497" s="7">
        <f t="shared" si="70"/>
        <v>3431.61</v>
      </c>
      <c r="M1497" s="7"/>
      <c r="O1497">
        <f t="shared" si="71"/>
        <v>4</v>
      </c>
      <c r="Q1497" t="s">
        <v>104</v>
      </c>
    </row>
    <row r="1498" spans="1:17" x14ac:dyDescent="0.3">
      <c r="A1498" t="s">
        <v>2460</v>
      </c>
      <c r="B1498" s="6">
        <v>45165</v>
      </c>
      <c r="C1498" s="6" t="str">
        <f t="shared" si="69"/>
        <v>Aug</v>
      </c>
      <c r="D1498" t="s">
        <v>352</v>
      </c>
      <c r="E1498" t="s">
        <v>36</v>
      </c>
      <c r="F1498" t="s">
        <v>499</v>
      </c>
      <c r="G1498">
        <v>3</v>
      </c>
      <c r="H1498" s="7">
        <v>326.81</v>
      </c>
      <c r="I1498" t="s">
        <v>103</v>
      </c>
      <c r="J1498" t="s">
        <v>72</v>
      </c>
      <c r="K1498">
        <v>5</v>
      </c>
      <c r="L1498" s="7">
        <f t="shared" si="70"/>
        <v>980.43000000000006</v>
      </c>
      <c r="M1498" s="7"/>
      <c r="O1498">
        <f t="shared" si="71"/>
        <v>2</v>
      </c>
      <c r="Q1498" t="s">
        <v>104</v>
      </c>
    </row>
    <row r="1499" spans="1:17" x14ac:dyDescent="0.3">
      <c r="A1499" t="s">
        <v>2461</v>
      </c>
      <c r="B1499" s="6">
        <v>44964</v>
      </c>
      <c r="C1499" s="6" t="str">
        <f t="shared" si="69"/>
        <v>Feb</v>
      </c>
      <c r="D1499" t="s">
        <v>382</v>
      </c>
      <c r="E1499" t="s">
        <v>62</v>
      </c>
      <c r="F1499" t="s">
        <v>295</v>
      </c>
      <c r="G1499">
        <v>2</v>
      </c>
      <c r="H1499" s="7">
        <v>372.3</v>
      </c>
      <c r="I1499" t="s">
        <v>64</v>
      </c>
      <c r="J1499" t="s">
        <v>22</v>
      </c>
      <c r="K1499">
        <v>10</v>
      </c>
      <c r="L1499" s="7">
        <f t="shared" si="70"/>
        <v>744.6</v>
      </c>
      <c r="M1499" s="7"/>
      <c r="O1499">
        <f t="shared" si="71"/>
        <v>2</v>
      </c>
      <c r="Q1499" t="s">
        <v>65</v>
      </c>
    </row>
    <row r="1500" spans="1:17" x14ac:dyDescent="0.3">
      <c r="A1500" t="s">
        <v>2462</v>
      </c>
      <c r="B1500" s="6">
        <v>45217</v>
      </c>
      <c r="C1500" s="6" t="str">
        <f t="shared" si="69"/>
        <v>Oct</v>
      </c>
      <c r="D1500" t="s">
        <v>2463</v>
      </c>
      <c r="E1500" t="s">
        <v>62</v>
      </c>
      <c r="F1500" t="s">
        <v>423</v>
      </c>
      <c r="G1500">
        <v>6</v>
      </c>
      <c r="H1500" s="7">
        <v>20.6</v>
      </c>
      <c r="I1500" t="s">
        <v>103</v>
      </c>
      <c r="J1500" t="s">
        <v>28</v>
      </c>
      <c r="K1500">
        <v>20</v>
      </c>
      <c r="L1500" s="7">
        <f t="shared" si="70"/>
        <v>123.60000000000001</v>
      </c>
      <c r="M1500" s="7"/>
      <c r="O1500">
        <f t="shared" si="71"/>
        <v>2</v>
      </c>
      <c r="Q1500" t="s">
        <v>104</v>
      </c>
    </row>
    <row r="1501" spans="1:17" x14ac:dyDescent="0.3">
      <c r="A1501" t="s">
        <v>2464</v>
      </c>
      <c r="B1501" s="6">
        <v>44972</v>
      </c>
      <c r="C1501" s="6" t="str">
        <f t="shared" si="69"/>
        <v>Feb</v>
      </c>
      <c r="D1501" t="s">
        <v>2342</v>
      </c>
      <c r="E1501" t="s">
        <v>19</v>
      </c>
      <c r="F1501" t="s">
        <v>205</v>
      </c>
      <c r="G1501">
        <v>2</v>
      </c>
      <c r="H1501" s="7">
        <v>65.19</v>
      </c>
      <c r="I1501" t="s">
        <v>64</v>
      </c>
      <c r="J1501" t="s">
        <v>87</v>
      </c>
      <c r="K1501">
        <v>10</v>
      </c>
      <c r="L1501" s="7">
        <f t="shared" si="70"/>
        <v>130.38</v>
      </c>
      <c r="M1501" s="7"/>
      <c r="O1501">
        <f t="shared" si="71"/>
        <v>2</v>
      </c>
      <c r="Q1501" t="s">
        <v>65</v>
      </c>
    </row>
    <row r="1502" spans="1:17" x14ac:dyDescent="0.3">
      <c r="A1502" t="s">
        <v>2465</v>
      </c>
      <c r="B1502" s="6">
        <v>45260</v>
      </c>
      <c r="C1502" s="6" t="str">
        <f t="shared" si="69"/>
        <v>Nov</v>
      </c>
      <c r="D1502" t="s">
        <v>795</v>
      </c>
      <c r="E1502" t="s">
        <v>62</v>
      </c>
      <c r="F1502" t="s">
        <v>415</v>
      </c>
      <c r="G1502">
        <v>3</v>
      </c>
      <c r="H1502" s="7">
        <v>318.38</v>
      </c>
      <c r="I1502" t="s">
        <v>19</v>
      </c>
      <c r="J1502" t="s">
        <v>28</v>
      </c>
      <c r="K1502">
        <v>20</v>
      </c>
      <c r="L1502" s="7">
        <f t="shared" si="70"/>
        <v>955.14</v>
      </c>
      <c r="M1502" s="7"/>
      <c r="O1502">
        <f t="shared" si="71"/>
        <v>2</v>
      </c>
      <c r="Q1502" t="s">
        <v>19</v>
      </c>
    </row>
    <row r="1503" spans="1:17" x14ac:dyDescent="0.3">
      <c r="A1503" t="s">
        <v>2466</v>
      </c>
      <c r="B1503" s="6">
        <v>45125</v>
      </c>
      <c r="C1503" s="6" t="str">
        <f t="shared" si="69"/>
        <v>Jul</v>
      </c>
      <c r="D1503" t="s">
        <v>2467</v>
      </c>
      <c r="E1503" t="s">
        <v>19</v>
      </c>
      <c r="F1503" t="s">
        <v>445</v>
      </c>
      <c r="G1503">
        <v>5</v>
      </c>
      <c r="H1503" s="7">
        <v>450.02</v>
      </c>
      <c r="I1503" t="s">
        <v>64</v>
      </c>
      <c r="J1503" t="s">
        <v>42</v>
      </c>
      <c r="K1503">
        <v>10</v>
      </c>
      <c r="L1503" s="7">
        <f t="shared" si="70"/>
        <v>2250.1</v>
      </c>
      <c r="M1503" s="7"/>
      <c r="O1503">
        <f t="shared" si="71"/>
        <v>2</v>
      </c>
      <c r="Q1503" t="s">
        <v>65</v>
      </c>
    </row>
    <row r="1504" spans="1:17" x14ac:dyDescent="0.3">
      <c r="A1504" t="s">
        <v>2468</v>
      </c>
      <c r="B1504" s="6">
        <v>45259</v>
      </c>
      <c r="C1504" s="6" t="str">
        <f t="shared" si="69"/>
        <v>Nov</v>
      </c>
      <c r="D1504" t="s">
        <v>852</v>
      </c>
      <c r="E1504" t="s">
        <v>31</v>
      </c>
      <c r="F1504" t="s">
        <v>732</v>
      </c>
      <c r="G1504">
        <v>5</v>
      </c>
      <c r="H1504" s="7">
        <v>313.75</v>
      </c>
      <c r="I1504" t="s">
        <v>32</v>
      </c>
      <c r="J1504" t="s">
        <v>28</v>
      </c>
      <c r="K1504">
        <v>0</v>
      </c>
      <c r="L1504" s="7">
        <f t="shared" si="70"/>
        <v>1568.75</v>
      </c>
      <c r="M1504" s="7"/>
      <c r="O1504">
        <f t="shared" si="71"/>
        <v>2</v>
      </c>
      <c r="Q1504" t="s">
        <v>33</v>
      </c>
    </row>
    <row r="1505" spans="1:17" x14ac:dyDescent="0.3">
      <c r="A1505" t="s">
        <v>2469</v>
      </c>
      <c r="B1505" s="6">
        <v>45056</v>
      </c>
      <c r="C1505" s="6" t="str">
        <f t="shared" si="69"/>
        <v>May</v>
      </c>
      <c r="D1505" t="s">
        <v>1408</v>
      </c>
      <c r="E1505" t="s">
        <v>26</v>
      </c>
      <c r="F1505" t="s">
        <v>170</v>
      </c>
      <c r="G1505">
        <v>8</v>
      </c>
      <c r="H1505" s="7">
        <v>71.34</v>
      </c>
      <c r="I1505" t="s">
        <v>21</v>
      </c>
      <c r="J1505" t="s">
        <v>72</v>
      </c>
      <c r="K1505">
        <v>20</v>
      </c>
      <c r="L1505" s="7">
        <f t="shared" si="70"/>
        <v>570.72</v>
      </c>
      <c r="M1505" s="7"/>
      <c r="O1505">
        <f t="shared" si="71"/>
        <v>2</v>
      </c>
      <c r="Q1505" t="s">
        <v>23</v>
      </c>
    </row>
    <row r="1506" spans="1:17" x14ac:dyDescent="0.3">
      <c r="A1506" t="s">
        <v>2470</v>
      </c>
      <c r="B1506" s="6">
        <v>45034</v>
      </c>
      <c r="C1506" s="6" t="str">
        <f t="shared" si="69"/>
        <v>Apr</v>
      </c>
      <c r="D1506" t="s">
        <v>837</v>
      </c>
      <c r="E1506" t="s">
        <v>50</v>
      </c>
      <c r="F1506" t="s">
        <v>125</v>
      </c>
      <c r="G1506">
        <v>9</v>
      </c>
      <c r="H1506" s="7">
        <v>62.3</v>
      </c>
      <c r="I1506" t="s">
        <v>32</v>
      </c>
      <c r="J1506" t="s">
        <v>22</v>
      </c>
      <c r="K1506">
        <v>0</v>
      </c>
      <c r="L1506" s="7">
        <f t="shared" si="70"/>
        <v>560.69999999999993</v>
      </c>
      <c r="M1506" s="7"/>
      <c r="O1506">
        <f t="shared" si="71"/>
        <v>2</v>
      </c>
      <c r="Q1506" t="s">
        <v>33</v>
      </c>
    </row>
    <row r="1507" spans="1:17" x14ac:dyDescent="0.3">
      <c r="A1507" t="s">
        <v>2471</v>
      </c>
      <c r="B1507" s="6">
        <v>45252</v>
      </c>
      <c r="C1507" s="6" t="str">
        <f t="shared" si="69"/>
        <v>Nov</v>
      </c>
      <c r="D1507" t="s">
        <v>760</v>
      </c>
      <c r="E1507" t="s">
        <v>62</v>
      </c>
      <c r="F1507" t="s">
        <v>217</v>
      </c>
      <c r="G1507">
        <v>3</v>
      </c>
      <c r="H1507" s="7">
        <v>422.87</v>
      </c>
      <c r="I1507" t="s">
        <v>19</v>
      </c>
      <c r="J1507" t="s">
        <v>28</v>
      </c>
      <c r="K1507">
        <v>20</v>
      </c>
      <c r="L1507" s="7">
        <f t="shared" si="70"/>
        <v>1268.6100000000001</v>
      </c>
      <c r="M1507" s="7"/>
      <c r="O1507">
        <f t="shared" si="71"/>
        <v>2</v>
      </c>
      <c r="Q1507" t="s">
        <v>19</v>
      </c>
    </row>
    <row r="1508" spans="1:17" x14ac:dyDescent="0.3">
      <c r="A1508" t="s">
        <v>2472</v>
      </c>
      <c r="B1508" s="6">
        <v>45060</v>
      </c>
      <c r="C1508" s="6" t="str">
        <f t="shared" si="69"/>
        <v>May</v>
      </c>
      <c r="D1508" t="s">
        <v>924</v>
      </c>
      <c r="E1508" t="s">
        <v>19</v>
      </c>
      <c r="F1508" t="s">
        <v>403</v>
      </c>
      <c r="G1508">
        <v>3</v>
      </c>
      <c r="H1508" s="7">
        <v>73.95</v>
      </c>
      <c r="I1508" t="s">
        <v>64</v>
      </c>
      <c r="J1508" t="s">
        <v>87</v>
      </c>
      <c r="K1508">
        <v>20</v>
      </c>
      <c r="L1508" s="7">
        <f t="shared" si="70"/>
        <v>221.85000000000002</v>
      </c>
      <c r="M1508" s="7"/>
      <c r="O1508">
        <f t="shared" si="71"/>
        <v>2</v>
      </c>
      <c r="Q1508" t="s">
        <v>65</v>
      </c>
    </row>
    <row r="1509" spans="1:17" x14ac:dyDescent="0.3">
      <c r="A1509" t="s">
        <v>2473</v>
      </c>
      <c r="B1509" s="6">
        <v>45252</v>
      </c>
      <c r="C1509" s="6" t="str">
        <f t="shared" si="69"/>
        <v>Nov</v>
      </c>
      <c r="D1509" t="s">
        <v>2474</v>
      </c>
      <c r="E1509" t="s">
        <v>62</v>
      </c>
      <c r="F1509" t="s">
        <v>341</v>
      </c>
      <c r="G1509">
        <v>3</v>
      </c>
      <c r="H1509" s="7">
        <v>262.51</v>
      </c>
      <c r="I1509" t="s">
        <v>103</v>
      </c>
      <c r="J1509" t="s">
        <v>42</v>
      </c>
      <c r="K1509">
        <v>10</v>
      </c>
      <c r="L1509" s="7">
        <f t="shared" si="70"/>
        <v>787.53</v>
      </c>
      <c r="M1509" s="7"/>
      <c r="O1509">
        <f t="shared" si="71"/>
        <v>2</v>
      </c>
      <c r="Q1509" t="s">
        <v>104</v>
      </c>
    </row>
    <row r="1510" spans="1:17" x14ac:dyDescent="0.3">
      <c r="A1510" t="s">
        <v>2475</v>
      </c>
      <c r="B1510" s="6">
        <v>45109</v>
      </c>
      <c r="C1510" s="6" t="str">
        <f t="shared" si="69"/>
        <v>Jul</v>
      </c>
      <c r="D1510" t="s">
        <v>130</v>
      </c>
      <c r="E1510" t="s">
        <v>31</v>
      </c>
      <c r="F1510" t="s">
        <v>142</v>
      </c>
      <c r="G1510">
        <v>6</v>
      </c>
      <c r="H1510" s="7">
        <v>23.37</v>
      </c>
      <c r="I1510" t="s">
        <v>32</v>
      </c>
      <c r="J1510" t="s">
        <v>28</v>
      </c>
      <c r="K1510">
        <v>20</v>
      </c>
      <c r="L1510" s="7">
        <f t="shared" si="70"/>
        <v>140.22</v>
      </c>
      <c r="M1510" s="7"/>
      <c r="O1510">
        <f t="shared" si="71"/>
        <v>2</v>
      </c>
      <c r="Q1510" t="s">
        <v>33</v>
      </c>
    </row>
    <row r="1511" spans="1:17" x14ac:dyDescent="0.3">
      <c r="A1511" t="s">
        <v>2476</v>
      </c>
      <c r="B1511" s="6">
        <v>45165</v>
      </c>
      <c r="C1511" s="6" t="str">
        <f t="shared" si="69"/>
        <v>Aug</v>
      </c>
      <c r="D1511" t="s">
        <v>1037</v>
      </c>
      <c r="E1511" t="s">
        <v>50</v>
      </c>
      <c r="F1511" t="s">
        <v>214</v>
      </c>
      <c r="G1511">
        <v>1</v>
      </c>
      <c r="H1511" s="7">
        <v>44.93</v>
      </c>
      <c r="I1511" t="s">
        <v>46</v>
      </c>
      <c r="J1511" t="s">
        <v>28</v>
      </c>
      <c r="K1511">
        <v>0</v>
      </c>
      <c r="L1511" s="7">
        <f t="shared" si="70"/>
        <v>44.93</v>
      </c>
      <c r="M1511" s="7"/>
      <c r="O1511">
        <f t="shared" si="71"/>
        <v>2</v>
      </c>
      <c r="Q1511" t="s">
        <v>47</v>
      </c>
    </row>
    <row r="1512" spans="1:17" x14ac:dyDescent="0.3">
      <c r="A1512" t="s">
        <v>2477</v>
      </c>
      <c r="B1512" s="6">
        <v>44977</v>
      </c>
      <c r="C1512" s="6" t="str">
        <f t="shared" si="69"/>
        <v>Feb</v>
      </c>
      <c r="D1512" t="s">
        <v>664</v>
      </c>
      <c r="E1512" t="s">
        <v>19</v>
      </c>
      <c r="F1512" t="s">
        <v>193</v>
      </c>
      <c r="G1512">
        <v>7</v>
      </c>
      <c r="H1512" s="7">
        <v>337.81</v>
      </c>
      <c r="I1512" t="s">
        <v>21</v>
      </c>
      <c r="J1512" t="s">
        <v>22</v>
      </c>
      <c r="K1512">
        <v>10</v>
      </c>
      <c r="L1512" s="7">
        <f t="shared" si="70"/>
        <v>2364.67</v>
      </c>
      <c r="M1512" s="7"/>
      <c r="O1512">
        <f t="shared" si="71"/>
        <v>2</v>
      </c>
      <c r="Q1512" t="s">
        <v>23</v>
      </c>
    </row>
    <row r="1513" spans="1:17" x14ac:dyDescent="0.3">
      <c r="A1513" t="s">
        <v>2478</v>
      </c>
      <c r="B1513" s="6">
        <v>45135</v>
      </c>
      <c r="C1513" s="6" t="str">
        <f t="shared" si="69"/>
        <v>Jul</v>
      </c>
      <c r="D1513" t="s">
        <v>1212</v>
      </c>
      <c r="E1513" t="s">
        <v>19</v>
      </c>
      <c r="F1513" t="s">
        <v>1282</v>
      </c>
      <c r="G1513">
        <v>1</v>
      </c>
      <c r="H1513" s="7">
        <v>346.14</v>
      </c>
      <c r="I1513" t="s">
        <v>103</v>
      </c>
      <c r="J1513" t="s">
        <v>19</v>
      </c>
      <c r="K1513">
        <v>10</v>
      </c>
      <c r="L1513" s="7">
        <f t="shared" si="70"/>
        <v>346.14</v>
      </c>
      <c r="M1513" s="7"/>
      <c r="O1513">
        <f t="shared" si="71"/>
        <v>2</v>
      </c>
      <c r="Q1513" t="s">
        <v>104</v>
      </c>
    </row>
    <row r="1514" spans="1:17" x14ac:dyDescent="0.3">
      <c r="A1514" t="s">
        <v>2479</v>
      </c>
      <c r="B1514" s="6">
        <v>45105</v>
      </c>
      <c r="C1514" s="6" t="str">
        <f t="shared" si="69"/>
        <v>Jun</v>
      </c>
      <c r="D1514" t="s">
        <v>2480</v>
      </c>
      <c r="E1514" t="s">
        <v>40</v>
      </c>
      <c r="F1514" t="s">
        <v>975</v>
      </c>
      <c r="G1514">
        <v>5</v>
      </c>
      <c r="H1514" s="7">
        <v>174.03</v>
      </c>
      <c r="I1514" t="s">
        <v>32</v>
      </c>
      <c r="J1514" t="s">
        <v>42</v>
      </c>
      <c r="K1514">
        <v>0</v>
      </c>
      <c r="L1514" s="7">
        <f t="shared" si="70"/>
        <v>870.15</v>
      </c>
      <c r="M1514" s="7"/>
      <c r="O1514">
        <f t="shared" si="71"/>
        <v>2</v>
      </c>
      <c r="Q1514" t="s">
        <v>33</v>
      </c>
    </row>
    <row r="1515" spans="1:17" x14ac:dyDescent="0.3">
      <c r="A1515" t="s">
        <v>2481</v>
      </c>
      <c r="B1515" s="6">
        <v>45188</v>
      </c>
      <c r="C1515" s="6" t="str">
        <f t="shared" si="69"/>
        <v>Sep</v>
      </c>
      <c r="D1515" t="s">
        <v>1594</v>
      </c>
      <c r="E1515" t="s">
        <v>40</v>
      </c>
      <c r="F1515" t="s">
        <v>409</v>
      </c>
      <c r="G1515">
        <v>8</v>
      </c>
      <c r="H1515" s="7">
        <v>111.73</v>
      </c>
      <c r="I1515" t="s">
        <v>103</v>
      </c>
      <c r="J1515" t="s">
        <v>19</v>
      </c>
      <c r="K1515">
        <v>10</v>
      </c>
      <c r="L1515" s="7">
        <f t="shared" si="70"/>
        <v>893.84</v>
      </c>
      <c r="M1515" s="7"/>
      <c r="O1515">
        <f t="shared" si="71"/>
        <v>2</v>
      </c>
      <c r="Q1515" t="s">
        <v>104</v>
      </c>
    </row>
    <row r="1516" spans="1:17" x14ac:dyDescent="0.3">
      <c r="A1516" t="s">
        <v>2482</v>
      </c>
      <c r="B1516" s="6">
        <v>45144</v>
      </c>
      <c r="C1516" s="6" t="str">
        <f t="shared" si="69"/>
        <v>Aug</v>
      </c>
      <c r="D1516" t="s">
        <v>768</v>
      </c>
      <c r="E1516" t="s">
        <v>19</v>
      </c>
      <c r="F1516" t="s">
        <v>278</v>
      </c>
      <c r="G1516">
        <v>4</v>
      </c>
      <c r="H1516" s="7">
        <v>407.79</v>
      </c>
      <c r="I1516" t="s">
        <v>32</v>
      </c>
      <c r="J1516" t="s">
        <v>19</v>
      </c>
      <c r="K1516">
        <v>5</v>
      </c>
      <c r="L1516" s="7">
        <f t="shared" si="70"/>
        <v>1631.16</v>
      </c>
      <c r="M1516" s="7"/>
      <c r="O1516">
        <f t="shared" si="71"/>
        <v>2</v>
      </c>
      <c r="Q1516" t="s">
        <v>33</v>
      </c>
    </row>
    <row r="1517" spans="1:17" x14ac:dyDescent="0.3">
      <c r="A1517" t="s">
        <v>2483</v>
      </c>
      <c r="B1517" s="6">
        <v>45145</v>
      </c>
      <c r="C1517" s="6" t="str">
        <f t="shared" si="69"/>
        <v>Aug</v>
      </c>
      <c r="D1517" t="s">
        <v>442</v>
      </c>
      <c r="E1517" t="s">
        <v>36</v>
      </c>
      <c r="F1517" t="s">
        <v>657</v>
      </c>
      <c r="G1517">
        <v>5</v>
      </c>
      <c r="H1517" s="7">
        <v>112.47</v>
      </c>
      <c r="I1517" t="s">
        <v>32</v>
      </c>
      <c r="J1517" t="s">
        <v>87</v>
      </c>
      <c r="K1517">
        <v>10</v>
      </c>
      <c r="L1517" s="7">
        <f t="shared" si="70"/>
        <v>562.35</v>
      </c>
      <c r="M1517" s="7"/>
      <c r="O1517">
        <f t="shared" si="71"/>
        <v>2</v>
      </c>
      <c r="Q1517" t="s">
        <v>33</v>
      </c>
    </row>
    <row r="1518" spans="1:17" x14ac:dyDescent="0.3">
      <c r="A1518" t="s">
        <v>2484</v>
      </c>
      <c r="B1518" s="6">
        <v>45042</v>
      </c>
      <c r="C1518" s="6" t="str">
        <f t="shared" si="69"/>
        <v>Apr</v>
      </c>
      <c r="D1518" t="s">
        <v>2485</v>
      </c>
      <c r="E1518" t="s">
        <v>19</v>
      </c>
      <c r="F1518" t="s">
        <v>278</v>
      </c>
      <c r="G1518">
        <v>4</v>
      </c>
      <c r="H1518" s="7">
        <v>273.3</v>
      </c>
      <c r="I1518" t="s">
        <v>21</v>
      </c>
      <c r="J1518" t="s">
        <v>22</v>
      </c>
      <c r="K1518">
        <v>5</v>
      </c>
      <c r="L1518" s="7">
        <f t="shared" si="70"/>
        <v>1093.2</v>
      </c>
      <c r="M1518" s="7"/>
      <c r="O1518">
        <f t="shared" si="71"/>
        <v>2</v>
      </c>
      <c r="Q1518" t="s">
        <v>23</v>
      </c>
    </row>
    <row r="1519" spans="1:17" x14ac:dyDescent="0.3">
      <c r="A1519" t="s">
        <v>2486</v>
      </c>
      <c r="B1519" s="6">
        <v>45251</v>
      </c>
      <c r="C1519" s="6" t="str">
        <f t="shared" si="69"/>
        <v>Nov</v>
      </c>
      <c r="D1519" t="s">
        <v>130</v>
      </c>
      <c r="E1519" t="s">
        <v>19</v>
      </c>
      <c r="F1519" t="s">
        <v>1328</v>
      </c>
      <c r="G1519">
        <v>4</v>
      </c>
      <c r="H1519" s="7">
        <v>484.26</v>
      </c>
      <c r="I1519" t="s">
        <v>64</v>
      </c>
      <c r="J1519" t="s">
        <v>19</v>
      </c>
      <c r="K1519">
        <v>10</v>
      </c>
      <c r="L1519" s="7">
        <f t="shared" si="70"/>
        <v>1937.04</v>
      </c>
      <c r="M1519" s="7"/>
      <c r="O1519">
        <f t="shared" si="71"/>
        <v>2</v>
      </c>
      <c r="Q1519" t="s">
        <v>65</v>
      </c>
    </row>
    <row r="1520" spans="1:17" x14ac:dyDescent="0.3">
      <c r="A1520" t="s">
        <v>2487</v>
      </c>
      <c r="B1520" s="6">
        <v>45052</v>
      </c>
      <c r="C1520" s="6" t="str">
        <f t="shared" si="69"/>
        <v>May</v>
      </c>
      <c r="D1520" t="s">
        <v>1834</v>
      </c>
      <c r="E1520" t="s">
        <v>50</v>
      </c>
      <c r="F1520" t="s">
        <v>520</v>
      </c>
      <c r="G1520">
        <v>8</v>
      </c>
      <c r="H1520" s="7">
        <v>78.19</v>
      </c>
      <c r="I1520" t="s">
        <v>103</v>
      </c>
      <c r="J1520" t="s">
        <v>87</v>
      </c>
      <c r="K1520">
        <v>10</v>
      </c>
      <c r="L1520" s="7">
        <f t="shared" si="70"/>
        <v>625.52</v>
      </c>
      <c r="M1520" s="7"/>
      <c r="O1520">
        <f t="shared" si="71"/>
        <v>2</v>
      </c>
      <c r="Q1520" t="s">
        <v>104</v>
      </c>
    </row>
    <row r="1521" spans="1:17" x14ac:dyDescent="0.3">
      <c r="A1521" t="s">
        <v>2488</v>
      </c>
      <c r="B1521" s="6">
        <v>45230</v>
      </c>
      <c r="C1521" s="6" t="str">
        <f t="shared" si="69"/>
        <v>Oct</v>
      </c>
      <c r="D1521" t="s">
        <v>297</v>
      </c>
      <c r="E1521" t="s">
        <v>62</v>
      </c>
      <c r="F1521" t="s">
        <v>713</v>
      </c>
      <c r="G1521">
        <v>2</v>
      </c>
      <c r="H1521" s="7">
        <v>470.73</v>
      </c>
      <c r="I1521" t="s">
        <v>32</v>
      </c>
      <c r="J1521" t="s">
        <v>72</v>
      </c>
      <c r="K1521">
        <v>0</v>
      </c>
      <c r="L1521" s="7">
        <f t="shared" si="70"/>
        <v>941.46</v>
      </c>
      <c r="M1521" s="7"/>
      <c r="O1521">
        <f t="shared" si="71"/>
        <v>2</v>
      </c>
      <c r="Q1521" t="s">
        <v>33</v>
      </c>
    </row>
    <row r="1522" spans="1:17" x14ac:dyDescent="0.3">
      <c r="A1522" t="s">
        <v>2489</v>
      </c>
      <c r="B1522" s="6">
        <v>45157</v>
      </c>
      <c r="C1522" s="6" t="str">
        <f t="shared" si="69"/>
        <v>Aug</v>
      </c>
      <c r="D1522" t="s">
        <v>760</v>
      </c>
      <c r="E1522" t="s">
        <v>36</v>
      </c>
      <c r="F1522" t="s">
        <v>1568</v>
      </c>
      <c r="G1522">
        <v>1</v>
      </c>
      <c r="H1522" s="7">
        <v>95.53</v>
      </c>
      <c r="I1522" t="s">
        <v>64</v>
      </c>
      <c r="J1522" t="s">
        <v>19</v>
      </c>
      <c r="K1522">
        <v>10</v>
      </c>
      <c r="L1522" s="7">
        <f t="shared" si="70"/>
        <v>95.53</v>
      </c>
      <c r="M1522" s="7"/>
      <c r="O1522">
        <f t="shared" si="71"/>
        <v>2</v>
      </c>
      <c r="Q1522" t="s">
        <v>65</v>
      </c>
    </row>
    <row r="1523" spans="1:17" x14ac:dyDescent="0.3">
      <c r="A1523" t="s">
        <v>2490</v>
      </c>
      <c r="B1523" s="6">
        <v>45031</v>
      </c>
      <c r="C1523" s="6" t="str">
        <f t="shared" si="69"/>
        <v>Apr</v>
      </c>
      <c r="D1523" t="s">
        <v>607</v>
      </c>
      <c r="E1523" t="s">
        <v>36</v>
      </c>
      <c r="F1523" t="s">
        <v>185</v>
      </c>
      <c r="G1523">
        <v>3</v>
      </c>
      <c r="H1523" s="7">
        <v>285.88</v>
      </c>
      <c r="I1523" t="s">
        <v>46</v>
      </c>
      <c r="J1523" t="s">
        <v>87</v>
      </c>
      <c r="K1523">
        <v>10</v>
      </c>
      <c r="L1523" s="7">
        <f t="shared" si="70"/>
        <v>857.64</v>
      </c>
      <c r="M1523" s="7"/>
      <c r="O1523">
        <f t="shared" si="71"/>
        <v>2</v>
      </c>
      <c r="Q1523" t="s">
        <v>47</v>
      </c>
    </row>
    <row r="1524" spans="1:17" x14ac:dyDescent="0.3">
      <c r="A1524" t="s">
        <v>2491</v>
      </c>
      <c r="B1524" s="6">
        <v>45273</v>
      </c>
      <c r="C1524" s="6" t="str">
        <f t="shared" si="69"/>
        <v>Dec</v>
      </c>
      <c r="D1524" t="s">
        <v>832</v>
      </c>
      <c r="E1524" t="s">
        <v>19</v>
      </c>
      <c r="F1524" t="s">
        <v>157</v>
      </c>
      <c r="G1524">
        <v>9</v>
      </c>
      <c r="H1524" s="7">
        <v>191.62</v>
      </c>
      <c r="I1524" t="s">
        <v>32</v>
      </c>
      <c r="J1524" t="s">
        <v>42</v>
      </c>
      <c r="K1524">
        <v>10</v>
      </c>
      <c r="L1524" s="7">
        <f t="shared" si="70"/>
        <v>1724.58</v>
      </c>
      <c r="M1524" s="7"/>
      <c r="O1524">
        <f t="shared" si="71"/>
        <v>2</v>
      </c>
      <c r="Q1524" t="s">
        <v>33</v>
      </c>
    </row>
    <row r="1525" spans="1:17" x14ac:dyDescent="0.3">
      <c r="A1525" t="s">
        <v>2492</v>
      </c>
      <c r="B1525" s="6">
        <v>45240</v>
      </c>
      <c r="C1525" s="6" t="str">
        <f t="shared" si="69"/>
        <v>Nov</v>
      </c>
      <c r="D1525" t="s">
        <v>340</v>
      </c>
      <c r="E1525" t="s">
        <v>26</v>
      </c>
      <c r="F1525" t="s">
        <v>267</v>
      </c>
      <c r="G1525">
        <v>4</v>
      </c>
      <c r="H1525" s="7">
        <v>482.64</v>
      </c>
      <c r="I1525" t="s">
        <v>64</v>
      </c>
      <c r="J1525" t="s">
        <v>28</v>
      </c>
      <c r="K1525">
        <v>10</v>
      </c>
      <c r="L1525" s="7">
        <f t="shared" si="70"/>
        <v>1930.56</v>
      </c>
      <c r="M1525" s="7"/>
      <c r="O1525">
        <f t="shared" si="71"/>
        <v>2</v>
      </c>
      <c r="Q1525" t="s">
        <v>65</v>
      </c>
    </row>
    <row r="1526" spans="1:17" x14ac:dyDescent="0.3">
      <c r="A1526" t="s">
        <v>2493</v>
      </c>
      <c r="B1526" s="6">
        <v>45023</v>
      </c>
      <c r="C1526" s="6" t="str">
        <f t="shared" si="69"/>
        <v>Apr</v>
      </c>
      <c r="D1526" t="s">
        <v>777</v>
      </c>
      <c r="E1526" t="s">
        <v>36</v>
      </c>
      <c r="F1526" t="s">
        <v>1085</v>
      </c>
      <c r="G1526">
        <v>5</v>
      </c>
      <c r="H1526" s="7">
        <v>140.4</v>
      </c>
      <c r="I1526" t="s">
        <v>21</v>
      </c>
      <c r="J1526" t="s">
        <v>19</v>
      </c>
      <c r="K1526">
        <v>10</v>
      </c>
      <c r="L1526" s="7">
        <f t="shared" si="70"/>
        <v>702</v>
      </c>
      <c r="M1526" s="7"/>
      <c r="O1526">
        <f t="shared" si="71"/>
        <v>2</v>
      </c>
      <c r="Q1526" t="s">
        <v>23</v>
      </c>
    </row>
    <row r="1527" spans="1:17" x14ac:dyDescent="0.3">
      <c r="A1527" t="s">
        <v>2494</v>
      </c>
      <c r="B1527" s="6">
        <v>45099</v>
      </c>
      <c r="C1527" s="6" t="str">
        <f t="shared" si="69"/>
        <v>Jun</v>
      </c>
      <c r="D1527" t="s">
        <v>1546</v>
      </c>
      <c r="E1527" t="s">
        <v>36</v>
      </c>
      <c r="F1527" t="s">
        <v>151</v>
      </c>
      <c r="G1527">
        <v>2</v>
      </c>
      <c r="H1527" s="7">
        <v>202.83</v>
      </c>
      <c r="I1527" t="s">
        <v>64</v>
      </c>
      <c r="J1527" t="s">
        <v>42</v>
      </c>
      <c r="K1527">
        <v>5</v>
      </c>
      <c r="L1527" s="7">
        <f t="shared" si="70"/>
        <v>405.66</v>
      </c>
      <c r="M1527" s="7"/>
      <c r="O1527">
        <f t="shared" si="71"/>
        <v>2</v>
      </c>
      <c r="Q1527" t="s">
        <v>65</v>
      </c>
    </row>
    <row r="1528" spans="1:17" x14ac:dyDescent="0.3">
      <c r="A1528" t="s">
        <v>2495</v>
      </c>
      <c r="B1528" s="6">
        <v>45275</v>
      </c>
      <c r="C1528" s="6" t="str">
        <f t="shared" si="69"/>
        <v>Dec</v>
      </c>
      <c r="D1528" t="s">
        <v>848</v>
      </c>
      <c r="E1528" t="s">
        <v>62</v>
      </c>
      <c r="F1528" t="s">
        <v>151</v>
      </c>
      <c r="G1528">
        <v>4</v>
      </c>
      <c r="H1528" s="7">
        <v>491.52</v>
      </c>
      <c r="I1528" t="s">
        <v>64</v>
      </c>
      <c r="J1528" t="s">
        <v>87</v>
      </c>
      <c r="K1528">
        <v>0</v>
      </c>
      <c r="L1528" s="7">
        <f t="shared" si="70"/>
        <v>1966.08</v>
      </c>
      <c r="M1528" s="7"/>
      <c r="O1528">
        <f t="shared" si="71"/>
        <v>2</v>
      </c>
      <c r="Q1528" t="s">
        <v>65</v>
      </c>
    </row>
    <row r="1529" spans="1:17" x14ac:dyDescent="0.3">
      <c r="A1529" t="s">
        <v>2496</v>
      </c>
      <c r="B1529" s="6">
        <v>45224</v>
      </c>
      <c r="C1529" s="6" t="str">
        <f t="shared" si="69"/>
        <v>Oct</v>
      </c>
      <c r="D1529" t="s">
        <v>1458</v>
      </c>
      <c r="E1529" t="s">
        <v>50</v>
      </c>
      <c r="F1529" t="s">
        <v>148</v>
      </c>
      <c r="G1529">
        <v>2</v>
      </c>
      <c r="H1529" s="7">
        <v>270.55</v>
      </c>
      <c r="I1529" t="s">
        <v>103</v>
      </c>
      <c r="J1529" t="s">
        <v>22</v>
      </c>
      <c r="K1529">
        <v>10</v>
      </c>
      <c r="L1529" s="7">
        <f t="shared" si="70"/>
        <v>541.1</v>
      </c>
      <c r="M1529" s="7"/>
      <c r="O1529">
        <f t="shared" si="71"/>
        <v>2</v>
      </c>
      <c r="Q1529" t="s">
        <v>104</v>
      </c>
    </row>
    <row r="1530" spans="1:17" x14ac:dyDescent="0.3">
      <c r="A1530" t="s">
        <v>2497</v>
      </c>
      <c r="B1530" s="6">
        <v>45162</v>
      </c>
      <c r="C1530" s="6" t="str">
        <f t="shared" si="69"/>
        <v>Aug</v>
      </c>
      <c r="D1530" t="s">
        <v>1898</v>
      </c>
      <c r="E1530" t="s">
        <v>19</v>
      </c>
      <c r="F1530" t="s">
        <v>698</v>
      </c>
      <c r="G1530">
        <v>2</v>
      </c>
      <c r="H1530" s="7">
        <v>253.8</v>
      </c>
      <c r="I1530" t="s">
        <v>21</v>
      </c>
      <c r="J1530" t="s">
        <v>87</v>
      </c>
      <c r="K1530">
        <v>15</v>
      </c>
      <c r="L1530" s="7">
        <f t="shared" si="70"/>
        <v>507.6</v>
      </c>
      <c r="M1530" s="7"/>
      <c r="O1530">
        <f t="shared" si="71"/>
        <v>2</v>
      </c>
      <c r="Q1530" t="s">
        <v>23</v>
      </c>
    </row>
    <row r="1531" spans="1:17" x14ac:dyDescent="0.3">
      <c r="A1531" t="s">
        <v>2498</v>
      </c>
      <c r="B1531" s="6">
        <v>45136</v>
      </c>
      <c r="C1531" s="6" t="str">
        <f t="shared" si="69"/>
        <v>Jul</v>
      </c>
      <c r="D1531" t="s">
        <v>1949</v>
      </c>
      <c r="E1531" t="s">
        <v>31</v>
      </c>
      <c r="F1531" t="s">
        <v>732</v>
      </c>
      <c r="G1531">
        <v>4</v>
      </c>
      <c r="H1531" s="7">
        <v>132.6</v>
      </c>
      <c r="I1531" t="s">
        <v>64</v>
      </c>
      <c r="J1531" t="s">
        <v>42</v>
      </c>
      <c r="K1531">
        <v>10</v>
      </c>
      <c r="L1531" s="7">
        <f t="shared" si="70"/>
        <v>530.4</v>
      </c>
      <c r="M1531" s="7"/>
      <c r="O1531">
        <f t="shared" si="71"/>
        <v>2</v>
      </c>
      <c r="Q1531" t="s">
        <v>65</v>
      </c>
    </row>
    <row r="1532" spans="1:17" x14ac:dyDescent="0.3">
      <c r="A1532" t="s">
        <v>2499</v>
      </c>
      <c r="B1532" s="6">
        <v>45257</v>
      </c>
      <c r="C1532" s="6" t="str">
        <f t="shared" si="69"/>
        <v>Nov</v>
      </c>
      <c r="D1532" t="s">
        <v>1687</v>
      </c>
      <c r="E1532" t="s">
        <v>31</v>
      </c>
      <c r="F1532" t="s">
        <v>375</v>
      </c>
      <c r="G1532">
        <v>6</v>
      </c>
      <c r="H1532" s="7">
        <v>352.17</v>
      </c>
      <c r="I1532" t="s">
        <v>64</v>
      </c>
      <c r="J1532" t="s">
        <v>72</v>
      </c>
      <c r="K1532">
        <v>10</v>
      </c>
      <c r="L1532" s="7">
        <f t="shared" si="70"/>
        <v>2113.02</v>
      </c>
      <c r="M1532" s="7"/>
      <c r="O1532">
        <f t="shared" si="71"/>
        <v>2</v>
      </c>
      <c r="Q1532" t="s">
        <v>65</v>
      </c>
    </row>
    <row r="1533" spans="1:17" x14ac:dyDescent="0.3">
      <c r="A1533" t="s">
        <v>2500</v>
      </c>
      <c r="B1533" s="6">
        <v>44952</v>
      </c>
      <c r="C1533" s="6" t="str">
        <f t="shared" si="69"/>
        <v>Jan</v>
      </c>
      <c r="D1533" t="s">
        <v>395</v>
      </c>
      <c r="E1533" t="s">
        <v>50</v>
      </c>
      <c r="F1533" t="s">
        <v>179</v>
      </c>
      <c r="G1533">
        <v>7</v>
      </c>
      <c r="H1533" s="7">
        <v>12.11</v>
      </c>
      <c r="I1533" t="s">
        <v>21</v>
      </c>
      <c r="J1533" t="s">
        <v>72</v>
      </c>
      <c r="K1533">
        <v>15</v>
      </c>
      <c r="L1533" s="7">
        <f t="shared" si="70"/>
        <v>84.77</v>
      </c>
      <c r="M1533" s="7"/>
      <c r="O1533">
        <f t="shared" si="71"/>
        <v>2</v>
      </c>
      <c r="Q1533" t="s">
        <v>23</v>
      </c>
    </row>
    <row r="1534" spans="1:17" x14ac:dyDescent="0.3">
      <c r="A1534" t="s">
        <v>2501</v>
      </c>
      <c r="B1534" s="6">
        <v>45100</v>
      </c>
      <c r="C1534" s="6" t="str">
        <f t="shared" si="69"/>
        <v>Jun</v>
      </c>
      <c r="D1534" t="s">
        <v>1743</v>
      </c>
      <c r="E1534" t="s">
        <v>31</v>
      </c>
      <c r="F1534" t="s">
        <v>173</v>
      </c>
      <c r="G1534">
        <v>5</v>
      </c>
      <c r="H1534" s="7">
        <v>29.51</v>
      </c>
      <c r="I1534" t="s">
        <v>32</v>
      </c>
      <c r="J1534" t="s">
        <v>42</v>
      </c>
      <c r="K1534">
        <v>0</v>
      </c>
      <c r="L1534" s="7">
        <f t="shared" si="70"/>
        <v>147.55000000000001</v>
      </c>
      <c r="M1534" s="7"/>
      <c r="O1534">
        <f t="shared" si="71"/>
        <v>2</v>
      </c>
      <c r="Q1534" t="s">
        <v>33</v>
      </c>
    </row>
    <row r="1535" spans="1:17" x14ac:dyDescent="0.3">
      <c r="A1535" t="s">
        <v>2502</v>
      </c>
      <c r="B1535" s="6">
        <v>45007</v>
      </c>
      <c r="C1535" s="6" t="str">
        <f t="shared" si="69"/>
        <v>Mar</v>
      </c>
      <c r="D1535" t="s">
        <v>1311</v>
      </c>
      <c r="E1535" t="s">
        <v>19</v>
      </c>
      <c r="F1535" t="s">
        <v>1038</v>
      </c>
      <c r="G1535">
        <v>3</v>
      </c>
      <c r="H1535" s="7">
        <v>301.68</v>
      </c>
      <c r="I1535" t="s">
        <v>32</v>
      </c>
      <c r="J1535" t="s">
        <v>19</v>
      </c>
      <c r="K1535">
        <v>10</v>
      </c>
      <c r="L1535" s="7">
        <f t="shared" si="70"/>
        <v>905.04</v>
      </c>
      <c r="M1535" s="7"/>
      <c r="O1535">
        <f t="shared" si="71"/>
        <v>2</v>
      </c>
      <c r="Q1535" t="s">
        <v>33</v>
      </c>
    </row>
    <row r="1536" spans="1:17" x14ac:dyDescent="0.3">
      <c r="A1536" t="s">
        <v>2503</v>
      </c>
      <c r="B1536" s="6">
        <v>45268</v>
      </c>
      <c r="C1536" s="6" t="str">
        <f t="shared" si="69"/>
        <v>Dec</v>
      </c>
      <c r="D1536" t="s">
        <v>721</v>
      </c>
      <c r="E1536" t="s">
        <v>50</v>
      </c>
      <c r="F1536" t="s">
        <v>313</v>
      </c>
      <c r="G1536">
        <v>6</v>
      </c>
      <c r="H1536" s="7">
        <v>174.13</v>
      </c>
      <c r="I1536" t="s">
        <v>19</v>
      </c>
      <c r="J1536" t="s">
        <v>22</v>
      </c>
      <c r="K1536">
        <v>0</v>
      </c>
      <c r="L1536" s="7">
        <f t="shared" si="70"/>
        <v>1044.78</v>
      </c>
      <c r="M1536" s="7"/>
      <c r="O1536">
        <f t="shared" si="71"/>
        <v>2</v>
      </c>
      <c r="Q1536" t="s">
        <v>19</v>
      </c>
    </row>
    <row r="1537" spans="1:17" x14ac:dyDescent="0.3">
      <c r="A1537" t="s">
        <v>2504</v>
      </c>
      <c r="B1537" s="6">
        <v>44978</v>
      </c>
      <c r="C1537" s="6" t="str">
        <f t="shared" si="69"/>
        <v>Feb</v>
      </c>
      <c r="D1537" t="s">
        <v>2505</v>
      </c>
      <c r="E1537" t="s">
        <v>19</v>
      </c>
      <c r="F1537" t="s">
        <v>1328</v>
      </c>
      <c r="G1537">
        <v>3</v>
      </c>
      <c r="H1537" s="7">
        <v>476.89</v>
      </c>
      <c r="I1537" t="s">
        <v>46</v>
      </c>
      <c r="J1537" t="s">
        <v>28</v>
      </c>
      <c r="K1537">
        <v>10</v>
      </c>
      <c r="L1537" s="7">
        <f t="shared" si="70"/>
        <v>1430.67</v>
      </c>
      <c r="M1537" s="7"/>
      <c r="O1537">
        <f t="shared" si="71"/>
        <v>2</v>
      </c>
      <c r="Q1537" t="s">
        <v>47</v>
      </c>
    </row>
    <row r="1538" spans="1:17" x14ac:dyDescent="0.3">
      <c r="A1538" t="s">
        <v>2506</v>
      </c>
      <c r="B1538" s="6">
        <v>45117</v>
      </c>
      <c r="C1538" s="6" t="str">
        <f t="shared" si="69"/>
        <v>Jul</v>
      </c>
      <c r="D1538" t="s">
        <v>621</v>
      </c>
      <c r="E1538" t="s">
        <v>31</v>
      </c>
      <c r="F1538" t="s">
        <v>170</v>
      </c>
      <c r="G1538">
        <v>2</v>
      </c>
      <c r="H1538" s="7">
        <v>452.08</v>
      </c>
      <c r="I1538" t="s">
        <v>46</v>
      </c>
      <c r="J1538" t="s">
        <v>42</v>
      </c>
      <c r="K1538">
        <v>20</v>
      </c>
      <c r="L1538" s="7">
        <f t="shared" si="70"/>
        <v>904.16</v>
      </c>
      <c r="M1538" s="7"/>
      <c r="O1538">
        <f t="shared" si="71"/>
        <v>2</v>
      </c>
      <c r="Q1538" t="s">
        <v>47</v>
      </c>
    </row>
    <row r="1539" spans="1:17" x14ac:dyDescent="0.3">
      <c r="A1539" t="s">
        <v>2507</v>
      </c>
      <c r="B1539" s="6">
        <v>44990</v>
      </c>
      <c r="C1539" s="6" t="str">
        <f t="shared" ref="C1539:C1602" si="72">TEXT(B1539,"MMM")</f>
        <v>Mar</v>
      </c>
      <c r="D1539" t="s">
        <v>1355</v>
      </c>
      <c r="E1539" t="s">
        <v>36</v>
      </c>
      <c r="F1539" t="s">
        <v>270</v>
      </c>
      <c r="G1539">
        <v>8</v>
      </c>
      <c r="H1539" s="7">
        <v>358.28</v>
      </c>
      <c r="I1539" t="s">
        <v>21</v>
      </c>
      <c r="J1539" t="s">
        <v>42</v>
      </c>
      <c r="K1539">
        <v>10</v>
      </c>
      <c r="L1539" s="7">
        <f t="shared" ref="L1539:L1602" si="73">G1539*H1539</f>
        <v>2866.24</v>
      </c>
      <c r="M1539" s="7"/>
      <c r="O1539">
        <f t="shared" si="71"/>
        <v>3</v>
      </c>
      <c r="Q1539" t="s">
        <v>23</v>
      </c>
    </row>
    <row r="1540" spans="1:17" x14ac:dyDescent="0.3">
      <c r="A1540" t="s">
        <v>2508</v>
      </c>
      <c r="B1540" s="6">
        <v>45184</v>
      </c>
      <c r="C1540" s="6" t="str">
        <f t="shared" si="72"/>
        <v>Sep</v>
      </c>
      <c r="D1540" t="s">
        <v>1398</v>
      </c>
      <c r="E1540" t="s">
        <v>62</v>
      </c>
      <c r="F1540" t="s">
        <v>81</v>
      </c>
      <c r="G1540">
        <v>5</v>
      </c>
      <c r="H1540" s="7">
        <v>409.98</v>
      </c>
      <c r="I1540" t="s">
        <v>21</v>
      </c>
      <c r="J1540" t="s">
        <v>87</v>
      </c>
      <c r="K1540">
        <v>20</v>
      </c>
      <c r="L1540" s="7">
        <f t="shared" si="73"/>
        <v>2049.9</v>
      </c>
      <c r="M1540" s="7"/>
      <c r="O1540">
        <f t="shared" ref="O1540:O1603" si="74">IF(L1540&gt;3500,5,IF(L1540&gt;3000,4,IF(L1540&gt;2500,3,IF(L1540&gt;2000,2,IF(L1540&gt;1000,2,2)))))</f>
        <v>2</v>
      </c>
      <c r="Q1540" t="s">
        <v>23</v>
      </c>
    </row>
    <row r="1541" spans="1:17" x14ac:dyDescent="0.3">
      <c r="A1541" t="s">
        <v>2509</v>
      </c>
      <c r="B1541" s="6">
        <v>44968</v>
      </c>
      <c r="C1541" s="6" t="str">
        <f t="shared" si="72"/>
        <v>Feb</v>
      </c>
      <c r="D1541" t="s">
        <v>2263</v>
      </c>
      <c r="E1541" t="s">
        <v>50</v>
      </c>
      <c r="F1541" t="s">
        <v>160</v>
      </c>
      <c r="G1541">
        <v>1</v>
      </c>
      <c r="H1541" s="7">
        <v>335.33</v>
      </c>
      <c r="I1541" t="s">
        <v>32</v>
      </c>
      <c r="J1541" t="s">
        <v>72</v>
      </c>
      <c r="K1541">
        <v>10</v>
      </c>
      <c r="L1541" s="7">
        <f t="shared" si="73"/>
        <v>335.33</v>
      </c>
      <c r="M1541" s="7"/>
      <c r="O1541">
        <f t="shared" si="74"/>
        <v>2</v>
      </c>
      <c r="Q1541" t="s">
        <v>33</v>
      </c>
    </row>
    <row r="1542" spans="1:17" x14ac:dyDescent="0.3">
      <c r="A1542" t="s">
        <v>2510</v>
      </c>
      <c r="B1542" s="6">
        <v>45070</v>
      </c>
      <c r="C1542" s="6" t="str">
        <f t="shared" si="72"/>
        <v>May</v>
      </c>
      <c r="D1542" t="s">
        <v>2026</v>
      </c>
      <c r="E1542" t="s">
        <v>19</v>
      </c>
      <c r="F1542" t="s">
        <v>800</v>
      </c>
      <c r="G1542">
        <v>3</v>
      </c>
      <c r="H1542" s="7">
        <v>67.16</v>
      </c>
      <c r="I1542" t="s">
        <v>64</v>
      </c>
      <c r="J1542" t="s">
        <v>28</v>
      </c>
      <c r="K1542">
        <v>0</v>
      </c>
      <c r="L1542" s="7">
        <f t="shared" si="73"/>
        <v>201.48</v>
      </c>
      <c r="M1542" s="7"/>
      <c r="O1542">
        <f t="shared" si="74"/>
        <v>2</v>
      </c>
      <c r="Q1542" t="s">
        <v>65</v>
      </c>
    </row>
    <row r="1543" spans="1:17" x14ac:dyDescent="0.3">
      <c r="A1543" t="s">
        <v>2511</v>
      </c>
      <c r="B1543" s="6">
        <v>44966</v>
      </c>
      <c r="C1543" s="6" t="str">
        <f t="shared" si="72"/>
        <v>Feb</v>
      </c>
      <c r="D1543" t="s">
        <v>1910</v>
      </c>
      <c r="E1543" t="s">
        <v>31</v>
      </c>
      <c r="F1543" t="s">
        <v>730</v>
      </c>
      <c r="G1543">
        <v>8</v>
      </c>
      <c r="H1543" s="7">
        <v>383.94</v>
      </c>
      <c r="I1543" t="s">
        <v>103</v>
      </c>
      <c r="J1543" t="s">
        <v>42</v>
      </c>
      <c r="K1543">
        <v>10</v>
      </c>
      <c r="L1543" s="7">
        <f t="shared" si="73"/>
        <v>3071.52</v>
      </c>
      <c r="M1543" s="7"/>
      <c r="O1543">
        <f t="shared" si="74"/>
        <v>4</v>
      </c>
      <c r="Q1543" t="s">
        <v>104</v>
      </c>
    </row>
    <row r="1544" spans="1:17" x14ac:dyDescent="0.3">
      <c r="A1544" t="s">
        <v>2512</v>
      </c>
      <c r="B1544" s="6">
        <v>45043</v>
      </c>
      <c r="C1544" s="6" t="str">
        <f t="shared" si="72"/>
        <v>Apr</v>
      </c>
      <c r="D1544" t="s">
        <v>2513</v>
      </c>
      <c r="E1544" t="s">
        <v>19</v>
      </c>
      <c r="F1544" t="s">
        <v>110</v>
      </c>
      <c r="G1544">
        <v>5</v>
      </c>
      <c r="H1544" s="7">
        <v>109.05</v>
      </c>
      <c r="I1544" t="s">
        <v>64</v>
      </c>
      <c r="J1544" t="s">
        <v>28</v>
      </c>
      <c r="K1544">
        <v>5</v>
      </c>
      <c r="L1544" s="7">
        <f t="shared" si="73"/>
        <v>545.25</v>
      </c>
      <c r="M1544" s="7"/>
      <c r="O1544">
        <f t="shared" si="74"/>
        <v>2</v>
      </c>
      <c r="Q1544" t="s">
        <v>65</v>
      </c>
    </row>
    <row r="1545" spans="1:17" x14ac:dyDescent="0.3">
      <c r="A1545" t="s">
        <v>2514</v>
      </c>
      <c r="B1545" s="6">
        <v>45144</v>
      </c>
      <c r="C1545" s="6" t="str">
        <f t="shared" si="72"/>
        <v>Aug</v>
      </c>
      <c r="D1545" t="s">
        <v>2119</v>
      </c>
      <c r="E1545" t="s">
        <v>62</v>
      </c>
      <c r="F1545" t="s">
        <v>81</v>
      </c>
      <c r="G1545">
        <v>7</v>
      </c>
      <c r="H1545" s="7">
        <v>165.1</v>
      </c>
      <c r="I1545" t="s">
        <v>19</v>
      </c>
      <c r="J1545" t="s">
        <v>42</v>
      </c>
      <c r="K1545">
        <v>5</v>
      </c>
      <c r="L1545" s="7">
        <f t="shared" si="73"/>
        <v>1155.7</v>
      </c>
      <c r="M1545" s="7"/>
      <c r="O1545">
        <f t="shared" si="74"/>
        <v>2</v>
      </c>
      <c r="Q1545" t="s">
        <v>19</v>
      </c>
    </row>
    <row r="1546" spans="1:17" x14ac:dyDescent="0.3">
      <c r="A1546" t="s">
        <v>2515</v>
      </c>
      <c r="B1546" s="6">
        <v>45239</v>
      </c>
      <c r="C1546" s="6" t="str">
        <f t="shared" si="72"/>
        <v>Nov</v>
      </c>
      <c r="D1546" t="s">
        <v>902</v>
      </c>
      <c r="E1546" t="s">
        <v>26</v>
      </c>
      <c r="F1546" t="s">
        <v>450</v>
      </c>
      <c r="G1546">
        <v>2</v>
      </c>
      <c r="H1546" s="7">
        <v>410.52</v>
      </c>
      <c r="I1546" t="s">
        <v>19</v>
      </c>
      <c r="J1546" t="s">
        <v>28</v>
      </c>
      <c r="K1546">
        <v>15</v>
      </c>
      <c r="L1546" s="7">
        <f t="shared" si="73"/>
        <v>821.04</v>
      </c>
      <c r="M1546" s="7"/>
      <c r="O1546">
        <f t="shared" si="74"/>
        <v>2</v>
      </c>
      <c r="Q1546" t="s">
        <v>19</v>
      </c>
    </row>
    <row r="1547" spans="1:17" x14ac:dyDescent="0.3">
      <c r="A1547" t="s">
        <v>2516</v>
      </c>
      <c r="B1547" s="6">
        <v>44934</v>
      </c>
      <c r="C1547" s="6" t="str">
        <f t="shared" si="72"/>
        <v>Jan</v>
      </c>
      <c r="D1547" t="s">
        <v>427</v>
      </c>
      <c r="E1547" t="s">
        <v>19</v>
      </c>
      <c r="F1547" t="s">
        <v>499</v>
      </c>
      <c r="G1547">
        <v>7</v>
      </c>
      <c r="H1547" s="7">
        <v>270.58</v>
      </c>
      <c r="I1547" t="s">
        <v>46</v>
      </c>
      <c r="J1547" t="s">
        <v>87</v>
      </c>
      <c r="K1547">
        <v>5</v>
      </c>
      <c r="L1547" s="7">
        <f t="shared" si="73"/>
        <v>1894.06</v>
      </c>
      <c r="M1547" s="7"/>
      <c r="O1547">
        <f t="shared" si="74"/>
        <v>2</v>
      </c>
      <c r="Q1547" t="s">
        <v>47</v>
      </c>
    </row>
    <row r="1548" spans="1:17" x14ac:dyDescent="0.3">
      <c r="A1548" t="s">
        <v>2517</v>
      </c>
      <c r="B1548" s="6">
        <v>45284</v>
      </c>
      <c r="C1548" s="6" t="str">
        <f t="shared" si="72"/>
        <v>Dec</v>
      </c>
      <c r="D1548" t="s">
        <v>947</v>
      </c>
      <c r="E1548" t="s">
        <v>26</v>
      </c>
      <c r="F1548" t="s">
        <v>642</v>
      </c>
      <c r="G1548">
        <v>5</v>
      </c>
      <c r="H1548" s="7">
        <v>430.67</v>
      </c>
      <c r="I1548" t="s">
        <v>46</v>
      </c>
      <c r="J1548" t="s">
        <v>42</v>
      </c>
      <c r="K1548">
        <v>20</v>
      </c>
      <c r="L1548" s="7">
        <f t="shared" si="73"/>
        <v>2153.35</v>
      </c>
      <c r="M1548" s="7"/>
      <c r="O1548">
        <f t="shared" si="74"/>
        <v>2</v>
      </c>
      <c r="Q1548" t="s">
        <v>47</v>
      </c>
    </row>
    <row r="1549" spans="1:17" x14ac:dyDescent="0.3">
      <c r="A1549" t="s">
        <v>2518</v>
      </c>
      <c r="B1549" s="6">
        <v>45243</v>
      </c>
      <c r="C1549" s="6" t="str">
        <f t="shared" si="72"/>
        <v>Nov</v>
      </c>
      <c r="D1549" t="s">
        <v>109</v>
      </c>
      <c r="E1549" t="s">
        <v>40</v>
      </c>
      <c r="F1549" t="s">
        <v>289</v>
      </c>
      <c r="G1549">
        <v>5</v>
      </c>
      <c r="H1549" s="7">
        <v>110.45</v>
      </c>
      <c r="I1549" t="s">
        <v>46</v>
      </c>
      <c r="J1549" t="s">
        <v>87</v>
      </c>
      <c r="K1549">
        <v>5</v>
      </c>
      <c r="L1549" s="7">
        <f t="shared" si="73"/>
        <v>552.25</v>
      </c>
      <c r="M1549" s="7"/>
      <c r="O1549">
        <f t="shared" si="74"/>
        <v>2</v>
      </c>
      <c r="Q1549" t="s">
        <v>47</v>
      </c>
    </row>
    <row r="1550" spans="1:17" x14ac:dyDescent="0.3">
      <c r="A1550" t="s">
        <v>2519</v>
      </c>
      <c r="B1550" s="6">
        <v>45220</v>
      </c>
      <c r="C1550" s="6" t="str">
        <f t="shared" si="72"/>
        <v>Oct</v>
      </c>
      <c r="D1550" t="s">
        <v>999</v>
      </c>
      <c r="E1550" t="s">
        <v>19</v>
      </c>
      <c r="F1550" t="s">
        <v>94</v>
      </c>
      <c r="G1550">
        <v>6</v>
      </c>
      <c r="H1550" s="7">
        <v>305.85000000000002</v>
      </c>
      <c r="I1550" t="s">
        <v>32</v>
      </c>
      <c r="J1550" t="s">
        <v>72</v>
      </c>
      <c r="K1550">
        <v>5</v>
      </c>
      <c r="L1550" s="7">
        <f t="shared" si="73"/>
        <v>1835.1000000000001</v>
      </c>
      <c r="M1550" s="7"/>
      <c r="O1550">
        <f t="shared" si="74"/>
        <v>2</v>
      </c>
      <c r="Q1550" t="s">
        <v>33</v>
      </c>
    </row>
    <row r="1551" spans="1:17" x14ac:dyDescent="0.3">
      <c r="A1551" t="s">
        <v>2520</v>
      </c>
      <c r="B1551" s="6">
        <v>45014</v>
      </c>
      <c r="C1551" s="6" t="str">
        <f t="shared" si="72"/>
        <v>Mar</v>
      </c>
      <c r="D1551" t="s">
        <v>2521</v>
      </c>
      <c r="E1551" t="s">
        <v>31</v>
      </c>
      <c r="F1551" t="s">
        <v>154</v>
      </c>
      <c r="G1551">
        <v>9</v>
      </c>
      <c r="H1551" s="7">
        <v>46.48</v>
      </c>
      <c r="I1551" t="s">
        <v>64</v>
      </c>
      <c r="J1551" t="s">
        <v>42</v>
      </c>
      <c r="K1551">
        <v>5</v>
      </c>
      <c r="L1551" s="7">
        <f t="shared" si="73"/>
        <v>418.32</v>
      </c>
      <c r="M1551" s="7"/>
      <c r="O1551">
        <f t="shared" si="74"/>
        <v>2</v>
      </c>
      <c r="Q1551" t="s">
        <v>65</v>
      </c>
    </row>
    <row r="1552" spans="1:17" x14ac:dyDescent="0.3">
      <c r="A1552" t="s">
        <v>2522</v>
      </c>
      <c r="B1552" s="6">
        <v>45129</v>
      </c>
      <c r="C1552" s="6" t="str">
        <f t="shared" si="72"/>
        <v>Jul</v>
      </c>
      <c r="D1552" t="s">
        <v>1596</v>
      </c>
      <c r="E1552" t="s">
        <v>19</v>
      </c>
      <c r="F1552" t="s">
        <v>436</v>
      </c>
      <c r="G1552">
        <v>6</v>
      </c>
      <c r="H1552" s="7">
        <v>323.32</v>
      </c>
      <c r="I1552" t="s">
        <v>103</v>
      </c>
      <c r="J1552" t="s">
        <v>22</v>
      </c>
      <c r="K1552">
        <v>10</v>
      </c>
      <c r="L1552" s="7">
        <f t="shared" si="73"/>
        <v>1939.92</v>
      </c>
      <c r="M1552" s="7"/>
      <c r="O1552">
        <f t="shared" si="74"/>
        <v>2</v>
      </c>
      <c r="Q1552" t="s">
        <v>104</v>
      </c>
    </row>
    <row r="1553" spans="1:17" x14ac:dyDescent="0.3">
      <c r="A1553" t="s">
        <v>2523</v>
      </c>
      <c r="B1553" s="6">
        <v>44972</v>
      </c>
      <c r="C1553" s="6" t="str">
        <f t="shared" si="72"/>
        <v>Feb</v>
      </c>
      <c r="D1553" t="s">
        <v>2145</v>
      </c>
      <c r="E1553" t="s">
        <v>50</v>
      </c>
      <c r="F1553" t="s">
        <v>179</v>
      </c>
      <c r="G1553">
        <v>8</v>
      </c>
      <c r="H1553" s="7">
        <v>382.45</v>
      </c>
      <c r="I1553" t="s">
        <v>64</v>
      </c>
      <c r="J1553" t="s">
        <v>28</v>
      </c>
      <c r="K1553">
        <v>15</v>
      </c>
      <c r="L1553" s="7">
        <f t="shared" si="73"/>
        <v>3059.6</v>
      </c>
      <c r="M1553" s="7"/>
      <c r="O1553">
        <f t="shared" si="74"/>
        <v>4</v>
      </c>
      <c r="Q1553" t="s">
        <v>65</v>
      </c>
    </row>
    <row r="1554" spans="1:17" x14ac:dyDescent="0.3">
      <c r="A1554" t="s">
        <v>2524</v>
      </c>
      <c r="B1554" s="6">
        <v>45011</v>
      </c>
      <c r="C1554" s="6" t="str">
        <f t="shared" si="72"/>
        <v>Mar</v>
      </c>
      <c r="D1554" t="s">
        <v>2525</v>
      </c>
      <c r="E1554" t="s">
        <v>19</v>
      </c>
      <c r="F1554" t="s">
        <v>988</v>
      </c>
      <c r="G1554">
        <v>7</v>
      </c>
      <c r="H1554" s="7">
        <v>294.54000000000002</v>
      </c>
      <c r="I1554" t="s">
        <v>64</v>
      </c>
      <c r="J1554" t="s">
        <v>19</v>
      </c>
      <c r="K1554">
        <v>0</v>
      </c>
      <c r="L1554" s="7">
        <f t="shared" si="73"/>
        <v>2061.7800000000002</v>
      </c>
      <c r="M1554" s="7"/>
      <c r="O1554">
        <f t="shared" si="74"/>
        <v>2</v>
      </c>
      <c r="Q1554" t="s">
        <v>65</v>
      </c>
    </row>
    <row r="1555" spans="1:17" x14ac:dyDescent="0.3">
      <c r="A1555" t="s">
        <v>2526</v>
      </c>
      <c r="B1555" s="6">
        <v>45148</v>
      </c>
      <c r="C1555" s="6" t="str">
        <f t="shared" si="72"/>
        <v>Aug</v>
      </c>
      <c r="D1555" t="s">
        <v>2411</v>
      </c>
      <c r="E1555" t="s">
        <v>19</v>
      </c>
      <c r="F1555" t="s">
        <v>706</v>
      </c>
      <c r="G1555">
        <v>9</v>
      </c>
      <c r="H1555" s="7">
        <v>136.78</v>
      </c>
      <c r="I1555" t="s">
        <v>64</v>
      </c>
      <c r="J1555" t="s">
        <v>28</v>
      </c>
      <c r="K1555">
        <v>15</v>
      </c>
      <c r="L1555" s="7">
        <f t="shared" si="73"/>
        <v>1231.02</v>
      </c>
      <c r="M1555" s="7"/>
      <c r="O1555">
        <f t="shared" si="74"/>
        <v>2</v>
      </c>
      <c r="Q1555" t="s">
        <v>65</v>
      </c>
    </row>
    <row r="1556" spans="1:17" x14ac:dyDescent="0.3">
      <c r="A1556" t="s">
        <v>2527</v>
      </c>
      <c r="B1556" s="6">
        <v>45073</v>
      </c>
      <c r="C1556" s="6" t="str">
        <f t="shared" si="72"/>
        <v>May</v>
      </c>
      <c r="D1556" t="s">
        <v>1591</v>
      </c>
      <c r="E1556" t="s">
        <v>26</v>
      </c>
      <c r="F1556" t="s">
        <v>142</v>
      </c>
      <c r="G1556">
        <v>4</v>
      </c>
      <c r="H1556" s="7">
        <v>20.51</v>
      </c>
      <c r="I1556" t="s">
        <v>46</v>
      </c>
      <c r="J1556" t="s">
        <v>72</v>
      </c>
      <c r="K1556">
        <v>20</v>
      </c>
      <c r="L1556" s="7">
        <f t="shared" si="73"/>
        <v>82.04</v>
      </c>
      <c r="M1556" s="7"/>
      <c r="O1556">
        <f t="shared" si="74"/>
        <v>2</v>
      </c>
      <c r="Q1556" t="s">
        <v>47</v>
      </c>
    </row>
    <row r="1557" spans="1:17" x14ac:dyDescent="0.3">
      <c r="A1557" t="s">
        <v>2528</v>
      </c>
      <c r="B1557" s="6">
        <v>45096</v>
      </c>
      <c r="C1557" s="6" t="str">
        <f t="shared" si="72"/>
        <v>Jun</v>
      </c>
      <c r="D1557" t="s">
        <v>1567</v>
      </c>
      <c r="E1557" t="s">
        <v>19</v>
      </c>
      <c r="F1557" t="s">
        <v>217</v>
      </c>
      <c r="G1557">
        <v>2</v>
      </c>
      <c r="H1557" s="7">
        <v>64.13</v>
      </c>
      <c r="I1557" t="s">
        <v>21</v>
      </c>
      <c r="J1557" t="s">
        <v>28</v>
      </c>
      <c r="K1557">
        <v>10</v>
      </c>
      <c r="L1557" s="7">
        <f t="shared" si="73"/>
        <v>128.26</v>
      </c>
      <c r="M1557" s="7"/>
      <c r="O1557">
        <f t="shared" si="74"/>
        <v>2</v>
      </c>
      <c r="Q1557" t="s">
        <v>23</v>
      </c>
    </row>
    <row r="1558" spans="1:17" x14ac:dyDescent="0.3">
      <c r="A1558" t="s">
        <v>2529</v>
      </c>
      <c r="B1558" s="6">
        <v>45274</v>
      </c>
      <c r="C1558" s="6" t="str">
        <f t="shared" si="72"/>
        <v>Dec</v>
      </c>
      <c r="D1558" t="s">
        <v>2122</v>
      </c>
      <c r="E1558" t="s">
        <v>62</v>
      </c>
      <c r="F1558" t="s">
        <v>170</v>
      </c>
      <c r="G1558">
        <v>7</v>
      </c>
      <c r="H1558" s="7">
        <v>313.04000000000002</v>
      </c>
      <c r="I1558" t="s">
        <v>46</v>
      </c>
      <c r="J1558" t="s">
        <v>22</v>
      </c>
      <c r="K1558">
        <v>10</v>
      </c>
      <c r="L1558" s="7">
        <f t="shared" si="73"/>
        <v>2191.2800000000002</v>
      </c>
      <c r="M1558" s="7"/>
      <c r="O1558">
        <f t="shared" si="74"/>
        <v>2</v>
      </c>
      <c r="Q1558" t="s">
        <v>47</v>
      </c>
    </row>
    <row r="1559" spans="1:17" x14ac:dyDescent="0.3">
      <c r="A1559" t="s">
        <v>2530</v>
      </c>
      <c r="B1559" s="6">
        <v>44993</v>
      </c>
      <c r="C1559" s="6" t="str">
        <f t="shared" si="72"/>
        <v>Mar</v>
      </c>
      <c r="D1559" t="s">
        <v>1975</v>
      </c>
      <c r="E1559" t="s">
        <v>62</v>
      </c>
      <c r="F1559" t="s">
        <v>856</v>
      </c>
      <c r="G1559">
        <v>6</v>
      </c>
      <c r="H1559" s="7">
        <v>467.54</v>
      </c>
      <c r="I1559" t="s">
        <v>46</v>
      </c>
      <c r="J1559" t="s">
        <v>72</v>
      </c>
      <c r="K1559">
        <v>10</v>
      </c>
      <c r="L1559" s="7">
        <f t="shared" si="73"/>
        <v>2805.2400000000002</v>
      </c>
      <c r="M1559" s="7"/>
      <c r="O1559">
        <f t="shared" si="74"/>
        <v>3</v>
      </c>
      <c r="Q1559" t="s">
        <v>47</v>
      </c>
    </row>
    <row r="1560" spans="1:17" x14ac:dyDescent="0.3">
      <c r="A1560" t="s">
        <v>2531</v>
      </c>
      <c r="B1560" s="6">
        <v>45154</v>
      </c>
      <c r="C1560" s="6" t="str">
        <f t="shared" si="72"/>
        <v>Aug</v>
      </c>
      <c r="D1560" t="s">
        <v>2184</v>
      </c>
      <c r="E1560" t="s">
        <v>31</v>
      </c>
      <c r="F1560" t="s">
        <v>434</v>
      </c>
      <c r="G1560">
        <v>1</v>
      </c>
      <c r="H1560" s="7">
        <v>107.23</v>
      </c>
      <c r="I1560" t="s">
        <v>21</v>
      </c>
      <c r="J1560" t="s">
        <v>42</v>
      </c>
      <c r="K1560">
        <v>5</v>
      </c>
      <c r="L1560" s="7">
        <f t="shared" si="73"/>
        <v>107.23</v>
      </c>
      <c r="M1560" s="7"/>
      <c r="O1560">
        <f t="shared" si="74"/>
        <v>2</v>
      </c>
      <c r="Q1560" t="s">
        <v>23</v>
      </c>
    </row>
    <row r="1561" spans="1:17" x14ac:dyDescent="0.3">
      <c r="A1561" t="s">
        <v>2532</v>
      </c>
      <c r="B1561" s="6">
        <v>45100</v>
      </c>
      <c r="C1561" s="6" t="str">
        <f t="shared" si="72"/>
        <v>Jun</v>
      </c>
      <c r="D1561" t="s">
        <v>1247</v>
      </c>
      <c r="E1561" t="s">
        <v>19</v>
      </c>
      <c r="F1561" t="s">
        <v>687</v>
      </c>
      <c r="G1561">
        <v>9</v>
      </c>
      <c r="H1561" s="7">
        <v>368.84</v>
      </c>
      <c r="I1561" t="s">
        <v>19</v>
      </c>
      <c r="J1561" t="s">
        <v>87</v>
      </c>
      <c r="K1561">
        <v>5</v>
      </c>
      <c r="L1561" s="7">
        <f t="shared" si="73"/>
        <v>3319.56</v>
      </c>
      <c r="M1561" s="7"/>
      <c r="O1561">
        <f t="shared" si="74"/>
        <v>4</v>
      </c>
      <c r="Q1561" t="s">
        <v>19</v>
      </c>
    </row>
    <row r="1562" spans="1:17" x14ac:dyDescent="0.3">
      <c r="A1562" t="s">
        <v>2533</v>
      </c>
      <c r="B1562" s="6">
        <v>45118</v>
      </c>
      <c r="C1562" s="6" t="str">
        <f t="shared" si="72"/>
        <v>Jul</v>
      </c>
      <c r="D1562" t="s">
        <v>236</v>
      </c>
      <c r="E1562" t="s">
        <v>19</v>
      </c>
      <c r="F1562" t="s">
        <v>409</v>
      </c>
      <c r="G1562">
        <v>9</v>
      </c>
      <c r="H1562" s="7">
        <v>433.89</v>
      </c>
      <c r="I1562" t="s">
        <v>64</v>
      </c>
      <c r="J1562" t="s">
        <v>72</v>
      </c>
      <c r="K1562">
        <v>20</v>
      </c>
      <c r="L1562" s="7">
        <f t="shared" si="73"/>
        <v>3905.0099999999998</v>
      </c>
      <c r="M1562" s="7"/>
      <c r="O1562">
        <f t="shared" si="74"/>
        <v>5</v>
      </c>
      <c r="Q1562" t="s">
        <v>65</v>
      </c>
    </row>
    <row r="1563" spans="1:17" x14ac:dyDescent="0.3">
      <c r="A1563" t="s">
        <v>2534</v>
      </c>
      <c r="B1563" s="6">
        <v>45072</v>
      </c>
      <c r="C1563" s="6" t="str">
        <f t="shared" si="72"/>
        <v>May</v>
      </c>
      <c r="D1563" t="s">
        <v>2535</v>
      </c>
      <c r="E1563" t="s">
        <v>36</v>
      </c>
      <c r="F1563" t="s">
        <v>1117</v>
      </c>
      <c r="G1563">
        <v>5</v>
      </c>
      <c r="H1563" s="7">
        <v>262.83999999999997</v>
      </c>
      <c r="I1563" t="s">
        <v>32</v>
      </c>
      <c r="J1563" t="s">
        <v>28</v>
      </c>
      <c r="K1563">
        <v>10</v>
      </c>
      <c r="L1563" s="7">
        <f t="shared" si="73"/>
        <v>1314.1999999999998</v>
      </c>
      <c r="M1563" s="7"/>
      <c r="O1563">
        <f t="shared" si="74"/>
        <v>2</v>
      </c>
      <c r="Q1563" t="s">
        <v>33</v>
      </c>
    </row>
    <row r="1564" spans="1:17" x14ac:dyDescent="0.3">
      <c r="A1564" t="s">
        <v>2536</v>
      </c>
      <c r="B1564" s="6">
        <v>44973</v>
      </c>
      <c r="C1564" s="6" t="str">
        <f t="shared" si="72"/>
        <v>Feb</v>
      </c>
      <c r="D1564" t="s">
        <v>2537</v>
      </c>
      <c r="E1564" t="s">
        <v>62</v>
      </c>
      <c r="F1564" t="s">
        <v>412</v>
      </c>
      <c r="G1564">
        <v>3</v>
      </c>
      <c r="H1564" s="7">
        <v>336.29</v>
      </c>
      <c r="I1564" t="s">
        <v>46</v>
      </c>
      <c r="J1564" t="s">
        <v>87</v>
      </c>
      <c r="K1564">
        <v>10</v>
      </c>
      <c r="L1564" s="7">
        <f t="shared" si="73"/>
        <v>1008.8700000000001</v>
      </c>
      <c r="M1564" s="7"/>
      <c r="O1564">
        <f t="shared" si="74"/>
        <v>2</v>
      </c>
      <c r="Q1564" t="s">
        <v>47</v>
      </c>
    </row>
    <row r="1565" spans="1:17" x14ac:dyDescent="0.3">
      <c r="A1565" t="s">
        <v>2538</v>
      </c>
      <c r="B1565" s="6">
        <v>45110</v>
      </c>
      <c r="C1565" s="6" t="str">
        <f t="shared" si="72"/>
        <v>Jul</v>
      </c>
      <c r="D1565" t="s">
        <v>1692</v>
      </c>
      <c r="E1565" t="s">
        <v>50</v>
      </c>
      <c r="F1565" t="s">
        <v>170</v>
      </c>
      <c r="G1565">
        <v>5</v>
      </c>
      <c r="H1565" s="7">
        <v>408.43</v>
      </c>
      <c r="I1565" t="s">
        <v>21</v>
      </c>
      <c r="J1565" t="s">
        <v>19</v>
      </c>
      <c r="K1565">
        <v>10</v>
      </c>
      <c r="L1565" s="7">
        <f t="shared" si="73"/>
        <v>2042.15</v>
      </c>
      <c r="M1565" s="7"/>
      <c r="O1565">
        <f t="shared" si="74"/>
        <v>2</v>
      </c>
      <c r="Q1565" t="s">
        <v>23</v>
      </c>
    </row>
    <row r="1566" spans="1:17" x14ac:dyDescent="0.3">
      <c r="A1566" t="s">
        <v>2539</v>
      </c>
      <c r="B1566" s="6">
        <v>45122</v>
      </c>
      <c r="C1566" s="6" t="str">
        <f t="shared" si="72"/>
        <v>Jul</v>
      </c>
      <c r="D1566" t="s">
        <v>294</v>
      </c>
      <c r="E1566" t="s">
        <v>19</v>
      </c>
      <c r="F1566" t="s">
        <v>328</v>
      </c>
      <c r="G1566">
        <v>5</v>
      </c>
      <c r="H1566" s="7">
        <v>134.03</v>
      </c>
      <c r="I1566" t="s">
        <v>64</v>
      </c>
      <c r="J1566" t="s">
        <v>22</v>
      </c>
      <c r="K1566">
        <v>0</v>
      </c>
      <c r="L1566" s="7">
        <f t="shared" si="73"/>
        <v>670.15</v>
      </c>
      <c r="M1566" s="7"/>
      <c r="O1566">
        <f t="shared" si="74"/>
        <v>2</v>
      </c>
      <c r="Q1566" t="s">
        <v>65</v>
      </c>
    </row>
    <row r="1567" spans="1:17" x14ac:dyDescent="0.3">
      <c r="A1567" t="s">
        <v>2540</v>
      </c>
      <c r="B1567" s="6">
        <v>45216</v>
      </c>
      <c r="C1567" s="6" t="str">
        <f t="shared" si="72"/>
        <v>Oct</v>
      </c>
      <c r="D1567" t="s">
        <v>2059</v>
      </c>
      <c r="E1567" t="s">
        <v>62</v>
      </c>
      <c r="F1567" t="s">
        <v>538</v>
      </c>
      <c r="G1567">
        <v>1</v>
      </c>
      <c r="H1567" s="7">
        <v>151.96</v>
      </c>
      <c r="I1567" t="s">
        <v>46</v>
      </c>
      <c r="J1567" t="s">
        <v>42</v>
      </c>
      <c r="K1567">
        <v>15</v>
      </c>
      <c r="L1567" s="7">
        <f t="shared" si="73"/>
        <v>151.96</v>
      </c>
      <c r="M1567" s="7"/>
      <c r="O1567">
        <f t="shared" si="74"/>
        <v>2</v>
      </c>
      <c r="Q1567" t="s">
        <v>47</v>
      </c>
    </row>
    <row r="1568" spans="1:17" x14ac:dyDescent="0.3">
      <c r="A1568" t="s">
        <v>2541</v>
      </c>
      <c r="B1568" s="6">
        <v>45290</v>
      </c>
      <c r="C1568" s="6" t="str">
        <f t="shared" si="72"/>
        <v>Dec</v>
      </c>
      <c r="D1568" t="s">
        <v>1383</v>
      </c>
      <c r="E1568" t="s">
        <v>26</v>
      </c>
      <c r="F1568" t="s">
        <v>131</v>
      </c>
      <c r="G1568">
        <v>8</v>
      </c>
      <c r="H1568" s="7">
        <v>5.31</v>
      </c>
      <c r="I1568" t="s">
        <v>64</v>
      </c>
      <c r="J1568" t="s">
        <v>22</v>
      </c>
      <c r="K1568">
        <v>10</v>
      </c>
      <c r="L1568" s="7">
        <f t="shared" si="73"/>
        <v>42.48</v>
      </c>
      <c r="M1568" s="7"/>
      <c r="O1568">
        <f t="shared" si="74"/>
        <v>2</v>
      </c>
      <c r="Q1568" t="s">
        <v>65</v>
      </c>
    </row>
    <row r="1569" spans="1:17" x14ac:dyDescent="0.3">
      <c r="A1569" t="s">
        <v>2542</v>
      </c>
      <c r="B1569" s="6">
        <v>45177</v>
      </c>
      <c r="C1569" s="6" t="str">
        <f t="shared" si="72"/>
        <v>Sep</v>
      </c>
      <c r="D1569" t="s">
        <v>118</v>
      </c>
      <c r="E1569" t="s">
        <v>31</v>
      </c>
      <c r="F1569" t="s">
        <v>944</v>
      </c>
      <c r="G1569">
        <v>8</v>
      </c>
      <c r="H1569" s="7">
        <v>481.73</v>
      </c>
      <c r="I1569" t="s">
        <v>64</v>
      </c>
      <c r="J1569" t="s">
        <v>72</v>
      </c>
      <c r="K1569">
        <v>10</v>
      </c>
      <c r="L1569" s="7">
        <f t="shared" si="73"/>
        <v>3853.84</v>
      </c>
      <c r="M1569" s="7"/>
      <c r="O1569">
        <f t="shared" si="74"/>
        <v>5</v>
      </c>
      <c r="Q1569" t="s">
        <v>65</v>
      </c>
    </row>
    <row r="1570" spans="1:17" x14ac:dyDescent="0.3">
      <c r="A1570" t="s">
        <v>2543</v>
      </c>
      <c r="B1570" s="6">
        <v>44958</v>
      </c>
      <c r="C1570" s="6" t="str">
        <f t="shared" si="72"/>
        <v>Feb</v>
      </c>
      <c r="D1570" t="s">
        <v>241</v>
      </c>
      <c r="E1570" t="s">
        <v>50</v>
      </c>
      <c r="F1570" t="s">
        <v>696</v>
      </c>
      <c r="G1570">
        <v>4</v>
      </c>
      <c r="H1570" s="7">
        <v>459.18</v>
      </c>
      <c r="I1570" t="s">
        <v>32</v>
      </c>
      <c r="J1570" t="s">
        <v>22</v>
      </c>
      <c r="K1570">
        <v>0</v>
      </c>
      <c r="L1570" s="7">
        <f t="shared" si="73"/>
        <v>1836.72</v>
      </c>
      <c r="M1570" s="7"/>
      <c r="O1570">
        <f t="shared" si="74"/>
        <v>2</v>
      </c>
      <c r="Q1570" t="s">
        <v>33</v>
      </c>
    </row>
    <row r="1571" spans="1:17" x14ac:dyDescent="0.3">
      <c r="A1571" t="s">
        <v>2544</v>
      </c>
      <c r="B1571" s="6">
        <v>45024</v>
      </c>
      <c r="C1571" s="6" t="str">
        <f t="shared" si="72"/>
        <v>Apr</v>
      </c>
      <c r="D1571" t="s">
        <v>2545</v>
      </c>
      <c r="E1571" t="s">
        <v>36</v>
      </c>
      <c r="F1571" t="s">
        <v>363</v>
      </c>
      <c r="G1571">
        <v>7</v>
      </c>
      <c r="H1571" s="7">
        <v>383.46</v>
      </c>
      <c r="I1571" t="s">
        <v>46</v>
      </c>
      <c r="J1571" t="s">
        <v>87</v>
      </c>
      <c r="K1571">
        <v>0</v>
      </c>
      <c r="L1571" s="7">
        <f t="shared" si="73"/>
        <v>2684.22</v>
      </c>
      <c r="M1571" s="7"/>
      <c r="O1571">
        <f t="shared" si="74"/>
        <v>3</v>
      </c>
      <c r="Q1571" t="s">
        <v>47</v>
      </c>
    </row>
    <row r="1572" spans="1:17" x14ac:dyDescent="0.3">
      <c r="A1572" t="s">
        <v>2546</v>
      </c>
      <c r="B1572" s="6">
        <v>45202</v>
      </c>
      <c r="C1572" s="6" t="str">
        <f t="shared" si="72"/>
        <v>Oct</v>
      </c>
      <c r="D1572" t="s">
        <v>537</v>
      </c>
      <c r="E1572" t="s">
        <v>50</v>
      </c>
      <c r="F1572" t="s">
        <v>657</v>
      </c>
      <c r="G1572">
        <v>3</v>
      </c>
      <c r="H1572" s="7">
        <v>44.14</v>
      </c>
      <c r="I1572" t="s">
        <v>103</v>
      </c>
      <c r="J1572" t="s">
        <v>28</v>
      </c>
      <c r="K1572">
        <v>15</v>
      </c>
      <c r="L1572" s="7">
        <f t="shared" si="73"/>
        <v>132.42000000000002</v>
      </c>
      <c r="M1572" s="7"/>
      <c r="O1572">
        <f t="shared" si="74"/>
        <v>2</v>
      </c>
      <c r="Q1572" t="s">
        <v>104</v>
      </c>
    </row>
    <row r="1573" spans="1:17" x14ac:dyDescent="0.3">
      <c r="A1573" t="s">
        <v>2547</v>
      </c>
      <c r="B1573" s="6">
        <v>45280</v>
      </c>
      <c r="C1573" s="6" t="str">
        <f t="shared" si="72"/>
        <v>Dec</v>
      </c>
      <c r="D1573" t="s">
        <v>906</v>
      </c>
      <c r="E1573" t="s">
        <v>62</v>
      </c>
      <c r="F1573" t="s">
        <v>151</v>
      </c>
      <c r="G1573">
        <v>6</v>
      </c>
      <c r="H1573" s="7">
        <v>226.51</v>
      </c>
      <c r="I1573" t="s">
        <v>103</v>
      </c>
      <c r="J1573" t="s">
        <v>22</v>
      </c>
      <c r="K1573">
        <v>0</v>
      </c>
      <c r="L1573" s="7">
        <f t="shared" si="73"/>
        <v>1359.06</v>
      </c>
      <c r="M1573" s="7"/>
      <c r="O1573">
        <f t="shared" si="74"/>
        <v>2</v>
      </c>
      <c r="Q1573" t="s">
        <v>104</v>
      </c>
    </row>
    <row r="1574" spans="1:17" x14ac:dyDescent="0.3">
      <c r="A1574" t="s">
        <v>2548</v>
      </c>
      <c r="B1574" s="6">
        <v>45195</v>
      </c>
      <c r="C1574" s="6" t="str">
        <f t="shared" si="72"/>
        <v>Sep</v>
      </c>
      <c r="D1574" t="s">
        <v>2122</v>
      </c>
      <c r="E1574" t="s">
        <v>36</v>
      </c>
      <c r="F1574" t="s">
        <v>37</v>
      </c>
      <c r="G1574">
        <v>9</v>
      </c>
      <c r="H1574" s="7">
        <v>55.44</v>
      </c>
      <c r="I1574" t="s">
        <v>19</v>
      </c>
      <c r="J1574" t="s">
        <v>72</v>
      </c>
      <c r="K1574">
        <v>20</v>
      </c>
      <c r="L1574" s="7">
        <f t="shared" si="73"/>
        <v>498.96</v>
      </c>
      <c r="M1574" s="7"/>
      <c r="O1574">
        <f t="shared" si="74"/>
        <v>2</v>
      </c>
      <c r="Q1574" t="s">
        <v>19</v>
      </c>
    </row>
    <row r="1575" spans="1:17" x14ac:dyDescent="0.3">
      <c r="A1575" t="s">
        <v>2549</v>
      </c>
      <c r="B1575" s="6">
        <v>45254</v>
      </c>
      <c r="C1575" s="6" t="str">
        <f t="shared" si="72"/>
        <v>Nov</v>
      </c>
      <c r="D1575" t="s">
        <v>2550</v>
      </c>
      <c r="E1575" t="s">
        <v>62</v>
      </c>
      <c r="F1575" t="s">
        <v>356</v>
      </c>
      <c r="G1575">
        <v>1</v>
      </c>
      <c r="H1575" s="7">
        <v>12.88</v>
      </c>
      <c r="I1575" t="s">
        <v>19</v>
      </c>
      <c r="J1575" t="s">
        <v>87</v>
      </c>
      <c r="K1575">
        <v>0</v>
      </c>
      <c r="L1575" s="7">
        <f t="shared" si="73"/>
        <v>12.88</v>
      </c>
      <c r="M1575" s="7"/>
      <c r="O1575">
        <f t="shared" si="74"/>
        <v>2</v>
      </c>
      <c r="Q1575" t="s">
        <v>19</v>
      </c>
    </row>
    <row r="1576" spans="1:17" x14ac:dyDescent="0.3">
      <c r="A1576" t="s">
        <v>2551</v>
      </c>
      <c r="B1576" s="6">
        <v>45134</v>
      </c>
      <c r="C1576" s="6" t="str">
        <f t="shared" si="72"/>
        <v>Jul</v>
      </c>
      <c r="D1576" t="s">
        <v>397</v>
      </c>
      <c r="E1576" t="s">
        <v>19</v>
      </c>
      <c r="F1576" t="s">
        <v>303</v>
      </c>
      <c r="G1576">
        <v>5</v>
      </c>
      <c r="H1576" s="7">
        <v>310.01</v>
      </c>
      <c r="I1576" t="s">
        <v>46</v>
      </c>
      <c r="J1576" t="s">
        <v>72</v>
      </c>
      <c r="K1576">
        <v>10</v>
      </c>
      <c r="L1576" s="7">
        <f t="shared" si="73"/>
        <v>1550.05</v>
      </c>
      <c r="M1576" s="7"/>
      <c r="O1576">
        <f t="shared" si="74"/>
        <v>2</v>
      </c>
      <c r="Q1576" t="s">
        <v>47</v>
      </c>
    </row>
    <row r="1577" spans="1:17" x14ac:dyDescent="0.3">
      <c r="A1577" t="s">
        <v>2552</v>
      </c>
      <c r="B1577" s="6">
        <v>44969</v>
      </c>
      <c r="C1577" s="6" t="str">
        <f t="shared" si="72"/>
        <v>Feb</v>
      </c>
      <c r="D1577" t="s">
        <v>2263</v>
      </c>
      <c r="E1577" t="s">
        <v>26</v>
      </c>
      <c r="F1577" t="s">
        <v>389</v>
      </c>
      <c r="G1577">
        <v>4</v>
      </c>
      <c r="H1577" s="7">
        <v>480.61</v>
      </c>
      <c r="I1577" t="s">
        <v>19</v>
      </c>
      <c r="J1577" t="s">
        <v>28</v>
      </c>
      <c r="K1577">
        <v>20</v>
      </c>
      <c r="L1577" s="7">
        <f t="shared" si="73"/>
        <v>1922.44</v>
      </c>
      <c r="M1577" s="7"/>
      <c r="O1577">
        <f t="shared" si="74"/>
        <v>2</v>
      </c>
      <c r="Q1577" t="s">
        <v>19</v>
      </c>
    </row>
    <row r="1578" spans="1:17" x14ac:dyDescent="0.3">
      <c r="A1578" t="s">
        <v>2553</v>
      </c>
      <c r="B1578" s="6">
        <v>45230</v>
      </c>
      <c r="C1578" s="6" t="str">
        <f t="shared" si="72"/>
        <v>Oct</v>
      </c>
      <c r="D1578" t="s">
        <v>555</v>
      </c>
      <c r="E1578" t="s">
        <v>19</v>
      </c>
      <c r="F1578" t="s">
        <v>134</v>
      </c>
      <c r="G1578">
        <v>8</v>
      </c>
      <c r="H1578" s="7">
        <v>451.92</v>
      </c>
      <c r="I1578" t="s">
        <v>64</v>
      </c>
      <c r="J1578" t="s">
        <v>19</v>
      </c>
      <c r="K1578">
        <v>0</v>
      </c>
      <c r="L1578" s="7">
        <f t="shared" si="73"/>
        <v>3615.36</v>
      </c>
      <c r="M1578" s="7"/>
      <c r="O1578">
        <f t="shared" si="74"/>
        <v>5</v>
      </c>
      <c r="Q1578" t="s">
        <v>65</v>
      </c>
    </row>
    <row r="1579" spans="1:17" x14ac:dyDescent="0.3">
      <c r="A1579" t="s">
        <v>2554</v>
      </c>
      <c r="B1579" s="6">
        <v>45240</v>
      </c>
      <c r="C1579" s="6" t="str">
        <f t="shared" si="72"/>
        <v>Nov</v>
      </c>
      <c r="D1579" t="s">
        <v>1525</v>
      </c>
      <c r="E1579" t="s">
        <v>40</v>
      </c>
      <c r="F1579" t="s">
        <v>1142</v>
      </c>
      <c r="G1579">
        <v>1</v>
      </c>
      <c r="H1579" s="7">
        <v>349.89</v>
      </c>
      <c r="I1579" t="s">
        <v>103</v>
      </c>
      <c r="J1579" t="s">
        <v>42</v>
      </c>
      <c r="K1579">
        <v>5</v>
      </c>
      <c r="L1579" s="7">
        <f t="shared" si="73"/>
        <v>349.89</v>
      </c>
      <c r="M1579" s="7"/>
      <c r="O1579">
        <f t="shared" si="74"/>
        <v>2</v>
      </c>
      <c r="Q1579" t="s">
        <v>104</v>
      </c>
    </row>
    <row r="1580" spans="1:17" x14ac:dyDescent="0.3">
      <c r="A1580" t="s">
        <v>2555</v>
      </c>
      <c r="B1580" s="6">
        <v>45260</v>
      </c>
      <c r="C1580" s="6" t="str">
        <f t="shared" si="72"/>
        <v>Nov</v>
      </c>
      <c r="D1580" t="s">
        <v>2556</v>
      </c>
      <c r="E1580" t="s">
        <v>62</v>
      </c>
      <c r="F1580" t="s">
        <v>154</v>
      </c>
      <c r="G1580">
        <v>9</v>
      </c>
      <c r="H1580" s="7">
        <v>52.84</v>
      </c>
      <c r="I1580" t="s">
        <v>103</v>
      </c>
      <c r="J1580" t="s">
        <v>72</v>
      </c>
      <c r="K1580">
        <v>0</v>
      </c>
      <c r="L1580" s="7">
        <f t="shared" si="73"/>
        <v>475.56000000000006</v>
      </c>
      <c r="M1580" s="7"/>
      <c r="O1580">
        <f t="shared" si="74"/>
        <v>2</v>
      </c>
      <c r="Q1580" t="s">
        <v>104</v>
      </c>
    </row>
    <row r="1581" spans="1:17" x14ac:dyDescent="0.3">
      <c r="A1581" t="s">
        <v>2557</v>
      </c>
      <c r="B1581" s="6">
        <v>45048</v>
      </c>
      <c r="C1581" s="6" t="str">
        <f t="shared" si="72"/>
        <v>May</v>
      </c>
      <c r="D1581" t="s">
        <v>1586</v>
      </c>
      <c r="E1581" t="s">
        <v>19</v>
      </c>
      <c r="F1581" t="s">
        <v>944</v>
      </c>
      <c r="G1581">
        <v>5</v>
      </c>
      <c r="H1581" s="7">
        <v>140.71</v>
      </c>
      <c r="I1581" t="s">
        <v>32</v>
      </c>
      <c r="J1581" t="s">
        <v>22</v>
      </c>
      <c r="K1581">
        <v>20</v>
      </c>
      <c r="L1581" s="7">
        <f t="shared" si="73"/>
        <v>703.55000000000007</v>
      </c>
      <c r="M1581" s="7"/>
      <c r="O1581">
        <f t="shared" si="74"/>
        <v>2</v>
      </c>
      <c r="Q1581" t="s">
        <v>33</v>
      </c>
    </row>
    <row r="1582" spans="1:17" x14ac:dyDescent="0.3">
      <c r="A1582" t="s">
        <v>2558</v>
      </c>
      <c r="B1582" s="6">
        <v>45271</v>
      </c>
      <c r="C1582" s="6" t="str">
        <f t="shared" si="72"/>
        <v>Dec</v>
      </c>
      <c r="D1582" t="s">
        <v>1552</v>
      </c>
      <c r="E1582" t="s">
        <v>19</v>
      </c>
      <c r="F1582" t="s">
        <v>37</v>
      </c>
      <c r="G1582">
        <v>4</v>
      </c>
      <c r="H1582" s="7">
        <v>163.43</v>
      </c>
      <c r="I1582" t="s">
        <v>21</v>
      </c>
      <c r="J1582" t="s">
        <v>87</v>
      </c>
      <c r="K1582">
        <v>0</v>
      </c>
      <c r="L1582" s="7">
        <f t="shared" si="73"/>
        <v>653.72</v>
      </c>
      <c r="M1582" s="7"/>
      <c r="O1582">
        <f t="shared" si="74"/>
        <v>2</v>
      </c>
      <c r="Q1582" t="s">
        <v>23</v>
      </c>
    </row>
    <row r="1583" spans="1:17" x14ac:dyDescent="0.3">
      <c r="A1583" t="s">
        <v>2559</v>
      </c>
      <c r="B1583" s="6">
        <v>45029</v>
      </c>
      <c r="C1583" s="6" t="str">
        <f t="shared" si="72"/>
        <v>Apr</v>
      </c>
      <c r="D1583" t="s">
        <v>2560</v>
      </c>
      <c r="E1583" t="s">
        <v>40</v>
      </c>
      <c r="F1583" t="s">
        <v>696</v>
      </c>
      <c r="G1583">
        <v>9</v>
      </c>
      <c r="H1583" s="7">
        <v>382.76</v>
      </c>
      <c r="I1583" t="s">
        <v>103</v>
      </c>
      <c r="J1583" t="s">
        <v>42</v>
      </c>
      <c r="K1583">
        <v>0</v>
      </c>
      <c r="L1583" s="7">
        <f t="shared" si="73"/>
        <v>3444.84</v>
      </c>
      <c r="M1583" s="7"/>
      <c r="O1583">
        <f t="shared" si="74"/>
        <v>4</v>
      </c>
      <c r="Q1583" t="s">
        <v>104</v>
      </c>
    </row>
    <row r="1584" spans="1:17" x14ac:dyDescent="0.3">
      <c r="A1584" t="s">
        <v>2561</v>
      </c>
      <c r="B1584" s="6">
        <v>44994</v>
      </c>
      <c r="C1584" s="6" t="str">
        <f t="shared" si="72"/>
        <v>Mar</v>
      </c>
      <c r="D1584" t="s">
        <v>77</v>
      </c>
      <c r="E1584" t="s">
        <v>19</v>
      </c>
      <c r="F1584" t="s">
        <v>1282</v>
      </c>
      <c r="G1584">
        <v>5</v>
      </c>
      <c r="H1584" s="7">
        <v>402.11</v>
      </c>
      <c r="I1584" t="s">
        <v>21</v>
      </c>
      <c r="J1584" t="s">
        <v>87</v>
      </c>
      <c r="K1584">
        <v>0</v>
      </c>
      <c r="L1584" s="7">
        <f t="shared" si="73"/>
        <v>2010.5500000000002</v>
      </c>
      <c r="M1584" s="7"/>
      <c r="O1584">
        <f t="shared" si="74"/>
        <v>2</v>
      </c>
      <c r="Q1584" t="s">
        <v>23</v>
      </c>
    </row>
    <row r="1585" spans="1:17" x14ac:dyDescent="0.3">
      <c r="A1585" t="s">
        <v>2562</v>
      </c>
      <c r="B1585" s="6">
        <v>44939</v>
      </c>
      <c r="C1585" s="6" t="str">
        <f t="shared" si="72"/>
        <v>Jan</v>
      </c>
      <c r="D1585" t="s">
        <v>2079</v>
      </c>
      <c r="E1585" t="s">
        <v>31</v>
      </c>
      <c r="F1585" t="s">
        <v>378</v>
      </c>
      <c r="G1585">
        <v>5</v>
      </c>
      <c r="H1585" s="7">
        <v>195.63</v>
      </c>
      <c r="I1585" t="s">
        <v>46</v>
      </c>
      <c r="J1585" t="s">
        <v>19</v>
      </c>
      <c r="K1585">
        <v>20</v>
      </c>
      <c r="L1585" s="7">
        <f t="shared" si="73"/>
        <v>978.15</v>
      </c>
      <c r="M1585" s="7"/>
      <c r="O1585">
        <f t="shared" si="74"/>
        <v>2</v>
      </c>
      <c r="Q1585" t="s">
        <v>47</v>
      </c>
    </row>
    <row r="1586" spans="1:17" x14ac:dyDescent="0.3">
      <c r="A1586" t="s">
        <v>2563</v>
      </c>
      <c r="B1586" s="6">
        <v>45243</v>
      </c>
      <c r="C1586" s="6" t="str">
        <f t="shared" si="72"/>
        <v>Nov</v>
      </c>
      <c r="D1586" t="s">
        <v>2564</v>
      </c>
      <c r="E1586" t="s">
        <v>19</v>
      </c>
      <c r="F1586" t="s">
        <v>988</v>
      </c>
      <c r="G1586">
        <v>5</v>
      </c>
      <c r="H1586" s="7">
        <v>211.85</v>
      </c>
      <c r="I1586" t="s">
        <v>64</v>
      </c>
      <c r="J1586" t="s">
        <v>87</v>
      </c>
      <c r="K1586">
        <v>0</v>
      </c>
      <c r="L1586" s="7">
        <f t="shared" si="73"/>
        <v>1059.25</v>
      </c>
      <c r="M1586" s="7"/>
      <c r="O1586">
        <f t="shared" si="74"/>
        <v>2</v>
      </c>
      <c r="Q1586" t="s">
        <v>65</v>
      </c>
    </row>
    <row r="1587" spans="1:17" x14ac:dyDescent="0.3">
      <c r="A1587" t="s">
        <v>2565</v>
      </c>
      <c r="B1587" s="6">
        <v>45231</v>
      </c>
      <c r="C1587" s="6" t="str">
        <f t="shared" si="72"/>
        <v>Nov</v>
      </c>
      <c r="D1587" t="s">
        <v>250</v>
      </c>
      <c r="E1587" t="s">
        <v>19</v>
      </c>
      <c r="F1587" t="s">
        <v>749</v>
      </c>
      <c r="G1587">
        <v>1</v>
      </c>
      <c r="H1587" s="7">
        <v>27.03</v>
      </c>
      <c r="I1587" t="s">
        <v>103</v>
      </c>
      <c r="J1587" t="s">
        <v>87</v>
      </c>
      <c r="K1587">
        <v>15</v>
      </c>
      <c r="L1587" s="7">
        <f t="shared" si="73"/>
        <v>27.03</v>
      </c>
      <c r="M1587" s="7"/>
      <c r="O1587">
        <f t="shared" si="74"/>
        <v>2</v>
      </c>
      <c r="Q1587" t="s">
        <v>104</v>
      </c>
    </row>
    <row r="1588" spans="1:17" x14ac:dyDescent="0.3">
      <c r="A1588" t="s">
        <v>2566</v>
      </c>
      <c r="B1588" s="6">
        <v>44964</v>
      </c>
      <c r="C1588" s="6" t="str">
        <f t="shared" si="72"/>
        <v>Feb</v>
      </c>
      <c r="D1588" t="s">
        <v>1339</v>
      </c>
      <c r="E1588" t="s">
        <v>40</v>
      </c>
      <c r="F1588" t="s">
        <v>125</v>
      </c>
      <c r="G1588">
        <v>1</v>
      </c>
      <c r="H1588" s="7">
        <v>148.12</v>
      </c>
      <c r="I1588" t="s">
        <v>46</v>
      </c>
      <c r="J1588" t="s">
        <v>72</v>
      </c>
      <c r="K1588">
        <v>10</v>
      </c>
      <c r="L1588" s="7">
        <f t="shared" si="73"/>
        <v>148.12</v>
      </c>
      <c r="M1588" s="7"/>
      <c r="O1588">
        <f t="shared" si="74"/>
        <v>2</v>
      </c>
      <c r="Q1588" t="s">
        <v>47</v>
      </c>
    </row>
    <row r="1589" spans="1:17" x14ac:dyDescent="0.3">
      <c r="A1589" t="s">
        <v>2567</v>
      </c>
      <c r="B1589" s="6">
        <v>45221</v>
      </c>
      <c r="C1589" s="6" t="str">
        <f t="shared" si="72"/>
        <v>Oct</v>
      </c>
      <c r="D1589" t="s">
        <v>1628</v>
      </c>
      <c r="E1589" t="s">
        <v>31</v>
      </c>
      <c r="F1589" t="s">
        <v>662</v>
      </c>
      <c r="G1589">
        <v>8</v>
      </c>
      <c r="H1589" s="7">
        <v>228.39</v>
      </c>
      <c r="I1589" t="s">
        <v>103</v>
      </c>
      <c r="J1589" t="s">
        <v>19</v>
      </c>
      <c r="K1589">
        <v>15</v>
      </c>
      <c r="L1589" s="7">
        <f t="shared" si="73"/>
        <v>1827.12</v>
      </c>
      <c r="M1589" s="7"/>
      <c r="O1589">
        <f t="shared" si="74"/>
        <v>2</v>
      </c>
      <c r="Q1589" t="s">
        <v>104</v>
      </c>
    </row>
    <row r="1590" spans="1:17" x14ac:dyDescent="0.3">
      <c r="A1590" t="s">
        <v>2568</v>
      </c>
      <c r="B1590" s="6">
        <v>45091</v>
      </c>
      <c r="C1590" s="6" t="str">
        <f t="shared" si="72"/>
        <v>Jun</v>
      </c>
      <c r="D1590" t="s">
        <v>2569</v>
      </c>
      <c r="E1590" t="s">
        <v>36</v>
      </c>
      <c r="F1590" t="s">
        <v>520</v>
      </c>
      <c r="G1590">
        <v>8</v>
      </c>
      <c r="H1590" s="7">
        <v>62.91</v>
      </c>
      <c r="I1590" t="s">
        <v>103</v>
      </c>
      <c r="J1590" t="s">
        <v>28</v>
      </c>
      <c r="K1590">
        <v>20</v>
      </c>
      <c r="L1590" s="7">
        <f t="shared" si="73"/>
        <v>503.28</v>
      </c>
      <c r="M1590" s="7"/>
      <c r="O1590">
        <f t="shared" si="74"/>
        <v>2</v>
      </c>
      <c r="Q1590" t="s">
        <v>104</v>
      </c>
    </row>
    <row r="1591" spans="1:17" x14ac:dyDescent="0.3">
      <c r="A1591" t="s">
        <v>2570</v>
      </c>
      <c r="B1591" s="6">
        <v>44978</v>
      </c>
      <c r="C1591" s="6" t="str">
        <f t="shared" si="72"/>
        <v>Feb</v>
      </c>
      <c r="D1591" t="s">
        <v>2017</v>
      </c>
      <c r="E1591" t="s">
        <v>40</v>
      </c>
      <c r="F1591" t="s">
        <v>657</v>
      </c>
      <c r="G1591">
        <v>6</v>
      </c>
      <c r="H1591" s="7">
        <v>229.37</v>
      </c>
      <c r="I1591" t="s">
        <v>46</v>
      </c>
      <c r="J1591" t="s">
        <v>22</v>
      </c>
      <c r="K1591">
        <v>5</v>
      </c>
      <c r="L1591" s="7">
        <f t="shared" si="73"/>
        <v>1376.22</v>
      </c>
      <c r="M1591" s="7"/>
      <c r="O1591">
        <f t="shared" si="74"/>
        <v>2</v>
      </c>
      <c r="Q1591" t="s">
        <v>47</v>
      </c>
    </row>
    <row r="1592" spans="1:17" x14ac:dyDescent="0.3">
      <c r="A1592" t="s">
        <v>2571</v>
      </c>
      <c r="B1592" s="6">
        <v>45287</v>
      </c>
      <c r="C1592" s="6" t="str">
        <f t="shared" si="72"/>
        <v>Dec</v>
      </c>
      <c r="D1592" t="s">
        <v>1853</v>
      </c>
      <c r="E1592" t="s">
        <v>19</v>
      </c>
      <c r="F1592" t="s">
        <v>350</v>
      </c>
      <c r="G1592">
        <v>4</v>
      </c>
      <c r="H1592" s="7">
        <v>427.32</v>
      </c>
      <c r="I1592" t="s">
        <v>19</v>
      </c>
      <c r="J1592" t="s">
        <v>22</v>
      </c>
      <c r="K1592">
        <v>15</v>
      </c>
      <c r="L1592" s="7">
        <f t="shared" si="73"/>
        <v>1709.28</v>
      </c>
      <c r="M1592" s="7"/>
      <c r="O1592">
        <f t="shared" si="74"/>
        <v>2</v>
      </c>
      <c r="Q1592" t="s">
        <v>19</v>
      </c>
    </row>
    <row r="1593" spans="1:17" x14ac:dyDescent="0.3">
      <c r="A1593" t="s">
        <v>2572</v>
      </c>
      <c r="B1593" s="6">
        <v>45287</v>
      </c>
      <c r="C1593" s="6" t="str">
        <f t="shared" si="72"/>
        <v>Dec</v>
      </c>
      <c r="D1593" t="s">
        <v>1087</v>
      </c>
      <c r="E1593" t="s">
        <v>26</v>
      </c>
      <c r="F1593" t="s">
        <v>157</v>
      </c>
      <c r="G1593">
        <v>2</v>
      </c>
      <c r="H1593" s="7">
        <v>292.75</v>
      </c>
      <c r="I1593" t="s">
        <v>21</v>
      </c>
      <c r="J1593" t="s">
        <v>19</v>
      </c>
      <c r="K1593">
        <v>10</v>
      </c>
      <c r="L1593" s="7">
        <f t="shared" si="73"/>
        <v>585.5</v>
      </c>
      <c r="M1593" s="7"/>
      <c r="O1593">
        <f t="shared" si="74"/>
        <v>2</v>
      </c>
      <c r="Q1593" t="s">
        <v>23</v>
      </c>
    </row>
    <row r="1594" spans="1:17" x14ac:dyDescent="0.3">
      <c r="A1594" t="s">
        <v>2573</v>
      </c>
      <c r="B1594" s="6">
        <v>45177</v>
      </c>
      <c r="C1594" s="6" t="str">
        <f t="shared" si="72"/>
        <v>Sep</v>
      </c>
      <c r="D1594" t="s">
        <v>1135</v>
      </c>
      <c r="E1594" t="s">
        <v>26</v>
      </c>
      <c r="F1594" t="s">
        <v>281</v>
      </c>
      <c r="G1594">
        <v>2</v>
      </c>
      <c r="H1594" s="7">
        <v>44.07</v>
      </c>
      <c r="I1594" t="s">
        <v>32</v>
      </c>
      <c r="J1594" t="s">
        <v>28</v>
      </c>
      <c r="K1594">
        <v>10</v>
      </c>
      <c r="L1594" s="7">
        <f t="shared" si="73"/>
        <v>88.14</v>
      </c>
      <c r="M1594" s="7"/>
      <c r="O1594">
        <f t="shared" si="74"/>
        <v>2</v>
      </c>
      <c r="Q1594" t="s">
        <v>33</v>
      </c>
    </row>
    <row r="1595" spans="1:17" x14ac:dyDescent="0.3">
      <c r="A1595" t="s">
        <v>2574</v>
      </c>
      <c r="B1595" s="6">
        <v>45250</v>
      </c>
      <c r="C1595" s="6" t="str">
        <f t="shared" si="72"/>
        <v>Nov</v>
      </c>
      <c r="D1595" t="s">
        <v>18</v>
      </c>
      <c r="E1595" t="s">
        <v>50</v>
      </c>
      <c r="F1595" t="s">
        <v>436</v>
      </c>
      <c r="G1595">
        <v>9</v>
      </c>
      <c r="H1595" s="7">
        <v>99.88</v>
      </c>
      <c r="I1595" t="s">
        <v>19</v>
      </c>
      <c r="J1595" t="s">
        <v>87</v>
      </c>
      <c r="K1595">
        <v>10</v>
      </c>
      <c r="L1595" s="7">
        <f t="shared" si="73"/>
        <v>898.92</v>
      </c>
      <c r="M1595" s="7"/>
      <c r="O1595">
        <f t="shared" si="74"/>
        <v>2</v>
      </c>
      <c r="Q1595" t="s">
        <v>19</v>
      </c>
    </row>
    <row r="1596" spans="1:17" x14ac:dyDescent="0.3">
      <c r="A1596" t="s">
        <v>2575</v>
      </c>
      <c r="B1596" s="6">
        <v>45264</v>
      </c>
      <c r="C1596" s="6" t="str">
        <f t="shared" si="72"/>
        <v>Dec</v>
      </c>
      <c r="D1596" t="s">
        <v>312</v>
      </c>
      <c r="E1596" t="s">
        <v>36</v>
      </c>
      <c r="F1596" t="s">
        <v>472</v>
      </c>
      <c r="G1596">
        <v>5</v>
      </c>
      <c r="H1596" s="7">
        <v>239.9</v>
      </c>
      <c r="I1596" t="s">
        <v>32</v>
      </c>
      <c r="J1596" t="s">
        <v>87</v>
      </c>
      <c r="K1596">
        <v>15</v>
      </c>
      <c r="L1596" s="7">
        <f t="shared" si="73"/>
        <v>1199.5</v>
      </c>
      <c r="M1596" s="7"/>
      <c r="O1596">
        <f t="shared" si="74"/>
        <v>2</v>
      </c>
      <c r="Q1596" t="s">
        <v>33</v>
      </c>
    </row>
    <row r="1597" spans="1:17" x14ac:dyDescent="0.3">
      <c r="A1597" t="s">
        <v>2576</v>
      </c>
      <c r="B1597" s="6">
        <v>45291</v>
      </c>
      <c r="C1597" s="6" t="str">
        <f t="shared" si="72"/>
        <v>Dec</v>
      </c>
      <c r="D1597" t="s">
        <v>2577</v>
      </c>
      <c r="E1597" t="s">
        <v>19</v>
      </c>
      <c r="F1597" t="s">
        <v>334</v>
      </c>
      <c r="G1597">
        <v>4</v>
      </c>
      <c r="H1597" s="7">
        <v>183.94</v>
      </c>
      <c r="I1597" t="s">
        <v>21</v>
      </c>
      <c r="J1597" t="s">
        <v>87</v>
      </c>
      <c r="K1597">
        <v>10</v>
      </c>
      <c r="L1597" s="7">
        <f t="shared" si="73"/>
        <v>735.76</v>
      </c>
      <c r="M1597" s="7"/>
      <c r="O1597">
        <f t="shared" si="74"/>
        <v>2</v>
      </c>
      <c r="Q1597" t="s">
        <v>23</v>
      </c>
    </row>
    <row r="1598" spans="1:17" x14ac:dyDescent="0.3">
      <c r="A1598" t="s">
        <v>2578</v>
      </c>
      <c r="B1598" s="6">
        <v>45219</v>
      </c>
      <c r="C1598" s="6" t="str">
        <f t="shared" si="72"/>
        <v>Oct</v>
      </c>
      <c r="D1598" t="s">
        <v>866</v>
      </c>
      <c r="E1598" t="s">
        <v>26</v>
      </c>
      <c r="F1598" t="s">
        <v>142</v>
      </c>
      <c r="G1598">
        <v>5</v>
      </c>
      <c r="H1598" s="7">
        <v>182.57</v>
      </c>
      <c r="I1598" t="s">
        <v>64</v>
      </c>
      <c r="J1598" t="s">
        <v>22</v>
      </c>
      <c r="K1598">
        <v>20</v>
      </c>
      <c r="L1598" s="7">
        <f t="shared" si="73"/>
        <v>912.84999999999991</v>
      </c>
      <c r="M1598" s="7"/>
      <c r="O1598">
        <f t="shared" si="74"/>
        <v>2</v>
      </c>
      <c r="Q1598" t="s">
        <v>65</v>
      </c>
    </row>
    <row r="1599" spans="1:17" x14ac:dyDescent="0.3">
      <c r="A1599" t="s">
        <v>2579</v>
      </c>
      <c r="B1599" s="6">
        <v>45292</v>
      </c>
      <c r="C1599" s="6" t="str">
        <f t="shared" si="72"/>
        <v>Jan</v>
      </c>
      <c r="D1599" t="s">
        <v>494</v>
      </c>
      <c r="E1599" t="s">
        <v>26</v>
      </c>
      <c r="F1599" t="s">
        <v>231</v>
      </c>
      <c r="G1599">
        <v>7</v>
      </c>
      <c r="H1599" s="7">
        <v>266.99</v>
      </c>
      <c r="I1599" t="s">
        <v>32</v>
      </c>
      <c r="J1599" t="s">
        <v>22</v>
      </c>
      <c r="K1599">
        <v>10</v>
      </c>
      <c r="L1599" s="7">
        <f t="shared" si="73"/>
        <v>1868.93</v>
      </c>
      <c r="M1599" s="7"/>
      <c r="O1599">
        <f t="shared" si="74"/>
        <v>2</v>
      </c>
      <c r="Q1599" t="s">
        <v>33</v>
      </c>
    </row>
    <row r="1600" spans="1:17" x14ac:dyDescent="0.3">
      <c r="A1600" t="s">
        <v>2580</v>
      </c>
      <c r="B1600" s="6">
        <v>45095</v>
      </c>
      <c r="C1600" s="6" t="str">
        <f t="shared" si="72"/>
        <v>Jun</v>
      </c>
      <c r="D1600" t="s">
        <v>2581</v>
      </c>
      <c r="E1600" t="s">
        <v>19</v>
      </c>
      <c r="F1600" t="s">
        <v>224</v>
      </c>
      <c r="G1600">
        <v>3</v>
      </c>
      <c r="H1600" s="7">
        <v>294.27999999999997</v>
      </c>
      <c r="I1600" t="s">
        <v>19</v>
      </c>
      <c r="J1600" t="s">
        <v>72</v>
      </c>
      <c r="K1600">
        <v>5</v>
      </c>
      <c r="L1600" s="7">
        <f t="shared" si="73"/>
        <v>882.83999999999992</v>
      </c>
      <c r="M1600" s="7"/>
      <c r="O1600">
        <f t="shared" si="74"/>
        <v>2</v>
      </c>
      <c r="Q1600" t="s">
        <v>19</v>
      </c>
    </row>
    <row r="1601" spans="1:17" x14ac:dyDescent="0.3">
      <c r="A1601" t="s">
        <v>2582</v>
      </c>
      <c r="B1601" s="6">
        <v>45277</v>
      </c>
      <c r="C1601" s="6" t="str">
        <f t="shared" si="72"/>
        <v>Dec</v>
      </c>
      <c r="D1601" t="s">
        <v>1446</v>
      </c>
      <c r="E1601" t="s">
        <v>40</v>
      </c>
      <c r="F1601" t="s">
        <v>383</v>
      </c>
      <c r="G1601">
        <v>6</v>
      </c>
      <c r="H1601" s="7">
        <v>399.45</v>
      </c>
      <c r="I1601" t="s">
        <v>103</v>
      </c>
      <c r="J1601" t="s">
        <v>42</v>
      </c>
      <c r="K1601">
        <v>10</v>
      </c>
      <c r="L1601" s="7">
        <f t="shared" si="73"/>
        <v>2396.6999999999998</v>
      </c>
      <c r="M1601" s="7"/>
      <c r="O1601">
        <f t="shared" si="74"/>
        <v>2</v>
      </c>
      <c r="Q1601" t="s">
        <v>104</v>
      </c>
    </row>
    <row r="1602" spans="1:17" x14ac:dyDescent="0.3">
      <c r="A1602" t="s">
        <v>2583</v>
      </c>
      <c r="B1602" s="6">
        <v>45041</v>
      </c>
      <c r="C1602" s="6" t="str">
        <f t="shared" si="72"/>
        <v>Apr</v>
      </c>
      <c r="D1602" t="s">
        <v>960</v>
      </c>
      <c r="E1602" t="s">
        <v>36</v>
      </c>
      <c r="F1602" t="s">
        <v>242</v>
      </c>
      <c r="G1602">
        <v>5</v>
      </c>
      <c r="H1602" s="7">
        <v>173.78</v>
      </c>
      <c r="I1602" t="s">
        <v>64</v>
      </c>
      <c r="J1602" t="s">
        <v>19</v>
      </c>
      <c r="K1602">
        <v>10</v>
      </c>
      <c r="L1602" s="7">
        <f t="shared" si="73"/>
        <v>868.9</v>
      </c>
      <c r="M1602" s="7"/>
      <c r="O1602">
        <f t="shared" si="74"/>
        <v>2</v>
      </c>
      <c r="Q1602" t="s">
        <v>65</v>
      </c>
    </row>
    <row r="1603" spans="1:17" x14ac:dyDescent="0.3">
      <c r="A1603" t="s">
        <v>2584</v>
      </c>
      <c r="B1603" s="6">
        <v>44937</v>
      </c>
      <c r="C1603" s="6" t="str">
        <f t="shared" ref="C1603:C1666" si="75">TEXT(B1603,"MMM")</f>
        <v>Jan</v>
      </c>
      <c r="D1603" t="s">
        <v>2585</v>
      </c>
      <c r="E1603" t="s">
        <v>50</v>
      </c>
      <c r="F1603" t="s">
        <v>251</v>
      </c>
      <c r="G1603">
        <v>5</v>
      </c>
      <c r="H1603" s="7">
        <v>403.71</v>
      </c>
      <c r="I1603" t="s">
        <v>46</v>
      </c>
      <c r="J1603" t="s">
        <v>87</v>
      </c>
      <c r="K1603">
        <v>10</v>
      </c>
      <c r="L1603" s="7">
        <f t="shared" ref="L1603:L1666" si="76">G1603*H1603</f>
        <v>2018.55</v>
      </c>
      <c r="M1603" s="7"/>
      <c r="O1603">
        <f t="shared" si="74"/>
        <v>2</v>
      </c>
      <c r="Q1603" t="s">
        <v>47</v>
      </c>
    </row>
    <row r="1604" spans="1:17" x14ac:dyDescent="0.3">
      <c r="A1604" t="s">
        <v>2586</v>
      </c>
      <c r="B1604" s="6">
        <v>45152</v>
      </c>
      <c r="C1604" s="6" t="str">
        <f t="shared" si="75"/>
        <v>Aug</v>
      </c>
      <c r="D1604" t="s">
        <v>2587</v>
      </c>
      <c r="E1604" t="s">
        <v>19</v>
      </c>
      <c r="F1604" t="s">
        <v>281</v>
      </c>
      <c r="G1604">
        <v>5</v>
      </c>
      <c r="H1604" s="7">
        <v>172.61</v>
      </c>
      <c r="I1604" t="s">
        <v>21</v>
      </c>
      <c r="J1604" t="s">
        <v>72</v>
      </c>
      <c r="K1604">
        <v>15</v>
      </c>
      <c r="L1604" s="7">
        <f t="shared" si="76"/>
        <v>863.05000000000007</v>
      </c>
      <c r="M1604" s="7"/>
      <c r="O1604">
        <f t="shared" ref="O1604:O1667" si="77">IF(L1604&gt;3500,5,IF(L1604&gt;3000,4,IF(L1604&gt;2500,3,IF(L1604&gt;2000,2,IF(L1604&gt;1000,2,2)))))</f>
        <v>2</v>
      </c>
      <c r="Q1604" t="s">
        <v>23</v>
      </c>
    </row>
    <row r="1605" spans="1:17" x14ac:dyDescent="0.3">
      <c r="A1605" t="s">
        <v>2588</v>
      </c>
      <c r="B1605" s="6">
        <v>45152</v>
      </c>
      <c r="C1605" s="6" t="str">
        <f t="shared" si="75"/>
        <v>Aug</v>
      </c>
      <c r="D1605" t="s">
        <v>729</v>
      </c>
      <c r="E1605" t="s">
        <v>19</v>
      </c>
      <c r="F1605" t="s">
        <v>165</v>
      </c>
      <c r="G1605">
        <v>1</v>
      </c>
      <c r="H1605" s="7">
        <v>32.44</v>
      </c>
      <c r="I1605" t="s">
        <v>103</v>
      </c>
      <c r="J1605" t="s">
        <v>87</v>
      </c>
      <c r="K1605">
        <v>10</v>
      </c>
      <c r="L1605" s="7">
        <f t="shared" si="76"/>
        <v>32.44</v>
      </c>
      <c r="M1605" s="7"/>
      <c r="O1605">
        <f t="shared" si="77"/>
        <v>2</v>
      </c>
      <c r="Q1605" t="s">
        <v>104</v>
      </c>
    </row>
    <row r="1606" spans="1:17" x14ac:dyDescent="0.3">
      <c r="A1606" t="s">
        <v>2589</v>
      </c>
      <c r="B1606" s="6">
        <v>45122</v>
      </c>
      <c r="C1606" s="6" t="str">
        <f t="shared" si="75"/>
        <v>Jul</v>
      </c>
      <c r="D1606" t="s">
        <v>2590</v>
      </c>
      <c r="E1606" t="s">
        <v>19</v>
      </c>
      <c r="F1606" t="s">
        <v>1851</v>
      </c>
      <c r="G1606">
        <v>1</v>
      </c>
      <c r="H1606" s="7">
        <v>279.32</v>
      </c>
      <c r="I1606" t="s">
        <v>32</v>
      </c>
      <c r="J1606" t="s">
        <v>22</v>
      </c>
      <c r="K1606">
        <v>20</v>
      </c>
      <c r="L1606" s="7">
        <f t="shared" si="76"/>
        <v>279.32</v>
      </c>
      <c r="M1606" s="7"/>
      <c r="O1606">
        <f t="shared" si="77"/>
        <v>2</v>
      </c>
      <c r="Q1606" t="s">
        <v>33</v>
      </c>
    </row>
    <row r="1607" spans="1:17" x14ac:dyDescent="0.3">
      <c r="A1607" t="s">
        <v>2591</v>
      </c>
      <c r="B1607" s="6">
        <v>45264</v>
      </c>
      <c r="C1607" s="6" t="str">
        <f t="shared" si="75"/>
        <v>Dec</v>
      </c>
      <c r="D1607" t="s">
        <v>2564</v>
      </c>
      <c r="E1607" t="s">
        <v>19</v>
      </c>
      <c r="F1607" t="s">
        <v>646</v>
      </c>
      <c r="G1607">
        <v>3</v>
      </c>
      <c r="H1607" s="7">
        <v>296.01</v>
      </c>
      <c r="I1607" t="s">
        <v>32</v>
      </c>
      <c r="J1607" t="s">
        <v>42</v>
      </c>
      <c r="K1607">
        <v>10</v>
      </c>
      <c r="L1607" s="7">
        <f t="shared" si="76"/>
        <v>888.03</v>
      </c>
      <c r="M1607" s="7"/>
      <c r="O1607">
        <f t="shared" si="77"/>
        <v>2</v>
      </c>
      <c r="Q1607" t="s">
        <v>33</v>
      </c>
    </row>
    <row r="1608" spans="1:17" x14ac:dyDescent="0.3">
      <c r="A1608" t="s">
        <v>2592</v>
      </c>
      <c r="B1608" s="6">
        <v>45227</v>
      </c>
      <c r="C1608" s="6" t="str">
        <f t="shared" si="75"/>
        <v>Oct</v>
      </c>
      <c r="D1608" t="s">
        <v>2274</v>
      </c>
      <c r="E1608" t="s">
        <v>36</v>
      </c>
      <c r="F1608" t="s">
        <v>176</v>
      </c>
      <c r="G1608">
        <v>4</v>
      </c>
      <c r="H1608" s="7">
        <v>467.6</v>
      </c>
      <c r="I1608" t="s">
        <v>64</v>
      </c>
      <c r="J1608" t="s">
        <v>22</v>
      </c>
      <c r="K1608">
        <v>20</v>
      </c>
      <c r="L1608" s="7">
        <f t="shared" si="76"/>
        <v>1870.4</v>
      </c>
      <c r="M1608" s="7"/>
      <c r="O1608">
        <f t="shared" si="77"/>
        <v>2</v>
      </c>
      <c r="Q1608" t="s">
        <v>65</v>
      </c>
    </row>
    <row r="1609" spans="1:17" x14ac:dyDescent="0.3">
      <c r="A1609" t="s">
        <v>2593</v>
      </c>
      <c r="B1609" s="6">
        <v>45100</v>
      </c>
      <c r="C1609" s="6" t="str">
        <f t="shared" si="75"/>
        <v>Jun</v>
      </c>
      <c r="D1609" t="s">
        <v>1386</v>
      </c>
      <c r="E1609" t="s">
        <v>40</v>
      </c>
      <c r="F1609" t="s">
        <v>732</v>
      </c>
      <c r="G1609">
        <v>5</v>
      </c>
      <c r="H1609" s="7">
        <v>364.4</v>
      </c>
      <c r="I1609" t="s">
        <v>64</v>
      </c>
      <c r="J1609" t="s">
        <v>87</v>
      </c>
      <c r="K1609">
        <v>10</v>
      </c>
      <c r="L1609" s="7">
        <f t="shared" si="76"/>
        <v>1822</v>
      </c>
      <c r="M1609" s="7"/>
      <c r="O1609">
        <f t="shared" si="77"/>
        <v>2</v>
      </c>
      <c r="Q1609" t="s">
        <v>65</v>
      </c>
    </row>
    <row r="1610" spans="1:17" x14ac:dyDescent="0.3">
      <c r="A1610" t="s">
        <v>2594</v>
      </c>
      <c r="B1610" s="6">
        <v>45213</v>
      </c>
      <c r="C1610" s="6" t="str">
        <f t="shared" si="75"/>
        <v>Oct</v>
      </c>
      <c r="D1610" t="s">
        <v>569</v>
      </c>
      <c r="E1610" t="s">
        <v>36</v>
      </c>
      <c r="F1610" t="s">
        <v>398</v>
      </c>
      <c r="G1610">
        <v>2</v>
      </c>
      <c r="H1610" s="7">
        <v>459.3</v>
      </c>
      <c r="I1610" t="s">
        <v>103</v>
      </c>
      <c r="J1610" t="s">
        <v>87</v>
      </c>
      <c r="K1610">
        <v>20</v>
      </c>
      <c r="L1610" s="7">
        <f t="shared" si="76"/>
        <v>918.6</v>
      </c>
      <c r="M1610" s="7"/>
      <c r="O1610">
        <f t="shared" si="77"/>
        <v>2</v>
      </c>
      <c r="Q1610" t="s">
        <v>104</v>
      </c>
    </row>
    <row r="1611" spans="1:17" x14ac:dyDescent="0.3">
      <c r="A1611" t="s">
        <v>2595</v>
      </c>
      <c r="B1611" s="6">
        <v>44995</v>
      </c>
      <c r="C1611" s="6" t="str">
        <f t="shared" si="75"/>
        <v>Mar</v>
      </c>
      <c r="D1611" t="s">
        <v>2596</v>
      </c>
      <c r="E1611" t="s">
        <v>62</v>
      </c>
      <c r="F1611" t="s">
        <v>1146</v>
      </c>
      <c r="G1611">
        <v>8</v>
      </c>
      <c r="H1611" s="7">
        <v>454.63</v>
      </c>
      <c r="I1611" t="s">
        <v>32</v>
      </c>
      <c r="J1611" t="s">
        <v>22</v>
      </c>
      <c r="K1611">
        <v>15</v>
      </c>
      <c r="L1611" s="7">
        <f t="shared" si="76"/>
        <v>3637.04</v>
      </c>
      <c r="M1611" s="7"/>
      <c r="O1611">
        <f t="shared" si="77"/>
        <v>5</v>
      </c>
      <c r="Q1611" t="s">
        <v>33</v>
      </c>
    </row>
    <row r="1612" spans="1:17" x14ac:dyDescent="0.3">
      <c r="A1612" t="s">
        <v>2597</v>
      </c>
      <c r="B1612" s="6">
        <v>45244</v>
      </c>
      <c r="C1612" s="6" t="str">
        <f t="shared" si="75"/>
        <v>Nov</v>
      </c>
      <c r="D1612" t="s">
        <v>414</v>
      </c>
      <c r="E1612" t="s">
        <v>50</v>
      </c>
      <c r="F1612" t="s">
        <v>472</v>
      </c>
      <c r="G1612">
        <v>2</v>
      </c>
      <c r="H1612" s="7">
        <v>304.26</v>
      </c>
      <c r="I1612" t="s">
        <v>21</v>
      </c>
      <c r="J1612" t="s">
        <v>28</v>
      </c>
      <c r="K1612">
        <v>10</v>
      </c>
      <c r="L1612" s="7">
        <f t="shared" si="76"/>
        <v>608.52</v>
      </c>
      <c r="M1612" s="7"/>
      <c r="O1612">
        <f t="shared" si="77"/>
        <v>2</v>
      </c>
      <c r="Q1612" t="s">
        <v>23</v>
      </c>
    </row>
    <row r="1613" spans="1:17" x14ac:dyDescent="0.3">
      <c r="A1613" t="s">
        <v>2598</v>
      </c>
      <c r="B1613" s="6">
        <v>45120</v>
      </c>
      <c r="C1613" s="6" t="str">
        <f t="shared" si="75"/>
        <v>Jul</v>
      </c>
      <c r="D1613" t="s">
        <v>297</v>
      </c>
      <c r="E1613" t="s">
        <v>19</v>
      </c>
      <c r="F1613" t="s">
        <v>1461</v>
      </c>
      <c r="G1613">
        <v>9</v>
      </c>
      <c r="H1613" s="7">
        <v>266.24</v>
      </c>
      <c r="I1613" t="s">
        <v>32</v>
      </c>
      <c r="J1613" t="s">
        <v>22</v>
      </c>
      <c r="K1613">
        <v>5</v>
      </c>
      <c r="L1613" s="7">
        <f t="shared" si="76"/>
        <v>2396.16</v>
      </c>
      <c r="M1613" s="7"/>
      <c r="O1613">
        <f t="shared" si="77"/>
        <v>2</v>
      </c>
      <c r="Q1613" t="s">
        <v>33</v>
      </c>
    </row>
    <row r="1614" spans="1:17" x14ac:dyDescent="0.3">
      <c r="A1614" t="s">
        <v>2599</v>
      </c>
      <c r="B1614" s="6">
        <v>44965</v>
      </c>
      <c r="C1614" s="6" t="str">
        <f t="shared" si="75"/>
        <v>Feb</v>
      </c>
      <c r="D1614" t="s">
        <v>772</v>
      </c>
      <c r="E1614" t="s">
        <v>26</v>
      </c>
      <c r="F1614" t="s">
        <v>193</v>
      </c>
      <c r="G1614">
        <v>2</v>
      </c>
      <c r="H1614" s="7">
        <v>280.93</v>
      </c>
      <c r="I1614" t="s">
        <v>64</v>
      </c>
      <c r="J1614" t="s">
        <v>87</v>
      </c>
      <c r="K1614">
        <v>15</v>
      </c>
      <c r="L1614" s="7">
        <f t="shared" si="76"/>
        <v>561.86</v>
      </c>
      <c r="M1614" s="7"/>
      <c r="O1614">
        <f t="shared" si="77"/>
        <v>2</v>
      </c>
      <c r="Q1614" t="s">
        <v>65</v>
      </c>
    </row>
    <row r="1615" spans="1:17" x14ac:dyDescent="0.3">
      <c r="A1615" t="s">
        <v>2600</v>
      </c>
      <c r="B1615" s="6">
        <v>45007</v>
      </c>
      <c r="C1615" s="6" t="str">
        <f t="shared" si="75"/>
        <v>Mar</v>
      </c>
      <c r="D1615" t="s">
        <v>195</v>
      </c>
      <c r="E1615" t="s">
        <v>40</v>
      </c>
      <c r="F1615" t="s">
        <v>1618</v>
      </c>
      <c r="G1615">
        <v>9</v>
      </c>
      <c r="H1615" s="7">
        <v>489.27</v>
      </c>
      <c r="I1615" t="s">
        <v>32</v>
      </c>
      <c r="J1615" t="s">
        <v>42</v>
      </c>
      <c r="K1615">
        <v>20</v>
      </c>
      <c r="L1615" s="7">
        <f t="shared" si="76"/>
        <v>4403.43</v>
      </c>
      <c r="M1615" s="7"/>
      <c r="O1615">
        <f t="shared" si="77"/>
        <v>5</v>
      </c>
      <c r="Q1615" t="s">
        <v>33</v>
      </c>
    </row>
    <row r="1616" spans="1:17" x14ac:dyDescent="0.3">
      <c r="A1616" t="s">
        <v>2601</v>
      </c>
      <c r="B1616" s="6">
        <v>44996</v>
      </c>
      <c r="C1616" s="6" t="str">
        <f t="shared" si="75"/>
        <v>Mar</v>
      </c>
      <c r="D1616" t="s">
        <v>1495</v>
      </c>
      <c r="E1616" t="s">
        <v>36</v>
      </c>
      <c r="F1616" t="s">
        <v>254</v>
      </c>
      <c r="G1616">
        <v>5</v>
      </c>
      <c r="H1616" s="7">
        <v>387.72</v>
      </c>
      <c r="I1616" t="s">
        <v>19</v>
      </c>
      <c r="J1616" t="s">
        <v>22</v>
      </c>
      <c r="K1616">
        <v>10</v>
      </c>
      <c r="L1616" s="7">
        <f t="shared" si="76"/>
        <v>1938.6000000000001</v>
      </c>
      <c r="M1616" s="7"/>
      <c r="O1616">
        <f t="shared" si="77"/>
        <v>2</v>
      </c>
      <c r="Q1616" t="s">
        <v>19</v>
      </c>
    </row>
    <row r="1617" spans="1:17" x14ac:dyDescent="0.3">
      <c r="A1617" t="s">
        <v>2602</v>
      </c>
      <c r="B1617" s="6">
        <v>45019</v>
      </c>
      <c r="C1617" s="6" t="str">
        <f t="shared" si="75"/>
        <v>Apr</v>
      </c>
      <c r="D1617" t="s">
        <v>2380</v>
      </c>
      <c r="E1617" t="s">
        <v>40</v>
      </c>
      <c r="F1617" t="s">
        <v>363</v>
      </c>
      <c r="G1617">
        <v>8</v>
      </c>
      <c r="H1617" s="7">
        <v>57.6</v>
      </c>
      <c r="I1617" t="s">
        <v>21</v>
      </c>
      <c r="J1617" t="s">
        <v>42</v>
      </c>
      <c r="K1617">
        <v>15</v>
      </c>
      <c r="L1617" s="7">
        <f t="shared" si="76"/>
        <v>460.8</v>
      </c>
      <c r="M1617" s="7"/>
      <c r="O1617">
        <f t="shared" si="77"/>
        <v>2</v>
      </c>
      <c r="Q1617" t="s">
        <v>23</v>
      </c>
    </row>
    <row r="1618" spans="1:17" x14ac:dyDescent="0.3">
      <c r="A1618" t="s">
        <v>2603</v>
      </c>
      <c r="B1618" s="6">
        <v>45010</v>
      </c>
      <c r="C1618" s="6" t="str">
        <f t="shared" si="75"/>
        <v>Mar</v>
      </c>
      <c r="D1618" t="s">
        <v>1309</v>
      </c>
      <c r="E1618" t="s">
        <v>19</v>
      </c>
      <c r="F1618" t="s">
        <v>165</v>
      </c>
      <c r="G1618">
        <v>5</v>
      </c>
      <c r="H1618" s="7">
        <v>390.32</v>
      </c>
      <c r="I1618" t="s">
        <v>46</v>
      </c>
      <c r="J1618" t="s">
        <v>42</v>
      </c>
      <c r="K1618">
        <v>20</v>
      </c>
      <c r="L1618" s="7">
        <f t="shared" si="76"/>
        <v>1951.6</v>
      </c>
      <c r="M1618" s="7"/>
      <c r="O1618">
        <f t="shared" si="77"/>
        <v>2</v>
      </c>
      <c r="Q1618" t="s">
        <v>47</v>
      </c>
    </row>
    <row r="1619" spans="1:17" x14ac:dyDescent="0.3">
      <c r="A1619" t="s">
        <v>2604</v>
      </c>
      <c r="B1619" s="6">
        <v>45006</v>
      </c>
      <c r="C1619" s="6" t="str">
        <f t="shared" si="75"/>
        <v>Mar</v>
      </c>
      <c r="D1619" t="s">
        <v>758</v>
      </c>
      <c r="E1619" t="s">
        <v>31</v>
      </c>
      <c r="F1619" t="s">
        <v>254</v>
      </c>
      <c r="G1619">
        <v>7</v>
      </c>
      <c r="H1619" s="7">
        <v>89.42</v>
      </c>
      <c r="I1619" t="s">
        <v>21</v>
      </c>
      <c r="J1619" t="s">
        <v>87</v>
      </c>
      <c r="K1619">
        <v>0</v>
      </c>
      <c r="L1619" s="7">
        <f t="shared" si="76"/>
        <v>625.94000000000005</v>
      </c>
      <c r="M1619" s="7"/>
      <c r="O1619">
        <f t="shared" si="77"/>
        <v>2</v>
      </c>
      <c r="Q1619" t="s">
        <v>23</v>
      </c>
    </row>
    <row r="1620" spans="1:17" x14ac:dyDescent="0.3">
      <c r="A1620" t="s">
        <v>2605</v>
      </c>
      <c r="B1620" s="6">
        <v>45061</v>
      </c>
      <c r="C1620" s="6" t="str">
        <f t="shared" si="75"/>
        <v>May</v>
      </c>
      <c r="D1620" t="s">
        <v>1520</v>
      </c>
      <c r="E1620" t="s">
        <v>26</v>
      </c>
      <c r="F1620" t="s">
        <v>334</v>
      </c>
      <c r="G1620">
        <v>6</v>
      </c>
      <c r="H1620" s="7">
        <v>226.44</v>
      </c>
      <c r="I1620" t="s">
        <v>64</v>
      </c>
      <c r="J1620" t="s">
        <v>72</v>
      </c>
      <c r="K1620">
        <v>0</v>
      </c>
      <c r="L1620" s="7">
        <f t="shared" si="76"/>
        <v>1358.6399999999999</v>
      </c>
      <c r="M1620" s="7"/>
      <c r="O1620">
        <f t="shared" si="77"/>
        <v>2</v>
      </c>
      <c r="Q1620" t="s">
        <v>65</v>
      </c>
    </row>
    <row r="1621" spans="1:17" x14ac:dyDescent="0.3">
      <c r="A1621" t="s">
        <v>2606</v>
      </c>
      <c r="B1621" s="6">
        <v>44971</v>
      </c>
      <c r="C1621" s="6" t="str">
        <f t="shared" si="75"/>
        <v>Feb</v>
      </c>
      <c r="D1621" t="s">
        <v>70</v>
      </c>
      <c r="E1621" t="s">
        <v>62</v>
      </c>
      <c r="F1621" t="s">
        <v>251</v>
      </c>
      <c r="G1621">
        <v>4</v>
      </c>
      <c r="H1621" s="7">
        <v>109.18</v>
      </c>
      <c r="I1621" t="s">
        <v>46</v>
      </c>
      <c r="J1621" t="s">
        <v>28</v>
      </c>
      <c r="K1621">
        <v>10</v>
      </c>
      <c r="L1621" s="7">
        <f t="shared" si="76"/>
        <v>436.72</v>
      </c>
      <c r="M1621" s="7"/>
      <c r="O1621">
        <f t="shared" si="77"/>
        <v>2</v>
      </c>
      <c r="Q1621" t="s">
        <v>47</v>
      </c>
    </row>
    <row r="1622" spans="1:17" x14ac:dyDescent="0.3">
      <c r="A1622" t="s">
        <v>2607</v>
      </c>
      <c r="B1622" s="6">
        <v>45268</v>
      </c>
      <c r="C1622" s="6" t="str">
        <f t="shared" si="75"/>
        <v>Dec</v>
      </c>
      <c r="D1622" t="s">
        <v>508</v>
      </c>
      <c r="E1622" t="s">
        <v>50</v>
      </c>
      <c r="F1622" t="s">
        <v>1180</v>
      </c>
      <c r="G1622">
        <v>7</v>
      </c>
      <c r="H1622" s="7">
        <v>346.34</v>
      </c>
      <c r="I1622" t="s">
        <v>32</v>
      </c>
      <c r="J1622" t="s">
        <v>72</v>
      </c>
      <c r="K1622">
        <v>5</v>
      </c>
      <c r="L1622" s="7">
        <f t="shared" si="76"/>
        <v>2424.3799999999997</v>
      </c>
      <c r="M1622" s="7"/>
      <c r="O1622">
        <f t="shared" si="77"/>
        <v>2</v>
      </c>
      <c r="Q1622" t="s">
        <v>33</v>
      </c>
    </row>
    <row r="1623" spans="1:17" x14ac:dyDescent="0.3">
      <c r="A1623" t="s">
        <v>2608</v>
      </c>
      <c r="B1623" s="6">
        <v>45235</v>
      </c>
      <c r="C1623" s="6" t="str">
        <f t="shared" si="75"/>
        <v>Nov</v>
      </c>
      <c r="D1623" t="s">
        <v>153</v>
      </c>
      <c r="E1623" t="s">
        <v>50</v>
      </c>
      <c r="F1623" t="s">
        <v>403</v>
      </c>
      <c r="G1623">
        <v>4</v>
      </c>
      <c r="H1623" s="7">
        <v>439.27</v>
      </c>
      <c r="I1623" t="s">
        <v>19</v>
      </c>
      <c r="J1623" t="s">
        <v>87</v>
      </c>
      <c r="K1623">
        <v>0</v>
      </c>
      <c r="L1623" s="7">
        <f t="shared" si="76"/>
        <v>1757.08</v>
      </c>
      <c r="M1623" s="7"/>
      <c r="O1623">
        <f t="shared" si="77"/>
        <v>2</v>
      </c>
      <c r="Q1623" t="s">
        <v>19</v>
      </c>
    </row>
    <row r="1624" spans="1:17" x14ac:dyDescent="0.3">
      <c r="A1624" t="s">
        <v>2609</v>
      </c>
      <c r="B1624" s="6">
        <v>45211</v>
      </c>
      <c r="C1624" s="6" t="str">
        <f t="shared" si="75"/>
        <v>Oct</v>
      </c>
      <c r="D1624" t="s">
        <v>2017</v>
      </c>
      <c r="E1624" t="s">
        <v>26</v>
      </c>
      <c r="F1624" t="s">
        <v>281</v>
      </c>
      <c r="G1624">
        <v>2</v>
      </c>
      <c r="H1624" s="7">
        <v>148.72999999999999</v>
      </c>
      <c r="I1624" t="s">
        <v>46</v>
      </c>
      <c r="J1624" t="s">
        <v>22</v>
      </c>
      <c r="K1624">
        <v>20</v>
      </c>
      <c r="L1624" s="7">
        <f t="shared" si="76"/>
        <v>297.45999999999998</v>
      </c>
      <c r="M1624" s="7"/>
      <c r="O1624">
        <f t="shared" si="77"/>
        <v>2</v>
      </c>
      <c r="Q1624" t="s">
        <v>47</v>
      </c>
    </row>
    <row r="1625" spans="1:17" x14ac:dyDescent="0.3">
      <c r="A1625" t="s">
        <v>2610</v>
      </c>
      <c r="B1625" s="6">
        <v>45147</v>
      </c>
      <c r="C1625" s="6" t="str">
        <f t="shared" si="75"/>
        <v>Aug</v>
      </c>
      <c r="D1625" t="s">
        <v>53</v>
      </c>
      <c r="E1625" t="s">
        <v>19</v>
      </c>
      <c r="F1625" t="s">
        <v>2185</v>
      </c>
      <c r="G1625">
        <v>7</v>
      </c>
      <c r="H1625" s="7">
        <v>45.6</v>
      </c>
      <c r="I1625" t="s">
        <v>32</v>
      </c>
      <c r="J1625" t="s">
        <v>42</v>
      </c>
      <c r="K1625">
        <v>15</v>
      </c>
      <c r="L1625" s="7">
        <f t="shared" si="76"/>
        <v>319.2</v>
      </c>
      <c r="M1625" s="7"/>
      <c r="O1625">
        <f t="shared" si="77"/>
        <v>2</v>
      </c>
      <c r="Q1625" t="s">
        <v>33</v>
      </c>
    </row>
    <row r="1626" spans="1:17" x14ac:dyDescent="0.3">
      <c r="A1626" t="s">
        <v>2611</v>
      </c>
      <c r="B1626" s="6">
        <v>44983</v>
      </c>
      <c r="C1626" s="6" t="str">
        <f t="shared" si="75"/>
        <v>Feb</v>
      </c>
      <c r="D1626" t="s">
        <v>1478</v>
      </c>
      <c r="E1626" t="s">
        <v>19</v>
      </c>
      <c r="F1626" t="s">
        <v>94</v>
      </c>
      <c r="G1626">
        <v>8</v>
      </c>
      <c r="H1626" s="7">
        <v>152.75</v>
      </c>
      <c r="I1626" t="s">
        <v>46</v>
      </c>
      <c r="J1626" t="s">
        <v>28</v>
      </c>
      <c r="K1626">
        <v>10</v>
      </c>
      <c r="L1626" s="7">
        <f t="shared" si="76"/>
        <v>1222</v>
      </c>
      <c r="M1626" s="7"/>
      <c r="O1626">
        <f t="shared" si="77"/>
        <v>2</v>
      </c>
      <c r="Q1626" t="s">
        <v>47</v>
      </c>
    </row>
    <row r="1627" spans="1:17" x14ac:dyDescent="0.3">
      <c r="A1627" t="s">
        <v>2612</v>
      </c>
      <c r="B1627" s="6">
        <v>45198</v>
      </c>
      <c r="C1627" s="6" t="str">
        <f t="shared" si="75"/>
        <v>Sep</v>
      </c>
      <c r="D1627" t="s">
        <v>2613</v>
      </c>
      <c r="E1627" t="s">
        <v>26</v>
      </c>
      <c r="F1627" t="s">
        <v>1038</v>
      </c>
      <c r="G1627">
        <v>2</v>
      </c>
      <c r="H1627" s="7">
        <v>337.82</v>
      </c>
      <c r="I1627" t="s">
        <v>46</v>
      </c>
      <c r="J1627" t="s">
        <v>19</v>
      </c>
      <c r="K1627">
        <v>15</v>
      </c>
      <c r="L1627" s="7">
        <f t="shared" si="76"/>
        <v>675.64</v>
      </c>
      <c r="M1627" s="7"/>
      <c r="O1627">
        <f t="shared" si="77"/>
        <v>2</v>
      </c>
      <c r="Q1627" t="s">
        <v>47</v>
      </c>
    </row>
    <row r="1628" spans="1:17" x14ac:dyDescent="0.3">
      <c r="A1628" t="s">
        <v>2614</v>
      </c>
      <c r="B1628" s="6">
        <v>45067</v>
      </c>
      <c r="C1628" s="6" t="str">
        <f t="shared" si="75"/>
        <v>May</v>
      </c>
      <c r="D1628" t="s">
        <v>1444</v>
      </c>
      <c r="E1628" t="s">
        <v>62</v>
      </c>
      <c r="F1628" t="s">
        <v>254</v>
      </c>
      <c r="G1628">
        <v>5</v>
      </c>
      <c r="H1628" s="7">
        <v>167.74</v>
      </c>
      <c r="I1628" t="s">
        <v>32</v>
      </c>
      <c r="J1628" t="s">
        <v>19</v>
      </c>
      <c r="K1628">
        <v>10</v>
      </c>
      <c r="L1628" s="7">
        <f t="shared" si="76"/>
        <v>838.7</v>
      </c>
      <c r="M1628" s="7"/>
      <c r="O1628">
        <f t="shared" si="77"/>
        <v>2</v>
      </c>
      <c r="Q1628" t="s">
        <v>33</v>
      </c>
    </row>
    <row r="1629" spans="1:17" x14ac:dyDescent="0.3">
      <c r="A1629" t="s">
        <v>2615</v>
      </c>
      <c r="B1629" s="6">
        <v>44964</v>
      </c>
      <c r="C1629" s="6" t="str">
        <f t="shared" si="75"/>
        <v>Feb</v>
      </c>
      <c r="D1629" t="s">
        <v>429</v>
      </c>
      <c r="E1629" t="s">
        <v>36</v>
      </c>
      <c r="F1629" t="s">
        <v>549</v>
      </c>
      <c r="G1629">
        <v>1</v>
      </c>
      <c r="H1629" s="7">
        <v>142.66999999999999</v>
      </c>
      <c r="I1629" t="s">
        <v>21</v>
      </c>
      <c r="J1629" t="s">
        <v>22</v>
      </c>
      <c r="K1629">
        <v>15</v>
      </c>
      <c r="L1629" s="7">
        <f t="shared" si="76"/>
        <v>142.66999999999999</v>
      </c>
      <c r="M1629" s="7"/>
      <c r="O1629">
        <f t="shared" si="77"/>
        <v>2</v>
      </c>
      <c r="Q1629" t="s">
        <v>23</v>
      </c>
    </row>
    <row r="1630" spans="1:17" x14ac:dyDescent="0.3">
      <c r="A1630" t="s">
        <v>2616</v>
      </c>
      <c r="B1630" s="6">
        <v>45087</v>
      </c>
      <c r="C1630" s="6" t="str">
        <f t="shared" si="75"/>
        <v>Jun</v>
      </c>
      <c r="D1630" t="s">
        <v>930</v>
      </c>
      <c r="E1630" t="s">
        <v>19</v>
      </c>
      <c r="F1630" t="s">
        <v>237</v>
      </c>
      <c r="G1630">
        <v>7</v>
      </c>
      <c r="H1630" s="7">
        <v>96.3</v>
      </c>
      <c r="I1630" t="s">
        <v>103</v>
      </c>
      <c r="J1630" t="s">
        <v>28</v>
      </c>
      <c r="K1630">
        <v>0</v>
      </c>
      <c r="L1630" s="7">
        <f t="shared" si="76"/>
        <v>674.1</v>
      </c>
      <c r="M1630" s="7"/>
      <c r="O1630">
        <f t="shared" si="77"/>
        <v>2</v>
      </c>
      <c r="Q1630" t="s">
        <v>104</v>
      </c>
    </row>
    <row r="1631" spans="1:17" x14ac:dyDescent="0.3">
      <c r="A1631" t="s">
        <v>2617</v>
      </c>
      <c r="B1631" s="6">
        <v>45254</v>
      </c>
      <c r="C1631" s="6" t="str">
        <f t="shared" si="75"/>
        <v>Nov</v>
      </c>
      <c r="D1631" t="s">
        <v>1670</v>
      </c>
      <c r="E1631" t="s">
        <v>31</v>
      </c>
      <c r="F1631" t="s">
        <v>586</v>
      </c>
      <c r="G1631">
        <v>5</v>
      </c>
      <c r="H1631" s="7">
        <v>251.27</v>
      </c>
      <c r="I1631" t="s">
        <v>32</v>
      </c>
      <c r="J1631" t="s">
        <v>28</v>
      </c>
      <c r="K1631">
        <v>15</v>
      </c>
      <c r="L1631" s="7">
        <f t="shared" si="76"/>
        <v>1256.3500000000001</v>
      </c>
      <c r="M1631" s="7"/>
      <c r="O1631">
        <f t="shared" si="77"/>
        <v>2</v>
      </c>
      <c r="Q1631" t="s">
        <v>33</v>
      </c>
    </row>
    <row r="1632" spans="1:17" x14ac:dyDescent="0.3">
      <c r="A1632" t="s">
        <v>2618</v>
      </c>
      <c r="B1632" s="6">
        <v>45256</v>
      </c>
      <c r="C1632" s="6" t="str">
        <f t="shared" si="75"/>
        <v>Nov</v>
      </c>
      <c r="D1632" t="s">
        <v>2619</v>
      </c>
      <c r="E1632" t="s">
        <v>19</v>
      </c>
      <c r="F1632" t="s">
        <v>822</v>
      </c>
      <c r="G1632">
        <v>5</v>
      </c>
      <c r="H1632" s="7">
        <v>141.59</v>
      </c>
      <c r="I1632" t="s">
        <v>64</v>
      </c>
      <c r="J1632" t="s">
        <v>19</v>
      </c>
      <c r="K1632">
        <v>0</v>
      </c>
      <c r="L1632" s="7">
        <f t="shared" si="76"/>
        <v>707.95</v>
      </c>
      <c r="M1632" s="7"/>
      <c r="O1632">
        <f t="shared" si="77"/>
        <v>2</v>
      </c>
      <c r="Q1632" t="s">
        <v>65</v>
      </c>
    </row>
    <row r="1633" spans="1:17" x14ac:dyDescent="0.3">
      <c r="A1633" t="s">
        <v>2620</v>
      </c>
      <c r="B1633" s="6">
        <v>45143</v>
      </c>
      <c r="C1633" s="6" t="str">
        <f t="shared" si="75"/>
        <v>Aug</v>
      </c>
      <c r="D1633" t="s">
        <v>2621</v>
      </c>
      <c r="E1633" t="s">
        <v>31</v>
      </c>
      <c r="F1633" t="s">
        <v>173</v>
      </c>
      <c r="G1633">
        <v>5</v>
      </c>
      <c r="H1633" s="7">
        <v>366.85</v>
      </c>
      <c r="I1633" t="s">
        <v>103</v>
      </c>
      <c r="J1633" t="s">
        <v>87</v>
      </c>
      <c r="K1633">
        <v>0</v>
      </c>
      <c r="L1633" s="7">
        <f t="shared" si="76"/>
        <v>1834.25</v>
      </c>
      <c r="M1633" s="7"/>
      <c r="O1633">
        <f t="shared" si="77"/>
        <v>2</v>
      </c>
      <c r="Q1633" t="s">
        <v>104</v>
      </c>
    </row>
    <row r="1634" spans="1:17" x14ac:dyDescent="0.3">
      <c r="A1634" t="s">
        <v>2622</v>
      </c>
      <c r="B1634" s="6">
        <v>45265</v>
      </c>
      <c r="C1634" s="6" t="str">
        <f t="shared" si="75"/>
        <v>Dec</v>
      </c>
      <c r="D1634" t="s">
        <v>1877</v>
      </c>
      <c r="E1634" t="s">
        <v>31</v>
      </c>
      <c r="F1634" t="s">
        <v>295</v>
      </c>
      <c r="G1634">
        <v>6</v>
      </c>
      <c r="H1634" s="7">
        <v>42.93</v>
      </c>
      <c r="I1634" t="s">
        <v>32</v>
      </c>
      <c r="J1634" t="s">
        <v>42</v>
      </c>
      <c r="K1634">
        <v>5</v>
      </c>
      <c r="L1634" s="7">
        <f t="shared" si="76"/>
        <v>257.58</v>
      </c>
      <c r="M1634" s="7"/>
      <c r="O1634">
        <f t="shared" si="77"/>
        <v>2</v>
      </c>
      <c r="Q1634" t="s">
        <v>33</v>
      </c>
    </row>
    <row r="1635" spans="1:17" x14ac:dyDescent="0.3">
      <c r="A1635" t="s">
        <v>2623</v>
      </c>
      <c r="B1635" s="6">
        <v>45053</v>
      </c>
      <c r="C1635" s="6" t="str">
        <f t="shared" si="75"/>
        <v>May</v>
      </c>
      <c r="D1635" t="s">
        <v>2143</v>
      </c>
      <c r="E1635" t="s">
        <v>50</v>
      </c>
      <c r="F1635" t="s">
        <v>474</v>
      </c>
      <c r="G1635">
        <v>2</v>
      </c>
      <c r="H1635" s="7">
        <v>333.7</v>
      </c>
      <c r="I1635" t="s">
        <v>46</v>
      </c>
      <c r="J1635" t="s">
        <v>72</v>
      </c>
      <c r="K1635">
        <v>10</v>
      </c>
      <c r="L1635" s="7">
        <f t="shared" si="76"/>
        <v>667.4</v>
      </c>
      <c r="M1635" s="7"/>
      <c r="O1635">
        <f t="shared" si="77"/>
        <v>2</v>
      </c>
      <c r="Q1635" t="s">
        <v>47</v>
      </c>
    </row>
    <row r="1636" spans="1:17" x14ac:dyDescent="0.3">
      <c r="A1636" t="s">
        <v>2624</v>
      </c>
      <c r="B1636" s="6">
        <v>44957</v>
      </c>
      <c r="C1636" s="6" t="str">
        <f t="shared" si="75"/>
        <v>Jan</v>
      </c>
      <c r="D1636" t="s">
        <v>1296</v>
      </c>
      <c r="E1636" t="s">
        <v>62</v>
      </c>
      <c r="F1636" t="s">
        <v>237</v>
      </c>
      <c r="G1636">
        <v>1</v>
      </c>
      <c r="H1636" s="7">
        <v>122.59</v>
      </c>
      <c r="I1636" t="s">
        <v>103</v>
      </c>
      <c r="J1636" t="s">
        <v>19</v>
      </c>
      <c r="K1636">
        <v>20</v>
      </c>
      <c r="L1636" s="7">
        <f t="shared" si="76"/>
        <v>122.59</v>
      </c>
      <c r="M1636" s="7"/>
      <c r="O1636">
        <f t="shared" si="77"/>
        <v>2</v>
      </c>
      <c r="Q1636" t="s">
        <v>104</v>
      </c>
    </row>
    <row r="1637" spans="1:17" x14ac:dyDescent="0.3">
      <c r="A1637" t="s">
        <v>2625</v>
      </c>
      <c r="B1637" s="6">
        <v>45125</v>
      </c>
      <c r="C1637" s="6" t="str">
        <f t="shared" si="75"/>
        <v>Jul</v>
      </c>
      <c r="D1637" t="s">
        <v>855</v>
      </c>
      <c r="E1637" t="s">
        <v>26</v>
      </c>
      <c r="F1637" t="s">
        <v>122</v>
      </c>
      <c r="G1637">
        <v>7</v>
      </c>
      <c r="H1637" s="7">
        <v>247.19</v>
      </c>
      <c r="I1637" t="s">
        <v>103</v>
      </c>
      <c r="J1637" t="s">
        <v>19</v>
      </c>
      <c r="K1637">
        <v>0</v>
      </c>
      <c r="L1637" s="7">
        <f t="shared" si="76"/>
        <v>1730.33</v>
      </c>
      <c r="M1637" s="7"/>
      <c r="O1637">
        <f t="shared" si="77"/>
        <v>2</v>
      </c>
      <c r="Q1637" t="s">
        <v>104</v>
      </c>
    </row>
    <row r="1638" spans="1:17" x14ac:dyDescent="0.3">
      <c r="A1638" t="s">
        <v>2626</v>
      </c>
      <c r="B1638" s="6">
        <v>45147</v>
      </c>
      <c r="C1638" s="6" t="str">
        <f t="shared" si="75"/>
        <v>Aug</v>
      </c>
      <c r="D1638" t="s">
        <v>2450</v>
      </c>
      <c r="E1638" t="s">
        <v>62</v>
      </c>
      <c r="F1638" t="s">
        <v>939</v>
      </c>
      <c r="G1638">
        <v>7</v>
      </c>
      <c r="H1638" s="7">
        <v>146.61000000000001</v>
      </c>
      <c r="I1638" t="s">
        <v>21</v>
      </c>
      <c r="J1638" t="s">
        <v>19</v>
      </c>
      <c r="K1638">
        <v>10</v>
      </c>
      <c r="L1638" s="7">
        <f t="shared" si="76"/>
        <v>1026.27</v>
      </c>
      <c r="M1638" s="7"/>
      <c r="O1638">
        <f t="shared" si="77"/>
        <v>2</v>
      </c>
      <c r="Q1638" t="s">
        <v>23</v>
      </c>
    </row>
    <row r="1639" spans="1:17" x14ac:dyDescent="0.3">
      <c r="A1639" t="s">
        <v>2627</v>
      </c>
      <c r="B1639" s="6">
        <v>45212</v>
      </c>
      <c r="C1639" s="6" t="str">
        <f t="shared" si="75"/>
        <v>Oct</v>
      </c>
      <c r="D1639" t="s">
        <v>2268</v>
      </c>
      <c r="E1639" t="s">
        <v>40</v>
      </c>
      <c r="F1639" t="s">
        <v>1063</v>
      </c>
      <c r="G1639">
        <v>2</v>
      </c>
      <c r="H1639" s="7">
        <v>362.77</v>
      </c>
      <c r="I1639" t="s">
        <v>64</v>
      </c>
      <c r="J1639" t="s">
        <v>87</v>
      </c>
      <c r="K1639">
        <v>10</v>
      </c>
      <c r="L1639" s="7">
        <f t="shared" si="76"/>
        <v>725.54</v>
      </c>
      <c r="M1639" s="7"/>
      <c r="O1639">
        <f t="shared" si="77"/>
        <v>2</v>
      </c>
      <c r="Q1639" t="s">
        <v>65</v>
      </c>
    </row>
    <row r="1640" spans="1:17" x14ac:dyDescent="0.3">
      <c r="A1640" t="s">
        <v>2628</v>
      </c>
      <c r="B1640" s="6">
        <v>45109</v>
      </c>
      <c r="C1640" s="6" t="str">
        <f t="shared" si="75"/>
        <v>Jul</v>
      </c>
      <c r="D1640" t="s">
        <v>1418</v>
      </c>
      <c r="E1640" t="s">
        <v>36</v>
      </c>
      <c r="F1640" t="s">
        <v>20</v>
      </c>
      <c r="G1640">
        <v>2</v>
      </c>
      <c r="H1640" s="7">
        <v>472.93</v>
      </c>
      <c r="I1640" t="s">
        <v>19</v>
      </c>
      <c r="J1640" t="s">
        <v>22</v>
      </c>
      <c r="K1640">
        <v>20</v>
      </c>
      <c r="L1640" s="7">
        <f t="shared" si="76"/>
        <v>945.86</v>
      </c>
      <c r="M1640" s="7"/>
      <c r="O1640">
        <f t="shared" si="77"/>
        <v>2</v>
      </c>
      <c r="Q1640" t="s">
        <v>19</v>
      </c>
    </row>
    <row r="1641" spans="1:17" x14ac:dyDescent="0.3">
      <c r="A1641" t="s">
        <v>2629</v>
      </c>
      <c r="B1641" s="6">
        <v>45048</v>
      </c>
      <c r="C1641" s="6" t="str">
        <f t="shared" si="75"/>
        <v>May</v>
      </c>
      <c r="D1641" t="s">
        <v>150</v>
      </c>
      <c r="E1641" t="s">
        <v>19</v>
      </c>
      <c r="F1641" t="s">
        <v>267</v>
      </c>
      <c r="G1641">
        <v>1</v>
      </c>
      <c r="H1641" s="7">
        <v>458.95</v>
      </c>
      <c r="I1641" t="s">
        <v>103</v>
      </c>
      <c r="J1641" t="s">
        <v>22</v>
      </c>
      <c r="K1641">
        <v>10</v>
      </c>
      <c r="L1641" s="7">
        <f t="shared" si="76"/>
        <v>458.95</v>
      </c>
      <c r="M1641" s="7"/>
      <c r="O1641">
        <f t="shared" si="77"/>
        <v>2</v>
      </c>
      <c r="Q1641" t="s">
        <v>104</v>
      </c>
    </row>
    <row r="1642" spans="1:17" x14ac:dyDescent="0.3">
      <c r="A1642" t="s">
        <v>2630</v>
      </c>
      <c r="B1642" s="6">
        <v>45195</v>
      </c>
      <c r="C1642" s="6" t="str">
        <f t="shared" si="75"/>
        <v>Sep</v>
      </c>
      <c r="D1642" t="s">
        <v>1673</v>
      </c>
      <c r="E1642" t="s">
        <v>19</v>
      </c>
      <c r="F1642" t="s">
        <v>488</v>
      </c>
      <c r="G1642">
        <v>8</v>
      </c>
      <c r="H1642" s="7">
        <v>293.8</v>
      </c>
      <c r="I1642" t="s">
        <v>21</v>
      </c>
      <c r="J1642" t="s">
        <v>19</v>
      </c>
      <c r="K1642">
        <v>15</v>
      </c>
      <c r="L1642" s="7">
        <f t="shared" si="76"/>
        <v>2350.4</v>
      </c>
      <c r="M1642" s="7"/>
      <c r="O1642">
        <f t="shared" si="77"/>
        <v>2</v>
      </c>
      <c r="Q1642" t="s">
        <v>23</v>
      </c>
    </row>
    <row r="1643" spans="1:17" x14ac:dyDescent="0.3">
      <c r="A1643" t="s">
        <v>2631</v>
      </c>
      <c r="B1643" s="6">
        <v>45164</v>
      </c>
      <c r="C1643" s="6" t="str">
        <f t="shared" si="75"/>
        <v>Aug</v>
      </c>
      <c r="D1643" t="s">
        <v>2632</v>
      </c>
      <c r="E1643" t="s">
        <v>19</v>
      </c>
      <c r="F1643" t="s">
        <v>1146</v>
      </c>
      <c r="G1643">
        <v>8</v>
      </c>
      <c r="H1643" s="7">
        <v>233.99</v>
      </c>
      <c r="I1643" t="s">
        <v>19</v>
      </c>
      <c r="J1643" t="s">
        <v>42</v>
      </c>
      <c r="K1643">
        <v>10</v>
      </c>
      <c r="L1643" s="7">
        <f t="shared" si="76"/>
        <v>1871.92</v>
      </c>
      <c r="M1643" s="7"/>
      <c r="O1643">
        <f t="shared" si="77"/>
        <v>2</v>
      </c>
      <c r="Q1643" t="s">
        <v>19</v>
      </c>
    </row>
    <row r="1644" spans="1:17" x14ac:dyDescent="0.3">
      <c r="A1644" t="s">
        <v>2633</v>
      </c>
      <c r="B1644" s="6">
        <v>45226</v>
      </c>
      <c r="C1644" s="6" t="str">
        <f t="shared" si="75"/>
        <v>Oct</v>
      </c>
      <c r="D1644" t="s">
        <v>2634</v>
      </c>
      <c r="E1644" t="s">
        <v>36</v>
      </c>
      <c r="F1644" t="s">
        <v>75</v>
      </c>
      <c r="G1644">
        <v>1</v>
      </c>
      <c r="H1644" s="7">
        <v>410.06</v>
      </c>
      <c r="I1644" t="s">
        <v>103</v>
      </c>
      <c r="J1644" t="s">
        <v>22</v>
      </c>
      <c r="K1644">
        <v>10</v>
      </c>
      <c r="L1644" s="7">
        <f t="shared" si="76"/>
        <v>410.06</v>
      </c>
      <c r="M1644" s="7"/>
      <c r="O1644">
        <f t="shared" si="77"/>
        <v>2</v>
      </c>
      <c r="Q1644" t="s">
        <v>104</v>
      </c>
    </row>
    <row r="1645" spans="1:17" x14ac:dyDescent="0.3">
      <c r="A1645" t="s">
        <v>2635</v>
      </c>
      <c r="B1645" s="6">
        <v>45260</v>
      </c>
      <c r="C1645" s="6" t="str">
        <f t="shared" si="75"/>
        <v>Nov</v>
      </c>
      <c r="D1645" t="s">
        <v>626</v>
      </c>
      <c r="E1645" t="s">
        <v>26</v>
      </c>
      <c r="F1645" t="s">
        <v>270</v>
      </c>
      <c r="G1645">
        <v>8</v>
      </c>
      <c r="H1645" s="7">
        <v>343.25</v>
      </c>
      <c r="I1645" t="s">
        <v>21</v>
      </c>
      <c r="J1645" t="s">
        <v>19</v>
      </c>
      <c r="K1645">
        <v>10</v>
      </c>
      <c r="L1645" s="7">
        <f t="shared" si="76"/>
        <v>2746</v>
      </c>
      <c r="M1645" s="7"/>
      <c r="O1645">
        <f t="shared" si="77"/>
        <v>3</v>
      </c>
      <c r="Q1645" t="s">
        <v>23</v>
      </c>
    </row>
    <row r="1646" spans="1:17" x14ac:dyDescent="0.3">
      <c r="A1646" t="s">
        <v>2636</v>
      </c>
      <c r="B1646" s="6">
        <v>45229</v>
      </c>
      <c r="C1646" s="6" t="str">
        <f t="shared" si="75"/>
        <v>Oct</v>
      </c>
      <c r="D1646" t="s">
        <v>1582</v>
      </c>
      <c r="E1646" t="s">
        <v>36</v>
      </c>
      <c r="F1646" t="s">
        <v>1851</v>
      </c>
      <c r="G1646">
        <v>9</v>
      </c>
      <c r="H1646" s="7">
        <v>95.86</v>
      </c>
      <c r="I1646" t="s">
        <v>19</v>
      </c>
      <c r="J1646" t="s">
        <v>42</v>
      </c>
      <c r="K1646">
        <v>10</v>
      </c>
      <c r="L1646" s="7">
        <f t="shared" si="76"/>
        <v>862.74</v>
      </c>
      <c r="M1646" s="7"/>
      <c r="O1646">
        <f t="shared" si="77"/>
        <v>2</v>
      </c>
      <c r="Q1646" t="s">
        <v>19</v>
      </c>
    </row>
    <row r="1647" spans="1:17" x14ac:dyDescent="0.3">
      <c r="A1647" t="s">
        <v>2637</v>
      </c>
      <c r="B1647" s="6">
        <v>44954</v>
      </c>
      <c r="C1647" s="6" t="str">
        <f t="shared" si="75"/>
        <v>Jan</v>
      </c>
      <c r="D1647" t="s">
        <v>1786</v>
      </c>
      <c r="E1647" t="s">
        <v>50</v>
      </c>
      <c r="F1647" t="s">
        <v>856</v>
      </c>
      <c r="G1647">
        <v>4</v>
      </c>
      <c r="H1647" s="7">
        <v>411.36</v>
      </c>
      <c r="I1647" t="s">
        <v>46</v>
      </c>
      <c r="J1647" t="s">
        <v>42</v>
      </c>
      <c r="K1647">
        <v>15</v>
      </c>
      <c r="L1647" s="7">
        <f t="shared" si="76"/>
        <v>1645.44</v>
      </c>
      <c r="M1647" s="7"/>
      <c r="O1647">
        <f t="shared" si="77"/>
        <v>2</v>
      </c>
      <c r="Q1647" t="s">
        <v>47</v>
      </c>
    </row>
    <row r="1648" spans="1:17" x14ac:dyDescent="0.3">
      <c r="A1648" t="s">
        <v>2638</v>
      </c>
      <c r="B1648" s="6">
        <v>45210</v>
      </c>
      <c r="C1648" s="6" t="str">
        <f t="shared" si="75"/>
        <v>Oct</v>
      </c>
      <c r="D1648" t="s">
        <v>397</v>
      </c>
      <c r="E1648" t="s">
        <v>31</v>
      </c>
      <c r="F1648" t="s">
        <v>730</v>
      </c>
      <c r="G1648">
        <v>1</v>
      </c>
      <c r="H1648" s="7">
        <v>217.3</v>
      </c>
      <c r="I1648" t="s">
        <v>103</v>
      </c>
      <c r="J1648" t="s">
        <v>72</v>
      </c>
      <c r="K1648">
        <v>15</v>
      </c>
      <c r="L1648" s="7">
        <f t="shared" si="76"/>
        <v>217.3</v>
      </c>
      <c r="M1648" s="7"/>
      <c r="O1648">
        <f t="shared" si="77"/>
        <v>2</v>
      </c>
      <c r="Q1648" t="s">
        <v>104</v>
      </c>
    </row>
    <row r="1649" spans="1:17" x14ac:dyDescent="0.3">
      <c r="A1649" t="s">
        <v>2639</v>
      </c>
      <c r="B1649" s="6">
        <v>45153</v>
      </c>
      <c r="C1649" s="6" t="str">
        <f t="shared" si="75"/>
        <v>Aug</v>
      </c>
      <c r="D1649" t="s">
        <v>1258</v>
      </c>
      <c r="E1649" t="s">
        <v>31</v>
      </c>
      <c r="F1649" t="s">
        <v>322</v>
      </c>
      <c r="G1649">
        <v>1</v>
      </c>
      <c r="H1649" s="7">
        <v>252.16</v>
      </c>
      <c r="I1649" t="s">
        <v>46</v>
      </c>
      <c r="J1649" t="s">
        <v>72</v>
      </c>
      <c r="K1649">
        <v>10</v>
      </c>
      <c r="L1649" s="7">
        <f t="shared" si="76"/>
        <v>252.16</v>
      </c>
      <c r="M1649" s="7"/>
      <c r="O1649">
        <f t="shared" si="77"/>
        <v>2</v>
      </c>
      <c r="Q1649" t="s">
        <v>47</v>
      </c>
    </row>
    <row r="1650" spans="1:17" x14ac:dyDescent="0.3">
      <c r="A1650" t="s">
        <v>2640</v>
      </c>
      <c r="B1650" s="6">
        <v>45267</v>
      </c>
      <c r="C1650" s="6" t="str">
        <f t="shared" si="75"/>
        <v>Dec</v>
      </c>
      <c r="D1650" t="s">
        <v>938</v>
      </c>
      <c r="E1650" t="s">
        <v>19</v>
      </c>
      <c r="F1650" t="s">
        <v>398</v>
      </c>
      <c r="G1650">
        <v>3</v>
      </c>
      <c r="H1650" s="7">
        <v>144.49</v>
      </c>
      <c r="I1650" t="s">
        <v>21</v>
      </c>
      <c r="J1650" t="s">
        <v>22</v>
      </c>
      <c r="K1650">
        <v>10</v>
      </c>
      <c r="L1650" s="7">
        <f t="shared" si="76"/>
        <v>433.47</v>
      </c>
      <c r="M1650" s="7"/>
      <c r="O1650">
        <f t="shared" si="77"/>
        <v>2</v>
      </c>
      <c r="Q1650" t="s">
        <v>23</v>
      </c>
    </row>
    <row r="1651" spans="1:17" x14ac:dyDescent="0.3">
      <c r="A1651" t="s">
        <v>2641</v>
      </c>
      <c r="B1651" s="6">
        <v>45190</v>
      </c>
      <c r="C1651" s="6" t="str">
        <f t="shared" si="75"/>
        <v>Sep</v>
      </c>
      <c r="D1651" t="s">
        <v>2569</v>
      </c>
      <c r="E1651" t="s">
        <v>36</v>
      </c>
      <c r="F1651" t="s">
        <v>292</v>
      </c>
      <c r="G1651">
        <v>5</v>
      </c>
      <c r="H1651" s="7">
        <v>137.43</v>
      </c>
      <c r="I1651" t="s">
        <v>21</v>
      </c>
      <c r="J1651" t="s">
        <v>87</v>
      </c>
      <c r="K1651">
        <v>5</v>
      </c>
      <c r="L1651" s="7">
        <f t="shared" si="76"/>
        <v>687.15000000000009</v>
      </c>
      <c r="M1651" s="7"/>
      <c r="O1651">
        <f t="shared" si="77"/>
        <v>2</v>
      </c>
      <c r="Q1651" t="s">
        <v>23</v>
      </c>
    </row>
    <row r="1652" spans="1:17" x14ac:dyDescent="0.3">
      <c r="A1652" t="s">
        <v>2642</v>
      </c>
      <c r="B1652" s="6">
        <v>45038</v>
      </c>
      <c r="C1652" s="6" t="str">
        <f t="shared" si="75"/>
        <v>Apr</v>
      </c>
      <c r="D1652" t="s">
        <v>1558</v>
      </c>
      <c r="E1652" t="s">
        <v>40</v>
      </c>
      <c r="F1652" t="s">
        <v>239</v>
      </c>
      <c r="G1652">
        <v>5</v>
      </c>
      <c r="H1652" s="7">
        <v>262.01</v>
      </c>
      <c r="I1652" t="s">
        <v>19</v>
      </c>
      <c r="J1652" t="s">
        <v>87</v>
      </c>
      <c r="K1652">
        <v>0</v>
      </c>
      <c r="L1652" s="7">
        <f t="shared" si="76"/>
        <v>1310.05</v>
      </c>
      <c r="M1652" s="7"/>
      <c r="O1652">
        <f t="shared" si="77"/>
        <v>2</v>
      </c>
      <c r="Q1652" t="s">
        <v>19</v>
      </c>
    </row>
    <row r="1653" spans="1:17" x14ac:dyDescent="0.3">
      <c r="A1653" t="s">
        <v>2643</v>
      </c>
      <c r="B1653" s="6">
        <v>44990</v>
      </c>
      <c r="C1653" s="6" t="str">
        <f t="shared" si="75"/>
        <v>Mar</v>
      </c>
      <c r="D1653" t="s">
        <v>809</v>
      </c>
      <c r="E1653" t="s">
        <v>31</v>
      </c>
      <c r="F1653" t="s">
        <v>27</v>
      </c>
      <c r="G1653">
        <v>9</v>
      </c>
      <c r="H1653" s="7">
        <v>121.01</v>
      </c>
      <c r="I1653" t="s">
        <v>19</v>
      </c>
      <c r="J1653" t="s">
        <v>42</v>
      </c>
      <c r="K1653">
        <v>15</v>
      </c>
      <c r="L1653" s="7">
        <f t="shared" si="76"/>
        <v>1089.0900000000001</v>
      </c>
      <c r="M1653" s="7"/>
      <c r="O1653">
        <f t="shared" si="77"/>
        <v>2</v>
      </c>
      <c r="Q1653" t="s">
        <v>19</v>
      </c>
    </row>
    <row r="1654" spans="1:17" x14ac:dyDescent="0.3">
      <c r="A1654" t="s">
        <v>2644</v>
      </c>
      <c r="B1654" s="6">
        <v>44958</v>
      </c>
      <c r="C1654" s="6" t="str">
        <f t="shared" si="75"/>
        <v>Feb</v>
      </c>
      <c r="D1654" t="s">
        <v>560</v>
      </c>
      <c r="E1654" t="s">
        <v>50</v>
      </c>
      <c r="F1654" t="s">
        <v>75</v>
      </c>
      <c r="G1654">
        <v>2</v>
      </c>
      <c r="H1654" s="7">
        <v>66.17</v>
      </c>
      <c r="I1654" t="s">
        <v>64</v>
      </c>
      <c r="J1654" t="s">
        <v>87</v>
      </c>
      <c r="K1654">
        <v>5</v>
      </c>
      <c r="L1654" s="7">
        <f t="shared" si="76"/>
        <v>132.34</v>
      </c>
      <c r="M1654" s="7"/>
      <c r="O1654">
        <f t="shared" si="77"/>
        <v>2</v>
      </c>
      <c r="Q1654" t="s">
        <v>65</v>
      </c>
    </row>
    <row r="1655" spans="1:17" x14ac:dyDescent="0.3">
      <c r="A1655" t="s">
        <v>2645</v>
      </c>
      <c r="B1655" s="6">
        <v>45072</v>
      </c>
      <c r="C1655" s="6" t="str">
        <f t="shared" si="75"/>
        <v>May</v>
      </c>
      <c r="D1655" t="s">
        <v>1266</v>
      </c>
      <c r="E1655" t="s">
        <v>26</v>
      </c>
      <c r="F1655" t="s">
        <v>861</v>
      </c>
      <c r="G1655">
        <v>2</v>
      </c>
      <c r="H1655" s="7">
        <v>66.23</v>
      </c>
      <c r="I1655" t="s">
        <v>64</v>
      </c>
      <c r="J1655" t="s">
        <v>28</v>
      </c>
      <c r="K1655">
        <v>15</v>
      </c>
      <c r="L1655" s="7">
        <f t="shared" si="76"/>
        <v>132.46</v>
      </c>
      <c r="M1655" s="7"/>
      <c r="O1655">
        <f t="shared" si="77"/>
        <v>2</v>
      </c>
      <c r="Q1655" t="s">
        <v>65</v>
      </c>
    </row>
    <row r="1656" spans="1:17" x14ac:dyDescent="0.3">
      <c r="A1656" t="s">
        <v>2646</v>
      </c>
      <c r="B1656" s="6">
        <v>45076</v>
      </c>
      <c r="C1656" s="6" t="str">
        <f t="shared" si="75"/>
        <v>May</v>
      </c>
      <c r="D1656" t="s">
        <v>1846</v>
      </c>
      <c r="E1656" t="s">
        <v>19</v>
      </c>
      <c r="F1656" t="s">
        <v>398</v>
      </c>
      <c r="G1656">
        <v>6</v>
      </c>
      <c r="H1656" s="7">
        <v>293.72000000000003</v>
      </c>
      <c r="I1656" t="s">
        <v>64</v>
      </c>
      <c r="J1656" t="s">
        <v>87</v>
      </c>
      <c r="K1656">
        <v>10</v>
      </c>
      <c r="L1656" s="7">
        <f t="shared" si="76"/>
        <v>1762.3200000000002</v>
      </c>
      <c r="M1656" s="7"/>
      <c r="O1656">
        <f t="shared" si="77"/>
        <v>2</v>
      </c>
      <c r="Q1656" t="s">
        <v>65</v>
      </c>
    </row>
    <row r="1657" spans="1:17" x14ac:dyDescent="0.3">
      <c r="A1657" t="s">
        <v>2647</v>
      </c>
      <c r="B1657" s="6">
        <v>45154</v>
      </c>
      <c r="C1657" s="6" t="str">
        <f t="shared" si="75"/>
        <v>Aug</v>
      </c>
      <c r="D1657" t="s">
        <v>1935</v>
      </c>
      <c r="E1657" t="s">
        <v>40</v>
      </c>
      <c r="F1657" t="s">
        <v>37</v>
      </c>
      <c r="G1657">
        <v>9</v>
      </c>
      <c r="H1657" s="7">
        <v>368.71</v>
      </c>
      <c r="I1657" t="s">
        <v>103</v>
      </c>
      <c r="J1657" t="s">
        <v>22</v>
      </c>
      <c r="K1657">
        <v>5</v>
      </c>
      <c r="L1657" s="7">
        <f t="shared" si="76"/>
        <v>3318.39</v>
      </c>
      <c r="M1657" s="7"/>
      <c r="O1657">
        <f t="shared" si="77"/>
        <v>4</v>
      </c>
      <c r="Q1657" t="s">
        <v>104</v>
      </c>
    </row>
    <row r="1658" spans="1:17" x14ac:dyDescent="0.3">
      <c r="A1658" t="s">
        <v>2648</v>
      </c>
      <c r="B1658" s="6">
        <v>44955</v>
      </c>
      <c r="C1658" s="6" t="str">
        <f t="shared" si="75"/>
        <v>Jan</v>
      </c>
      <c r="D1658" t="s">
        <v>656</v>
      </c>
      <c r="E1658" t="s">
        <v>40</v>
      </c>
      <c r="F1658" t="s">
        <v>807</v>
      </c>
      <c r="G1658">
        <v>5</v>
      </c>
      <c r="H1658" s="7">
        <v>164.16</v>
      </c>
      <c r="I1658" t="s">
        <v>46</v>
      </c>
      <c r="J1658" t="s">
        <v>42</v>
      </c>
      <c r="K1658">
        <v>10</v>
      </c>
      <c r="L1658" s="7">
        <f t="shared" si="76"/>
        <v>820.8</v>
      </c>
      <c r="M1658" s="7"/>
      <c r="O1658">
        <f t="shared" si="77"/>
        <v>2</v>
      </c>
      <c r="Q1658" t="s">
        <v>47</v>
      </c>
    </row>
    <row r="1659" spans="1:17" x14ac:dyDescent="0.3">
      <c r="A1659" t="s">
        <v>2649</v>
      </c>
      <c r="B1659" s="6">
        <v>45206</v>
      </c>
      <c r="C1659" s="6" t="str">
        <f t="shared" si="75"/>
        <v>Oct</v>
      </c>
      <c r="D1659" t="s">
        <v>2619</v>
      </c>
      <c r="E1659" t="s">
        <v>62</v>
      </c>
      <c r="F1659" t="s">
        <v>308</v>
      </c>
      <c r="G1659">
        <v>9</v>
      </c>
      <c r="H1659" s="7">
        <v>22.15</v>
      </c>
      <c r="I1659" t="s">
        <v>103</v>
      </c>
      <c r="J1659" t="s">
        <v>19</v>
      </c>
      <c r="K1659">
        <v>10</v>
      </c>
      <c r="L1659" s="7">
        <f t="shared" si="76"/>
        <v>199.35</v>
      </c>
      <c r="M1659" s="7"/>
      <c r="O1659">
        <f t="shared" si="77"/>
        <v>2</v>
      </c>
      <c r="Q1659" t="s">
        <v>104</v>
      </c>
    </row>
    <row r="1660" spans="1:17" x14ac:dyDescent="0.3">
      <c r="A1660" t="s">
        <v>2650</v>
      </c>
      <c r="B1660" s="6">
        <v>45083</v>
      </c>
      <c r="C1660" s="6" t="str">
        <f t="shared" si="75"/>
        <v>Jun</v>
      </c>
      <c r="D1660" t="s">
        <v>150</v>
      </c>
      <c r="E1660" t="s">
        <v>62</v>
      </c>
      <c r="F1660" t="s">
        <v>251</v>
      </c>
      <c r="G1660">
        <v>9</v>
      </c>
      <c r="H1660" s="7">
        <v>252.16</v>
      </c>
      <c r="I1660" t="s">
        <v>46</v>
      </c>
      <c r="J1660" t="s">
        <v>19</v>
      </c>
      <c r="K1660">
        <v>20</v>
      </c>
      <c r="L1660" s="7">
        <f t="shared" si="76"/>
        <v>2269.44</v>
      </c>
      <c r="M1660" s="7"/>
      <c r="O1660">
        <f t="shared" si="77"/>
        <v>2</v>
      </c>
      <c r="Q1660" t="s">
        <v>47</v>
      </c>
    </row>
    <row r="1661" spans="1:17" x14ac:dyDescent="0.3">
      <c r="A1661" t="s">
        <v>2651</v>
      </c>
      <c r="B1661" s="6">
        <v>44928</v>
      </c>
      <c r="C1661" s="6" t="str">
        <f t="shared" si="75"/>
        <v>Jan</v>
      </c>
      <c r="D1661" t="s">
        <v>2652</v>
      </c>
      <c r="E1661" t="s">
        <v>62</v>
      </c>
      <c r="F1661" t="s">
        <v>37</v>
      </c>
      <c r="G1661">
        <v>5</v>
      </c>
      <c r="H1661" s="7">
        <v>457.77</v>
      </c>
      <c r="I1661" t="s">
        <v>21</v>
      </c>
      <c r="J1661" t="s">
        <v>87</v>
      </c>
      <c r="K1661">
        <v>0</v>
      </c>
      <c r="L1661" s="7">
        <f t="shared" si="76"/>
        <v>2288.85</v>
      </c>
      <c r="M1661" s="7"/>
      <c r="O1661">
        <f t="shared" si="77"/>
        <v>2</v>
      </c>
      <c r="Q1661" t="s">
        <v>23</v>
      </c>
    </row>
    <row r="1662" spans="1:17" x14ac:dyDescent="0.3">
      <c r="A1662" t="s">
        <v>2653</v>
      </c>
      <c r="B1662" s="6">
        <v>44997</v>
      </c>
      <c r="C1662" s="6" t="str">
        <f t="shared" si="75"/>
        <v>Mar</v>
      </c>
      <c r="D1662" t="s">
        <v>2654</v>
      </c>
      <c r="E1662" t="s">
        <v>40</v>
      </c>
      <c r="F1662" t="s">
        <v>281</v>
      </c>
      <c r="G1662">
        <v>5</v>
      </c>
      <c r="H1662" s="7">
        <v>249.3</v>
      </c>
      <c r="I1662" t="s">
        <v>46</v>
      </c>
      <c r="J1662" t="s">
        <v>22</v>
      </c>
      <c r="K1662">
        <v>0</v>
      </c>
      <c r="L1662" s="7">
        <f t="shared" si="76"/>
        <v>1246.5</v>
      </c>
      <c r="M1662" s="7"/>
      <c r="O1662">
        <f t="shared" si="77"/>
        <v>2</v>
      </c>
      <c r="Q1662" t="s">
        <v>47</v>
      </c>
    </row>
    <row r="1663" spans="1:17" x14ac:dyDescent="0.3">
      <c r="A1663" t="s">
        <v>2655</v>
      </c>
      <c r="B1663" s="6">
        <v>45267</v>
      </c>
      <c r="C1663" s="6" t="str">
        <f t="shared" si="75"/>
        <v>Dec</v>
      </c>
      <c r="D1663" t="s">
        <v>843</v>
      </c>
      <c r="E1663" t="s">
        <v>31</v>
      </c>
      <c r="F1663" t="s">
        <v>316</v>
      </c>
      <c r="G1663">
        <v>9</v>
      </c>
      <c r="H1663" s="7">
        <v>229.52</v>
      </c>
      <c r="I1663" t="s">
        <v>64</v>
      </c>
      <c r="J1663" t="s">
        <v>72</v>
      </c>
      <c r="K1663">
        <v>15</v>
      </c>
      <c r="L1663" s="7">
        <f t="shared" si="76"/>
        <v>2065.6800000000003</v>
      </c>
      <c r="M1663" s="7"/>
      <c r="O1663">
        <f t="shared" si="77"/>
        <v>2</v>
      </c>
      <c r="Q1663" t="s">
        <v>65</v>
      </c>
    </row>
    <row r="1664" spans="1:17" x14ac:dyDescent="0.3">
      <c r="A1664" t="s">
        <v>2656</v>
      </c>
      <c r="B1664" s="6">
        <v>44992</v>
      </c>
      <c r="C1664" s="6" t="str">
        <f t="shared" si="75"/>
        <v>Mar</v>
      </c>
      <c r="D1664" t="s">
        <v>1537</v>
      </c>
      <c r="E1664" t="s">
        <v>19</v>
      </c>
      <c r="F1664" t="s">
        <v>698</v>
      </c>
      <c r="G1664">
        <v>4</v>
      </c>
      <c r="H1664" s="7">
        <v>23.83</v>
      </c>
      <c r="I1664" t="s">
        <v>103</v>
      </c>
      <c r="J1664" t="s">
        <v>72</v>
      </c>
      <c r="K1664">
        <v>0</v>
      </c>
      <c r="L1664" s="7">
        <f t="shared" si="76"/>
        <v>95.32</v>
      </c>
      <c r="M1664" s="7"/>
      <c r="O1664">
        <f t="shared" si="77"/>
        <v>2</v>
      </c>
      <c r="Q1664" t="s">
        <v>104</v>
      </c>
    </row>
    <row r="1665" spans="1:17" x14ac:dyDescent="0.3">
      <c r="A1665" t="s">
        <v>2657</v>
      </c>
      <c r="B1665" s="6">
        <v>44945</v>
      </c>
      <c r="C1665" s="6" t="str">
        <f t="shared" si="75"/>
        <v>Jan</v>
      </c>
      <c r="D1665" t="s">
        <v>1199</v>
      </c>
      <c r="E1665" t="s">
        <v>62</v>
      </c>
      <c r="F1665" t="s">
        <v>113</v>
      </c>
      <c r="G1665">
        <v>2</v>
      </c>
      <c r="H1665" s="7">
        <v>365.68</v>
      </c>
      <c r="I1665" t="s">
        <v>103</v>
      </c>
      <c r="J1665" t="s">
        <v>42</v>
      </c>
      <c r="K1665">
        <v>20</v>
      </c>
      <c r="L1665" s="7">
        <f t="shared" si="76"/>
        <v>731.36</v>
      </c>
      <c r="M1665" s="7"/>
      <c r="O1665">
        <f t="shared" si="77"/>
        <v>2</v>
      </c>
      <c r="Q1665" t="s">
        <v>104</v>
      </c>
    </row>
    <row r="1666" spans="1:17" x14ac:dyDescent="0.3">
      <c r="A1666" t="s">
        <v>2658</v>
      </c>
      <c r="B1666" s="6">
        <v>45272</v>
      </c>
      <c r="C1666" s="6" t="str">
        <f t="shared" si="75"/>
        <v>Dec</v>
      </c>
      <c r="D1666" t="s">
        <v>1458</v>
      </c>
      <c r="E1666" t="s">
        <v>31</v>
      </c>
      <c r="F1666" t="s">
        <v>110</v>
      </c>
      <c r="G1666">
        <v>6</v>
      </c>
      <c r="H1666" s="7">
        <v>266.39</v>
      </c>
      <c r="I1666" t="s">
        <v>103</v>
      </c>
      <c r="J1666" t="s">
        <v>28</v>
      </c>
      <c r="K1666">
        <v>10</v>
      </c>
      <c r="L1666" s="7">
        <f t="shared" si="76"/>
        <v>1598.34</v>
      </c>
      <c r="M1666" s="7"/>
      <c r="O1666">
        <f t="shared" si="77"/>
        <v>2</v>
      </c>
      <c r="Q1666" t="s">
        <v>104</v>
      </c>
    </row>
    <row r="1667" spans="1:17" x14ac:dyDescent="0.3">
      <c r="A1667" t="s">
        <v>2659</v>
      </c>
      <c r="B1667" s="6">
        <v>45202</v>
      </c>
      <c r="C1667" s="6" t="str">
        <f t="shared" ref="C1667:C1730" si="78">TEXT(B1667,"MMM")</f>
        <v>Oct</v>
      </c>
      <c r="D1667" t="s">
        <v>2020</v>
      </c>
      <c r="E1667" t="s">
        <v>31</v>
      </c>
      <c r="F1667" t="s">
        <v>84</v>
      </c>
      <c r="G1667">
        <v>4</v>
      </c>
      <c r="H1667" s="7">
        <v>105.03</v>
      </c>
      <c r="I1667" t="s">
        <v>21</v>
      </c>
      <c r="J1667" t="s">
        <v>19</v>
      </c>
      <c r="K1667">
        <v>5</v>
      </c>
      <c r="L1667" s="7">
        <f t="shared" ref="L1667:L1730" si="79">G1667*H1667</f>
        <v>420.12</v>
      </c>
      <c r="M1667" s="7"/>
      <c r="O1667">
        <f t="shared" si="77"/>
        <v>2</v>
      </c>
      <c r="Q1667" t="s">
        <v>23</v>
      </c>
    </row>
    <row r="1668" spans="1:17" x14ac:dyDescent="0.3">
      <c r="A1668" t="s">
        <v>2660</v>
      </c>
      <c r="B1668" s="6">
        <v>45106</v>
      </c>
      <c r="C1668" s="6" t="str">
        <f t="shared" si="78"/>
        <v>Jun</v>
      </c>
      <c r="D1668" t="s">
        <v>1056</v>
      </c>
      <c r="E1668" t="s">
        <v>36</v>
      </c>
      <c r="F1668" t="s">
        <v>145</v>
      </c>
      <c r="G1668">
        <v>6</v>
      </c>
      <c r="H1668" s="7">
        <v>59.49</v>
      </c>
      <c r="I1668" t="s">
        <v>21</v>
      </c>
      <c r="J1668" t="s">
        <v>87</v>
      </c>
      <c r="K1668">
        <v>5</v>
      </c>
      <c r="L1668" s="7">
        <f t="shared" si="79"/>
        <v>356.94</v>
      </c>
      <c r="M1668" s="7"/>
      <c r="O1668">
        <f t="shared" ref="O1668:O1731" si="80">IF(L1668&gt;3500,5,IF(L1668&gt;3000,4,IF(L1668&gt;2500,3,IF(L1668&gt;2000,2,IF(L1668&gt;1000,2,2)))))</f>
        <v>2</v>
      </c>
      <c r="Q1668" t="s">
        <v>23</v>
      </c>
    </row>
    <row r="1669" spans="1:17" x14ac:dyDescent="0.3">
      <c r="A1669" t="s">
        <v>2661</v>
      </c>
      <c r="B1669" s="6">
        <v>45144</v>
      </c>
      <c r="C1669" s="6" t="str">
        <f t="shared" si="78"/>
        <v>Aug</v>
      </c>
      <c r="D1669" t="s">
        <v>184</v>
      </c>
      <c r="E1669" t="s">
        <v>50</v>
      </c>
      <c r="F1669" t="s">
        <v>469</v>
      </c>
      <c r="G1669">
        <v>3</v>
      </c>
      <c r="H1669" s="7">
        <v>194.78</v>
      </c>
      <c r="I1669" t="s">
        <v>21</v>
      </c>
      <c r="J1669" t="s">
        <v>28</v>
      </c>
      <c r="K1669">
        <v>10</v>
      </c>
      <c r="L1669" s="7">
        <f t="shared" si="79"/>
        <v>584.34</v>
      </c>
      <c r="M1669" s="7"/>
      <c r="O1669">
        <f t="shared" si="80"/>
        <v>2</v>
      </c>
      <c r="Q1669" t="s">
        <v>23</v>
      </c>
    </row>
    <row r="1670" spans="1:17" x14ac:dyDescent="0.3">
      <c r="A1670" t="s">
        <v>2662</v>
      </c>
      <c r="B1670" s="6">
        <v>45224</v>
      </c>
      <c r="C1670" s="6" t="str">
        <f t="shared" si="78"/>
        <v>Oct</v>
      </c>
      <c r="D1670" t="s">
        <v>2560</v>
      </c>
      <c r="E1670" t="s">
        <v>62</v>
      </c>
      <c r="F1670" t="s">
        <v>366</v>
      </c>
      <c r="G1670">
        <v>6</v>
      </c>
      <c r="H1670" s="7">
        <v>419.4</v>
      </c>
      <c r="I1670" t="s">
        <v>64</v>
      </c>
      <c r="J1670" t="s">
        <v>72</v>
      </c>
      <c r="K1670">
        <v>10</v>
      </c>
      <c r="L1670" s="7">
        <f t="shared" si="79"/>
        <v>2516.3999999999996</v>
      </c>
      <c r="M1670" s="7"/>
      <c r="O1670">
        <f t="shared" si="80"/>
        <v>3</v>
      </c>
      <c r="Q1670" t="s">
        <v>65</v>
      </c>
    </row>
    <row r="1671" spans="1:17" x14ac:dyDescent="0.3">
      <c r="A1671" t="s">
        <v>2663</v>
      </c>
      <c r="B1671" s="6">
        <v>45222</v>
      </c>
      <c r="C1671" s="6" t="str">
        <f t="shared" si="78"/>
        <v>Oct</v>
      </c>
      <c r="D1671" t="s">
        <v>830</v>
      </c>
      <c r="E1671" t="s">
        <v>50</v>
      </c>
      <c r="F1671" t="s">
        <v>231</v>
      </c>
      <c r="G1671">
        <v>2</v>
      </c>
      <c r="H1671" s="7">
        <v>433.32</v>
      </c>
      <c r="I1671" t="s">
        <v>19</v>
      </c>
      <c r="J1671" t="s">
        <v>87</v>
      </c>
      <c r="K1671">
        <v>10</v>
      </c>
      <c r="L1671" s="7">
        <f t="shared" si="79"/>
        <v>866.64</v>
      </c>
      <c r="M1671" s="7"/>
      <c r="O1671">
        <f t="shared" si="80"/>
        <v>2</v>
      </c>
      <c r="Q1671" t="s">
        <v>19</v>
      </c>
    </row>
    <row r="1672" spans="1:17" x14ac:dyDescent="0.3">
      <c r="A1672" t="s">
        <v>2664</v>
      </c>
      <c r="B1672" s="6">
        <v>45076</v>
      </c>
      <c r="C1672" s="6" t="str">
        <f t="shared" si="78"/>
        <v>May</v>
      </c>
      <c r="D1672" t="s">
        <v>1323</v>
      </c>
      <c r="E1672" t="s">
        <v>62</v>
      </c>
      <c r="F1672" t="s">
        <v>861</v>
      </c>
      <c r="G1672">
        <v>2</v>
      </c>
      <c r="H1672" s="7">
        <v>252.16</v>
      </c>
      <c r="I1672" t="s">
        <v>19</v>
      </c>
      <c r="J1672" t="s">
        <v>19</v>
      </c>
      <c r="K1672">
        <v>5</v>
      </c>
      <c r="L1672" s="7">
        <f t="shared" si="79"/>
        <v>504.32</v>
      </c>
      <c r="M1672" s="7"/>
      <c r="O1672">
        <f t="shared" si="80"/>
        <v>2</v>
      </c>
      <c r="Q1672" t="s">
        <v>19</v>
      </c>
    </row>
    <row r="1673" spans="1:17" x14ac:dyDescent="0.3">
      <c r="A1673" t="s">
        <v>2665</v>
      </c>
      <c r="B1673" s="6">
        <v>45028</v>
      </c>
      <c r="C1673" s="6" t="str">
        <f t="shared" si="78"/>
        <v>Apr</v>
      </c>
      <c r="D1673" t="s">
        <v>127</v>
      </c>
      <c r="E1673" t="s">
        <v>26</v>
      </c>
      <c r="F1673" t="s">
        <v>657</v>
      </c>
      <c r="G1673">
        <v>9</v>
      </c>
      <c r="H1673" s="7">
        <v>365.13</v>
      </c>
      <c r="I1673" t="s">
        <v>46</v>
      </c>
      <c r="J1673" t="s">
        <v>28</v>
      </c>
      <c r="K1673">
        <v>15</v>
      </c>
      <c r="L1673" s="7">
        <f t="shared" si="79"/>
        <v>3286.17</v>
      </c>
      <c r="M1673" s="7"/>
      <c r="O1673">
        <f t="shared" si="80"/>
        <v>4</v>
      </c>
      <c r="Q1673" t="s">
        <v>47</v>
      </c>
    </row>
    <row r="1674" spans="1:17" x14ac:dyDescent="0.3">
      <c r="A1674" t="s">
        <v>2666</v>
      </c>
      <c r="B1674" s="6">
        <v>45094</v>
      </c>
      <c r="C1674" s="6" t="str">
        <f t="shared" si="78"/>
        <v>Jun</v>
      </c>
      <c r="D1674" t="s">
        <v>1764</v>
      </c>
      <c r="E1674" t="s">
        <v>62</v>
      </c>
      <c r="F1674" t="s">
        <v>1251</v>
      </c>
      <c r="G1674">
        <v>7</v>
      </c>
      <c r="H1674" s="7">
        <v>62</v>
      </c>
      <c r="I1674" t="s">
        <v>32</v>
      </c>
      <c r="J1674" t="s">
        <v>28</v>
      </c>
      <c r="K1674">
        <v>20</v>
      </c>
      <c r="L1674" s="7">
        <f t="shared" si="79"/>
        <v>434</v>
      </c>
      <c r="M1674" s="7"/>
      <c r="O1674">
        <f t="shared" si="80"/>
        <v>2</v>
      </c>
      <c r="Q1674" t="s">
        <v>33</v>
      </c>
    </row>
    <row r="1675" spans="1:17" x14ac:dyDescent="0.3">
      <c r="A1675" t="s">
        <v>2667</v>
      </c>
      <c r="B1675" s="6">
        <v>45178</v>
      </c>
      <c r="C1675" s="6" t="str">
        <f t="shared" si="78"/>
        <v>Sep</v>
      </c>
      <c r="D1675" t="s">
        <v>551</v>
      </c>
      <c r="E1675" t="s">
        <v>26</v>
      </c>
      <c r="F1675" t="s">
        <v>193</v>
      </c>
      <c r="G1675">
        <v>3</v>
      </c>
      <c r="H1675" s="7">
        <v>296.12</v>
      </c>
      <c r="I1675" t="s">
        <v>32</v>
      </c>
      <c r="J1675" t="s">
        <v>19</v>
      </c>
      <c r="K1675">
        <v>10</v>
      </c>
      <c r="L1675" s="7">
        <f t="shared" si="79"/>
        <v>888.36</v>
      </c>
      <c r="M1675" s="7"/>
      <c r="O1675">
        <f t="shared" si="80"/>
        <v>2</v>
      </c>
      <c r="Q1675" t="s">
        <v>33</v>
      </c>
    </row>
    <row r="1676" spans="1:17" x14ac:dyDescent="0.3">
      <c r="A1676" t="s">
        <v>2668</v>
      </c>
      <c r="B1676" s="6">
        <v>45277</v>
      </c>
      <c r="C1676" s="6" t="str">
        <f t="shared" si="78"/>
        <v>Dec</v>
      </c>
      <c r="D1676" t="s">
        <v>1313</v>
      </c>
      <c r="E1676" t="s">
        <v>36</v>
      </c>
      <c r="F1676" t="s">
        <v>322</v>
      </c>
      <c r="G1676">
        <v>1</v>
      </c>
      <c r="H1676" s="7">
        <v>335.15</v>
      </c>
      <c r="I1676" t="s">
        <v>103</v>
      </c>
      <c r="J1676" t="s">
        <v>19</v>
      </c>
      <c r="K1676">
        <v>10</v>
      </c>
      <c r="L1676" s="7">
        <f t="shared" si="79"/>
        <v>335.15</v>
      </c>
      <c r="M1676" s="7"/>
      <c r="O1676">
        <f t="shared" si="80"/>
        <v>2</v>
      </c>
      <c r="Q1676" t="s">
        <v>104</v>
      </c>
    </row>
    <row r="1677" spans="1:17" x14ac:dyDescent="0.3">
      <c r="A1677" t="s">
        <v>2669</v>
      </c>
      <c r="B1677" s="6">
        <v>44975</v>
      </c>
      <c r="C1677" s="6" t="str">
        <f t="shared" si="78"/>
        <v>Feb</v>
      </c>
      <c r="D1677" t="s">
        <v>1580</v>
      </c>
      <c r="E1677" t="s">
        <v>40</v>
      </c>
      <c r="F1677" t="s">
        <v>504</v>
      </c>
      <c r="G1677">
        <v>8</v>
      </c>
      <c r="H1677" s="7">
        <v>104.35</v>
      </c>
      <c r="I1677" t="s">
        <v>19</v>
      </c>
      <c r="J1677" t="s">
        <v>72</v>
      </c>
      <c r="K1677">
        <v>15</v>
      </c>
      <c r="L1677" s="7">
        <f t="shared" si="79"/>
        <v>834.8</v>
      </c>
      <c r="M1677" s="7"/>
      <c r="O1677">
        <f t="shared" si="80"/>
        <v>2</v>
      </c>
      <c r="Q1677" t="s">
        <v>19</v>
      </c>
    </row>
    <row r="1678" spans="1:17" x14ac:dyDescent="0.3">
      <c r="A1678" t="s">
        <v>2670</v>
      </c>
      <c r="B1678" s="6">
        <v>44964</v>
      </c>
      <c r="C1678" s="6" t="str">
        <f t="shared" si="78"/>
        <v>Feb</v>
      </c>
      <c r="D1678" t="s">
        <v>2671</v>
      </c>
      <c r="E1678" t="s">
        <v>62</v>
      </c>
      <c r="F1678" t="s">
        <v>341</v>
      </c>
      <c r="G1678">
        <v>6</v>
      </c>
      <c r="H1678" s="7">
        <v>440.68</v>
      </c>
      <c r="I1678" t="s">
        <v>19</v>
      </c>
      <c r="J1678" t="s">
        <v>87</v>
      </c>
      <c r="K1678">
        <v>10</v>
      </c>
      <c r="L1678" s="7">
        <f t="shared" si="79"/>
        <v>2644.08</v>
      </c>
      <c r="M1678" s="7"/>
      <c r="O1678">
        <f t="shared" si="80"/>
        <v>3</v>
      </c>
      <c r="Q1678" t="s">
        <v>19</v>
      </c>
    </row>
    <row r="1679" spans="1:17" x14ac:dyDescent="0.3">
      <c r="A1679" t="s">
        <v>2672</v>
      </c>
      <c r="B1679" s="6">
        <v>45076</v>
      </c>
      <c r="C1679" s="6" t="str">
        <f t="shared" si="78"/>
        <v>May</v>
      </c>
      <c r="D1679" t="s">
        <v>1430</v>
      </c>
      <c r="E1679" t="s">
        <v>62</v>
      </c>
      <c r="F1679" t="s">
        <v>504</v>
      </c>
      <c r="G1679">
        <v>7</v>
      </c>
      <c r="H1679" s="7">
        <v>101.52</v>
      </c>
      <c r="I1679" t="s">
        <v>32</v>
      </c>
      <c r="J1679" t="s">
        <v>42</v>
      </c>
      <c r="K1679">
        <v>15</v>
      </c>
      <c r="L1679" s="7">
        <f t="shared" si="79"/>
        <v>710.64</v>
      </c>
      <c r="M1679" s="7"/>
      <c r="O1679">
        <f t="shared" si="80"/>
        <v>2</v>
      </c>
      <c r="Q1679" t="s">
        <v>33</v>
      </c>
    </row>
    <row r="1680" spans="1:17" x14ac:dyDescent="0.3">
      <c r="A1680" t="s">
        <v>2673</v>
      </c>
      <c r="B1680" s="6">
        <v>45069</v>
      </c>
      <c r="C1680" s="6" t="str">
        <f t="shared" si="78"/>
        <v>May</v>
      </c>
      <c r="D1680" t="s">
        <v>645</v>
      </c>
      <c r="E1680" t="s">
        <v>36</v>
      </c>
      <c r="F1680" t="s">
        <v>369</v>
      </c>
      <c r="G1680">
        <v>9</v>
      </c>
      <c r="H1680" s="7">
        <v>160.16999999999999</v>
      </c>
      <c r="I1680" t="s">
        <v>64</v>
      </c>
      <c r="J1680" t="s">
        <v>28</v>
      </c>
      <c r="K1680">
        <v>10</v>
      </c>
      <c r="L1680" s="7">
        <f t="shared" si="79"/>
        <v>1441.53</v>
      </c>
      <c r="M1680" s="7"/>
      <c r="O1680">
        <f t="shared" si="80"/>
        <v>2</v>
      </c>
      <c r="Q1680" t="s">
        <v>65</v>
      </c>
    </row>
    <row r="1681" spans="1:17" x14ac:dyDescent="0.3">
      <c r="A1681" t="s">
        <v>2674</v>
      </c>
      <c r="B1681" s="6">
        <v>44970</v>
      </c>
      <c r="C1681" s="6" t="str">
        <f t="shared" si="78"/>
        <v>Feb</v>
      </c>
      <c r="D1681" t="s">
        <v>2675</v>
      </c>
      <c r="E1681" t="s">
        <v>19</v>
      </c>
      <c r="F1681" t="s">
        <v>1146</v>
      </c>
      <c r="G1681">
        <v>5</v>
      </c>
      <c r="H1681" s="7">
        <v>312.18</v>
      </c>
      <c r="I1681" t="s">
        <v>103</v>
      </c>
      <c r="J1681" t="s">
        <v>87</v>
      </c>
      <c r="K1681">
        <v>15</v>
      </c>
      <c r="L1681" s="7">
        <f t="shared" si="79"/>
        <v>1560.9</v>
      </c>
      <c r="M1681" s="7"/>
      <c r="O1681">
        <f t="shared" si="80"/>
        <v>2</v>
      </c>
      <c r="Q1681" t="s">
        <v>104</v>
      </c>
    </row>
    <row r="1682" spans="1:17" x14ac:dyDescent="0.3">
      <c r="A1682" t="s">
        <v>2676</v>
      </c>
      <c r="B1682" s="6">
        <v>44982</v>
      </c>
      <c r="C1682" s="6" t="str">
        <f t="shared" si="78"/>
        <v>Feb</v>
      </c>
      <c r="D1682" t="s">
        <v>2126</v>
      </c>
      <c r="E1682" t="s">
        <v>62</v>
      </c>
      <c r="F1682" t="s">
        <v>363</v>
      </c>
      <c r="G1682">
        <v>1</v>
      </c>
      <c r="H1682" s="7">
        <v>320.98</v>
      </c>
      <c r="I1682" t="s">
        <v>19</v>
      </c>
      <c r="J1682" t="s">
        <v>19</v>
      </c>
      <c r="K1682">
        <v>0</v>
      </c>
      <c r="L1682" s="7">
        <f t="shared" si="79"/>
        <v>320.98</v>
      </c>
      <c r="M1682" s="7"/>
      <c r="O1682">
        <f t="shared" si="80"/>
        <v>2</v>
      </c>
      <c r="Q1682" t="s">
        <v>19</v>
      </c>
    </row>
    <row r="1683" spans="1:17" x14ac:dyDescent="0.3">
      <c r="A1683" t="s">
        <v>2677</v>
      </c>
      <c r="B1683" s="6">
        <v>44964</v>
      </c>
      <c r="C1683" s="6" t="str">
        <f t="shared" si="78"/>
        <v>Feb</v>
      </c>
      <c r="D1683" t="s">
        <v>819</v>
      </c>
      <c r="E1683" t="s">
        <v>19</v>
      </c>
      <c r="F1683" t="s">
        <v>1117</v>
      </c>
      <c r="G1683">
        <v>7</v>
      </c>
      <c r="H1683" s="7">
        <v>351.2</v>
      </c>
      <c r="I1683" t="s">
        <v>21</v>
      </c>
      <c r="J1683" t="s">
        <v>87</v>
      </c>
      <c r="K1683">
        <v>15</v>
      </c>
      <c r="L1683" s="7">
        <f t="shared" si="79"/>
        <v>2458.4</v>
      </c>
      <c r="M1683" s="7"/>
      <c r="O1683">
        <f t="shared" si="80"/>
        <v>2</v>
      </c>
      <c r="Q1683" t="s">
        <v>23</v>
      </c>
    </row>
    <row r="1684" spans="1:17" x14ac:dyDescent="0.3">
      <c r="A1684" t="s">
        <v>2678</v>
      </c>
      <c r="B1684" s="6">
        <v>44966</v>
      </c>
      <c r="C1684" s="6" t="str">
        <f t="shared" si="78"/>
        <v>Feb</v>
      </c>
      <c r="D1684" t="s">
        <v>1330</v>
      </c>
      <c r="E1684" t="s">
        <v>26</v>
      </c>
      <c r="F1684" t="s">
        <v>939</v>
      </c>
      <c r="G1684">
        <v>5</v>
      </c>
      <c r="H1684" s="7">
        <v>60.45</v>
      </c>
      <c r="I1684" t="s">
        <v>21</v>
      </c>
      <c r="J1684" t="s">
        <v>72</v>
      </c>
      <c r="K1684">
        <v>0</v>
      </c>
      <c r="L1684" s="7">
        <f t="shared" si="79"/>
        <v>302.25</v>
      </c>
      <c r="M1684" s="7"/>
      <c r="O1684">
        <f t="shared" si="80"/>
        <v>2</v>
      </c>
      <c r="Q1684" t="s">
        <v>23</v>
      </c>
    </row>
    <row r="1685" spans="1:17" x14ac:dyDescent="0.3">
      <c r="A1685" t="s">
        <v>2679</v>
      </c>
      <c r="B1685" s="6">
        <v>45203</v>
      </c>
      <c r="C1685" s="6" t="str">
        <f t="shared" si="78"/>
        <v>Oct</v>
      </c>
      <c r="D1685" t="s">
        <v>2680</v>
      </c>
      <c r="E1685" t="s">
        <v>19</v>
      </c>
      <c r="F1685" t="s">
        <v>78</v>
      </c>
      <c r="G1685">
        <v>3</v>
      </c>
      <c r="H1685" s="7">
        <v>425.48</v>
      </c>
      <c r="I1685" t="s">
        <v>21</v>
      </c>
      <c r="J1685" t="s">
        <v>87</v>
      </c>
      <c r="K1685">
        <v>5</v>
      </c>
      <c r="L1685" s="7">
        <f t="shared" si="79"/>
        <v>1276.44</v>
      </c>
      <c r="M1685" s="7"/>
      <c r="O1685">
        <f t="shared" si="80"/>
        <v>2</v>
      </c>
      <c r="Q1685" t="s">
        <v>23</v>
      </c>
    </row>
    <row r="1686" spans="1:17" x14ac:dyDescent="0.3">
      <c r="A1686" t="s">
        <v>2681</v>
      </c>
      <c r="B1686" s="6">
        <v>45144</v>
      </c>
      <c r="C1686" s="6" t="str">
        <f t="shared" si="78"/>
        <v>Aug</v>
      </c>
      <c r="D1686" t="s">
        <v>380</v>
      </c>
      <c r="E1686" t="s">
        <v>50</v>
      </c>
      <c r="F1686" t="s">
        <v>698</v>
      </c>
      <c r="G1686">
        <v>9</v>
      </c>
      <c r="H1686" s="7">
        <v>268.76</v>
      </c>
      <c r="I1686" t="s">
        <v>19</v>
      </c>
      <c r="J1686" t="s">
        <v>22</v>
      </c>
      <c r="K1686">
        <v>0</v>
      </c>
      <c r="L1686" s="7">
        <f t="shared" si="79"/>
        <v>2418.84</v>
      </c>
      <c r="M1686" s="7"/>
      <c r="O1686">
        <f t="shared" si="80"/>
        <v>2</v>
      </c>
      <c r="Q1686" t="s">
        <v>19</v>
      </c>
    </row>
    <row r="1687" spans="1:17" x14ac:dyDescent="0.3">
      <c r="A1687" t="s">
        <v>2682</v>
      </c>
      <c r="B1687" s="6">
        <v>45216</v>
      </c>
      <c r="C1687" s="6" t="str">
        <f t="shared" si="78"/>
        <v>Oct</v>
      </c>
      <c r="D1687" t="s">
        <v>468</v>
      </c>
      <c r="E1687" t="s">
        <v>26</v>
      </c>
      <c r="F1687" t="s">
        <v>334</v>
      </c>
      <c r="G1687">
        <v>1</v>
      </c>
      <c r="H1687" s="7">
        <v>238.3</v>
      </c>
      <c r="I1687" t="s">
        <v>103</v>
      </c>
      <c r="J1687" t="s">
        <v>42</v>
      </c>
      <c r="K1687">
        <v>15</v>
      </c>
      <c r="L1687" s="7">
        <f t="shared" si="79"/>
        <v>238.3</v>
      </c>
      <c r="M1687" s="7"/>
      <c r="O1687">
        <f t="shared" si="80"/>
        <v>2</v>
      </c>
      <c r="Q1687" t="s">
        <v>104</v>
      </c>
    </row>
    <row r="1688" spans="1:17" x14ac:dyDescent="0.3">
      <c r="A1688" t="s">
        <v>2683</v>
      </c>
      <c r="B1688" s="6">
        <v>45120</v>
      </c>
      <c r="C1688" s="6" t="str">
        <f t="shared" si="78"/>
        <v>Jul</v>
      </c>
      <c r="D1688" t="s">
        <v>2684</v>
      </c>
      <c r="E1688" t="s">
        <v>19</v>
      </c>
      <c r="F1688" t="s">
        <v>1146</v>
      </c>
      <c r="G1688">
        <v>1</v>
      </c>
      <c r="H1688" s="7">
        <v>490.64</v>
      </c>
      <c r="I1688" t="s">
        <v>21</v>
      </c>
      <c r="J1688" t="s">
        <v>87</v>
      </c>
      <c r="K1688">
        <v>20</v>
      </c>
      <c r="L1688" s="7">
        <f t="shared" si="79"/>
        <v>490.64</v>
      </c>
      <c r="M1688" s="7"/>
      <c r="O1688">
        <f t="shared" si="80"/>
        <v>2</v>
      </c>
      <c r="Q1688" t="s">
        <v>23</v>
      </c>
    </row>
    <row r="1689" spans="1:17" x14ac:dyDescent="0.3">
      <c r="A1689" t="s">
        <v>2685</v>
      </c>
      <c r="B1689" s="6">
        <v>44971</v>
      </c>
      <c r="C1689" s="6" t="str">
        <f t="shared" si="78"/>
        <v>Feb</v>
      </c>
      <c r="D1689" t="s">
        <v>2535</v>
      </c>
      <c r="E1689" t="s">
        <v>36</v>
      </c>
      <c r="F1689" t="s">
        <v>523</v>
      </c>
      <c r="G1689">
        <v>1</v>
      </c>
      <c r="H1689" s="7">
        <v>371.49</v>
      </c>
      <c r="I1689" t="s">
        <v>103</v>
      </c>
      <c r="J1689" t="s">
        <v>42</v>
      </c>
      <c r="K1689">
        <v>20</v>
      </c>
      <c r="L1689" s="7">
        <f t="shared" si="79"/>
        <v>371.49</v>
      </c>
      <c r="M1689" s="7"/>
      <c r="O1689">
        <f t="shared" si="80"/>
        <v>2</v>
      </c>
      <c r="Q1689" t="s">
        <v>104</v>
      </c>
    </row>
    <row r="1690" spans="1:17" x14ac:dyDescent="0.3">
      <c r="A1690" t="s">
        <v>2686</v>
      </c>
      <c r="B1690" s="6">
        <v>45039</v>
      </c>
      <c r="C1690" s="6" t="str">
        <f t="shared" si="78"/>
        <v>Apr</v>
      </c>
      <c r="D1690" t="s">
        <v>2687</v>
      </c>
      <c r="E1690" t="s">
        <v>19</v>
      </c>
      <c r="F1690" t="s">
        <v>389</v>
      </c>
      <c r="G1690">
        <v>3</v>
      </c>
      <c r="H1690" s="7">
        <v>63.41</v>
      </c>
      <c r="I1690" t="s">
        <v>19</v>
      </c>
      <c r="J1690" t="s">
        <v>42</v>
      </c>
      <c r="K1690">
        <v>5</v>
      </c>
      <c r="L1690" s="7">
        <f t="shared" si="79"/>
        <v>190.23</v>
      </c>
      <c r="M1690" s="7"/>
      <c r="O1690">
        <f t="shared" si="80"/>
        <v>2</v>
      </c>
      <c r="Q1690" t="s">
        <v>19</v>
      </c>
    </row>
    <row r="1691" spans="1:17" x14ac:dyDescent="0.3">
      <c r="A1691" t="s">
        <v>2688</v>
      </c>
      <c r="B1691" s="6">
        <v>45011</v>
      </c>
      <c r="C1691" s="6" t="str">
        <f t="shared" si="78"/>
        <v>Mar</v>
      </c>
      <c r="D1691" t="s">
        <v>262</v>
      </c>
      <c r="E1691" t="s">
        <v>50</v>
      </c>
      <c r="F1691" t="s">
        <v>292</v>
      </c>
      <c r="G1691">
        <v>6</v>
      </c>
      <c r="H1691" s="7">
        <v>379.49</v>
      </c>
      <c r="I1691" t="s">
        <v>32</v>
      </c>
      <c r="J1691" t="s">
        <v>72</v>
      </c>
      <c r="K1691">
        <v>15</v>
      </c>
      <c r="L1691" s="7">
        <f t="shared" si="79"/>
        <v>2276.94</v>
      </c>
      <c r="M1691" s="7"/>
      <c r="O1691">
        <f t="shared" si="80"/>
        <v>2</v>
      </c>
      <c r="Q1691" t="s">
        <v>33</v>
      </c>
    </row>
    <row r="1692" spans="1:17" x14ac:dyDescent="0.3">
      <c r="A1692" t="s">
        <v>2689</v>
      </c>
      <c r="B1692" s="6">
        <v>45004</v>
      </c>
      <c r="C1692" s="6" t="str">
        <f t="shared" si="78"/>
        <v>Mar</v>
      </c>
      <c r="D1692" t="s">
        <v>868</v>
      </c>
      <c r="E1692" t="s">
        <v>62</v>
      </c>
      <c r="F1692" t="s">
        <v>190</v>
      </c>
      <c r="G1692">
        <v>3</v>
      </c>
      <c r="H1692" s="7">
        <v>52.15</v>
      </c>
      <c r="I1692" t="s">
        <v>32</v>
      </c>
      <c r="J1692" t="s">
        <v>42</v>
      </c>
      <c r="K1692">
        <v>0</v>
      </c>
      <c r="L1692" s="7">
        <f t="shared" si="79"/>
        <v>156.44999999999999</v>
      </c>
      <c r="M1692" s="7"/>
      <c r="O1692">
        <f t="shared" si="80"/>
        <v>2</v>
      </c>
      <c r="Q1692" t="s">
        <v>33</v>
      </c>
    </row>
    <row r="1693" spans="1:17" x14ac:dyDescent="0.3">
      <c r="A1693" t="s">
        <v>2690</v>
      </c>
      <c r="B1693" s="6">
        <v>45122</v>
      </c>
      <c r="C1693" s="6" t="str">
        <f t="shared" si="78"/>
        <v>Jul</v>
      </c>
      <c r="D1693" t="s">
        <v>2691</v>
      </c>
      <c r="E1693" t="s">
        <v>31</v>
      </c>
      <c r="F1693" t="s">
        <v>1693</v>
      </c>
      <c r="G1693">
        <v>5</v>
      </c>
      <c r="H1693" s="7">
        <v>18.600000000000001</v>
      </c>
      <c r="I1693" t="s">
        <v>103</v>
      </c>
      <c r="J1693" t="s">
        <v>28</v>
      </c>
      <c r="K1693">
        <v>20</v>
      </c>
      <c r="L1693" s="7">
        <f t="shared" si="79"/>
        <v>93</v>
      </c>
      <c r="M1693" s="7"/>
      <c r="O1693">
        <f t="shared" si="80"/>
        <v>2</v>
      </c>
      <c r="Q1693" t="s">
        <v>104</v>
      </c>
    </row>
    <row r="1694" spans="1:17" x14ac:dyDescent="0.3">
      <c r="A1694" t="s">
        <v>2692</v>
      </c>
      <c r="B1694" s="6">
        <v>45133</v>
      </c>
      <c r="C1694" s="6" t="str">
        <f t="shared" si="78"/>
        <v>Jul</v>
      </c>
      <c r="D1694" t="s">
        <v>904</v>
      </c>
      <c r="E1694" t="s">
        <v>19</v>
      </c>
      <c r="F1694" t="s">
        <v>198</v>
      </c>
      <c r="G1694">
        <v>2</v>
      </c>
      <c r="H1694" s="7">
        <v>204.79</v>
      </c>
      <c r="I1694" t="s">
        <v>32</v>
      </c>
      <c r="J1694" t="s">
        <v>72</v>
      </c>
      <c r="K1694">
        <v>10</v>
      </c>
      <c r="L1694" s="7">
        <f t="shared" si="79"/>
        <v>409.58</v>
      </c>
      <c r="M1694" s="7"/>
      <c r="O1694">
        <f t="shared" si="80"/>
        <v>2</v>
      </c>
      <c r="Q1694" t="s">
        <v>33</v>
      </c>
    </row>
    <row r="1695" spans="1:17" x14ac:dyDescent="0.3">
      <c r="A1695" t="s">
        <v>2693</v>
      </c>
      <c r="B1695" s="6">
        <v>45098</v>
      </c>
      <c r="C1695" s="6" t="str">
        <f t="shared" si="78"/>
        <v>Jun</v>
      </c>
      <c r="D1695" t="s">
        <v>56</v>
      </c>
      <c r="E1695" t="s">
        <v>19</v>
      </c>
      <c r="F1695" t="s">
        <v>909</v>
      </c>
      <c r="G1695">
        <v>9</v>
      </c>
      <c r="H1695" s="7">
        <v>496.82</v>
      </c>
      <c r="I1695" t="s">
        <v>64</v>
      </c>
      <c r="J1695" t="s">
        <v>19</v>
      </c>
      <c r="K1695">
        <v>10</v>
      </c>
      <c r="L1695" s="7">
        <f t="shared" si="79"/>
        <v>4471.38</v>
      </c>
      <c r="M1695" s="7"/>
      <c r="O1695">
        <f t="shared" si="80"/>
        <v>5</v>
      </c>
      <c r="Q1695" t="s">
        <v>65</v>
      </c>
    </row>
    <row r="1696" spans="1:17" x14ac:dyDescent="0.3">
      <c r="A1696" t="s">
        <v>2694</v>
      </c>
      <c r="B1696" s="6">
        <v>45155</v>
      </c>
      <c r="C1696" s="6" t="str">
        <f t="shared" si="78"/>
        <v>Aug</v>
      </c>
      <c r="D1696" t="s">
        <v>1492</v>
      </c>
      <c r="E1696" t="s">
        <v>40</v>
      </c>
      <c r="F1696" t="s">
        <v>713</v>
      </c>
      <c r="G1696">
        <v>3</v>
      </c>
      <c r="H1696" s="7">
        <v>91.57</v>
      </c>
      <c r="I1696" t="s">
        <v>103</v>
      </c>
      <c r="J1696" t="s">
        <v>42</v>
      </c>
      <c r="K1696">
        <v>15</v>
      </c>
      <c r="L1696" s="7">
        <f t="shared" si="79"/>
        <v>274.70999999999998</v>
      </c>
      <c r="M1696" s="7"/>
      <c r="O1696">
        <f t="shared" si="80"/>
        <v>2</v>
      </c>
      <c r="Q1696" t="s">
        <v>104</v>
      </c>
    </row>
    <row r="1697" spans="1:17" x14ac:dyDescent="0.3">
      <c r="A1697" t="s">
        <v>2695</v>
      </c>
      <c r="B1697" s="6">
        <v>45055</v>
      </c>
      <c r="C1697" s="6" t="str">
        <f t="shared" si="78"/>
        <v>May</v>
      </c>
      <c r="D1697" t="s">
        <v>1163</v>
      </c>
      <c r="E1697" t="s">
        <v>36</v>
      </c>
      <c r="F1697" t="s">
        <v>538</v>
      </c>
      <c r="G1697">
        <v>5</v>
      </c>
      <c r="H1697" s="7">
        <v>337.96</v>
      </c>
      <c r="I1697" t="s">
        <v>46</v>
      </c>
      <c r="J1697" t="s">
        <v>42</v>
      </c>
      <c r="K1697">
        <v>10</v>
      </c>
      <c r="L1697" s="7">
        <f t="shared" si="79"/>
        <v>1689.8</v>
      </c>
      <c r="M1697" s="7"/>
      <c r="O1697">
        <f t="shared" si="80"/>
        <v>2</v>
      </c>
      <c r="Q1697" t="s">
        <v>47</v>
      </c>
    </row>
    <row r="1698" spans="1:17" x14ac:dyDescent="0.3">
      <c r="A1698" t="s">
        <v>2696</v>
      </c>
      <c r="B1698" s="6">
        <v>45212</v>
      </c>
      <c r="C1698" s="6" t="str">
        <f t="shared" si="78"/>
        <v>Oct</v>
      </c>
      <c r="D1698" t="s">
        <v>1772</v>
      </c>
      <c r="E1698" t="s">
        <v>40</v>
      </c>
      <c r="F1698" t="s">
        <v>1461</v>
      </c>
      <c r="G1698">
        <v>8</v>
      </c>
      <c r="H1698" s="7">
        <v>90.83</v>
      </c>
      <c r="I1698" t="s">
        <v>32</v>
      </c>
      <c r="J1698" t="s">
        <v>22</v>
      </c>
      <c r="K1698">
        <v>10</v>
      </c>
      <c r="L1698" s="7">
        <f t="shared" si="79"/>
        <v>726.64</v>
      </c>
      <c r="M1698" s="7"/>
      <c r="O1698">
        <f t="shared" si="80"/>
        <v>2</v>
      </c>
      <c r="Q1698" t="s">
        <v>33</v>
      </c>
    </row>
    <row r="1699" spans="1:17" x14ac:dyDescent="0.3">
      <c r="A1699" t="s">
        <v>2697</v>
      </c>
      <c r="B1699" s="6">
        <v>45286</v>
      </c>
      <c r="C1699" s="6" t="str">
        <f t="shared" si="78"/>
        <v>Dec</v>
      </c>
      <c r="D1699" t="s">
        <v>958</v>
      </c>
      <c r="E1699" t="s">
        <v>19</v>
      </c>
      <c r="F1699" t="s">
        <v>125</v>
      </c>
      <c r="G1699">
        <v>2</v>
      </c>
      <c r="H1699" s="7">
        <v>363.77</v>
      </c>
      <c r="I1699" t="s">
        <v>21</v>
      </c>
      <c r="J1699" t="s">
        <v>42</v>
      </c>
      <c r="K1699">
        <v>15</v>
      </c>
      <c r="L1699" s="7">
        <f t="shared" si="79"/>
        <v>727.54</v>
      </c>
      <c r="M1699" s="7"/>
      <c r="O1699">
        <f t="shared" si="80"/>
        <v>2</v>
      </c>
      <c r="Q1699" t="s">
        <v>23</v>
      </c>
    </row>
    <row r="1700" spans="1:17" x14ac:dyDescent="0.3">
      <c r="A1700" t="s">
        <v>2698</v>
      </c>
      <c r="B1700" s="6">
        <v>45136</v>
      </c>
      <c r="C1700" s="6" t="str">
        <f t="shared" si="78"/>
        <v>Jul</v>
      </c>
      <c r="D1700" t="s">
        <v>1430</v>
      </c>
      <c r="E1700" t="s">
        <v>50</v>
      </c>
      <c r="F1700" t="s">
        <v>1325</v>
      </c>
      <c r="G1700">
        <v>6</v>
      </c>
      <c r="H1700" s="7">
        <v>255.15</v>
      </c>
      <c r="I1700" t="s">
        <v>32</v>
      </c>
      <c r="J1700" t="s">
        <v>19</v>
      </c>
      <c r="K1700">
        <v>10</v>
      </c>
      <c r="L1700" s="7">
        <f t="shared" si="79"/>
        <v>1530.9</v>
      </c>
      <c r="M1700" s="7"/>
      <c r="O1700">
        <f t="shared" si="80"/>
        <v>2</v>
      </c>
      <c r="Q1700" t="s">
        <v>33</v>
      </c>
    </row>
    <row r="1701" spans="1:17" x14ac:dyDescent="0.3">
      <c r="A1701" t="s">
        <v>2699</v>
      </c>
      <c r="B1701" s="6">
        <v>45108</v>
      </c>
      <c r="C1701" s="6" t="str">
        <f t="shared" si="78"/>
        <v>Jul</v>
      </c>
      <c r="D1701" t="s">
        <v>1473</v>
      </c>
      <c r="E1701" t="s">
        <v>36</v>
      </c>
      <c r="F1701" t="s">
        <v>619</v>
      </c>
      <c r="G1701">
        <v>5</v>
      </c>
      <c r="H1701" s="7">
        <v>341.59</v>
      </c>
      <c r="I1701" t="s">
        <v>46</v>
      </c>
      <c r="J1701" t="s">
        <v>28</v>
      </c>
      <c r="K1701">
        <v>20</v>
      </c>
      <c r="L1701" s="7">
        <f t="shared" si="79"/>
        <v>1707.9499999999998</v>
      </c>
      <c r="M1701" s="7"/>
      <c r="O1701">
        <f t="shared" si="80"/>
        <v>2</v>
      </c>
      <c r="Q1701" t="s">
        <v>47</v>
      </c>
    </row>
    <row r="1702" spans="1:17" x14ac:dyDescent="0.3">
      <c r="A1702" t="s">
        <v>2700</v>
      </c>
      <c r="B1702" s="6">
        <v>45100</v>
      </c>
      <c r="C1702" s="6" t="str">
        <f t="shared" si="78"/>
        <v>Jun</v>
      </c>
      <c r="D1702" t="s">
        <v>2701</v>
      </c>
      <c r="E1702" t="s">
        <v>36</v>
      </c>
      <c r="F1702" t="s">
        <v>1325</v>
      </c>
      <c r="G1702">
        <v>9</v>
      </c>
      <c r="H1702" s="7">
        <v>105.42</v>
      </c>
      <c r="I1702" t="s">
        <v>46</v>
      </c>
      <c r="J1702" t="s">
        <v>28</v>
      </c>
      <c r="K1702">
        <v>10</v>
      </c>
      <c r="L1702" s="7">
        <f t="shared" si="79"/>
        <v>948.78</v>
      </c>
      <c r="M1702" s="7"/>
      <c r="O1702">
        <f t="shared" si="80"/>
        <v>2</v>
      </c>
      <c r="Q1702" t="s">
        <v>47</v>
      </c>
    </row>
    <row r="1703" spans="1:17" x14ac:dyDescent="0.3">
      <c r="A1703" t="s">
        <v>2702</v>
      </c>
      <c r="B1703" s="6">
        <v>45079</v>
      </c>
      <c r="C1703" s="6" t="str">
        <f t="shared" si="78"/>
        <v>Jun</v>
      </c>
      <c r="D1703" t="s">
        <v>1346</v>
      </c>
      <c r="E1703" t="s">
        <v>36</v>
      </c>
      <c r="F1703" t="s">
        <v>148</v>
      </c>
      <c r="G1703">
        <v>5</v>
      </c>
      <c r="H1703" s="7">
        <v>374.09</v>
      </c>
      <c r="I1703" t="s">
        <v>32</v>
      </c>
      <c r="J1703" t="s">
        <v>28</v>
      </c>
      <c r="K1703">
        <v>5</v>
      </c>
      <c r="L1703" s="7">
        <f t="shared" si="79"/>
        <v>1870.4499999999998</v>
      </c>
      <c r="M1703" s="7"/>
      <c r="O1703">
        <f t="shared" si="80"/>
        <v>2</v>
      </c>
      <c r="Q1703" t="s">
        <v>33</v>
      </c>
    </row>
    <row r="1704" spans="1:17" x14ac:dyDescent="0.3">
      <c r="A1704" t="s">
        <v>2703</v>
      </c>
      <c r="B1704" s="6">
        <v>45014</v>
      </c>
      <c r="C1704" s="6" t="str">
        <f t="shared" si="78"/>
        <v>Mar</v>
      </c>
      <c r="D1704" t="s">
        <v>35</v>
      </c>
      <c r="E1704" t="s">
        <v>31</v>
      </c>
      <c r="F1704" t="s">
        <v>54</v>
      </c>
      <c r="G1704">
        <v>2</v>
      </c>
      <c r="H1704" s="7">
        <v>497.83</v>
      </c>
      <c r="I1704" t="s">
        <v>19</v>
      </c>
      <c r="J1704" t="s">
        <v>19</v>
      </c>
      <c r="K1704">
        <v>0</v>
      </c>
      <c r="L1704" s="7">
        <f t="shared" si="79"/>
        <v>995.66</v>
      </c>
      <c r="M1704" s="7"/>
      <c r="O1704">
        <f t="shared" si="80"/>
        <v>2</v>
      </c>
      <c r="Q1704" t="s">
        <v>19</v>
      </c>
    </row>
    <row r="1705" spans="1:17" x14ac:dyDescent="0.3">
      <c r="A1705" t="s">
        <v>2704</v>
      </c>
      <c r="B1705" s="6">
        <v>45167</v>
      </c>
      <c r="C1705" s="6" t="str">
        <f t="shared" si="78"/>
        <v>Aug</v>
      </c>
      <c r="D1705" t="s">
        <v>2671</v>
      </c>
      <c r="E1705" t="s">
        <v>50</v>
      </c>
      <c r="F1705" t="s">
        <v>359</v>
      </c>
      <c r="G1705">
        <v>5</v>
      </c>
      <c r="H1705" s="7">
        <v>334.5</v>
      </c>
      <c r="I1705" t="s">
        <v>19</v>
      </c>
      <c r="J1705" t="s">
        <v>87</v>
      </c>
      <c r="K1705">
        <v>0</v>
      </c>
      <c r="L1705" s="7">
        <f t="shared" si="79"/>
        <v>1672.5</v>
      </c>
      <c r="M1705" s="7"/>
      <c r="O1705">
        <f t="shared" si="80"/>
        <v>2</v>
      </c>
      <c r="Q1705" t="s">
        <v>19</v>
      </c>
    </row>
    <row r="1706" spans="1:17" x14ac:dyDescent="0.3">
      <c r="A1706" t="s">
        <v>2705</v>
      </c>
      <c r="B1706" s="6">
        <v>45009</v>
      </c>
      <c r="C1706" s="6" t="str">
        <f t="shared" si="78"/>
        <v>Mar</v>
      </c>
      <c r="D1706" t="s">
        <v>2277</v>
      </c>
      <c r="E1706" t="s">
        <v>19</v>
      </c>
      <c r="F1706" t="s">
        <v>420</v>
      </c>
      <c r="G1706">
        <v>4</v>
      </c>
      <c r="H1706" s="7">
        <v>249.27</v>
      </c>
      <c r="I1706" t="s">
        <v>21</v>
      </c>
      <c r="J1706" t="s">
        <v>72</v>
      </c>
      <c r="K1706">
        <v>10</v>
      </c>
      <c r="L1706" s="7">
        <f t="shared" si="79"/>
        <v>997.08</v>
      </c>
      <c r="M1706" s="7"/>
      <c r="O1706">
        <f t="shared" si="80"/>
        <v>2</v>
      </c>
      <c r="Q1706" t="s">
        <v>23</v>
      </c>
    </row>
    <row r="1707" spans="1:17" x14ac:dyDescent="0.3">
      <c r="A1707" t="s">
        <v>2706</v>
      </c>
      <c r="B1707" s="6">
        <v>44961</v>
      </c>
      <c r="C1707" s="6" t="str">
        <f t="shared" si="78"/>
        <v>Feb</v>
      </c>
      <c r="D1707" t="s">
        <v>365</v>
      </c>
      <c r="E1707" t="s">
        <v>40</v>
      </c>
      <c r="F1707" t="s">
        <v>63</v>
      </c>
      <c r="G1707">
        <v>7</v>
      </c>
      <c r="H1707" s="7">
        <v>461.97</v>
      </c>
      <c r="I1707" t="s">
        <v>103</v>
      </c>
      <c r="J1707" t="s">
        <v>72</v>
      </c>
      <c r="K1707">
        <v>20</v>
      </c>
      <c r="L1707" s="7">
        <f t="shared" si="79"/>
        <v>3233.79</v>
      </c>
      <c r="M1707" s="7"/>
      <c r="O1707">
        <f t="shared" si="80"/>
        <v>4</v>
      </c>
      <c r="Q1707" t="s">
        <v>104</v>
      </c>
    </row>
    <row r="1708" spans="1:17" x14ac:dyDescent="0.3">
      <c r="A1708" t="s">
        <v>2707</v>
      </c>
      <c r="B1708" s="6">
        <v>45266</v>
      </c>
      <c r="C1708" s="6" t="str">
        <f t="shared" si="78"/>
        <v>Dec</v>
      </c>
      <c r="D1708" t="s">
        <v>150</v>
      </c>
      <c r="E1708" t="s">
        <v>26</v>
      </c>
      <c r="F1708" t="s">
        <v>1282</v>
      </c>
      <c r="G1708">
        <v>6</v>
      </c>
      <c r="H1708" s="7">
        <v>12.85</v>
      </c>
      <c r="I1708" t="s">
        <v>103</v>
      </c>
      <c r="J1708" t="s">
        <v>22</v>
      </c>
      <c r="K1708">
        <v>10</v>
      </c>
      <c r="L1708" s="7">
        <f t="shared" si="79"/>
        <v>77.099999999999994</v>
      </c>
      <c r="M1708" s="7"/>
      <c r="O1708">
        <f t="shared" si="80"/>
        <v>2</v>
      </c>
      <c r="Q1708" t="s">
        <v>104</v>
      </c>
    </row>
    <row r="1709" spans="1:17" x14ac:dyDescent="0.3">
      <c r="A1709" t="s">
        <v>2708</v>
      </c>
      <c r="B1709" s="6">
        <v>44967</v>
      </c>
      <c r="C1709" s="6" t="str">
        <f t="shared" si="78"/>
        <v>Feb</v>
      </c>
      <c r="D1709" t="s">
        <v>1315</v>
      </c>
      <c r="E1709" t="s">
        <v>19</v>
      </c>
      <c r="F1709" t="s">
        <v>499</v>
      </c>
      <c r="G1709">
        <v>2</v>
      </c>
      <c r="H1709" s="7">
        <v>366.31</v>
      </c>
      <c r="I1709" t="s">
        <v>19</v>
      </c>
      <c r="J1709" t="s">
        <v>22</v>
      </c>
      <c r="K1709">
        <v>10</v>
      </c>
      <c r="L1709" s="7">
        <f t="shared" si="79"/>
        <v>732.62</v>
      </c>
      <c r="M1709" s="7"/>
      <c r="O1709">
        <f t="shared" si="80"/>
        <v>2</v>
      </c>
      <c r="Q1709" t="s">
        <v>19</v>
      </c>
    </row>
    <row r="1710" spans="1:17" x14ac:dyDescent="0.3">
      <c r="A1710" t="s">
        <v>2709</v>
      </c>
      <c r="B1710" s="6">
        <v>45103</v>
      </c>
      <c r="C1710" s="6" t="str">
        <f t="shared" si="78"/>
        <v>Jun</v>
      </c>
      <c r="D1710" t="s">
        <v>912</v>
      </c>
      <c r="E1710" t="s">
        <v>62</v>
      </c>
      <c r="F1710" t="s">
        <v>403</v>
      </c>
      <c r="G1710">
        <v>5</v>
      </c>
      <c r="H1710" s="7">
        <v>444.93</v>
      </c>
      <c r="I1710" t="s">
        <v>19</v>
      </c>
      <c r="J1710" t="s">
        <v>87</v>
      </c>
      <c r="K1710">
        <v>15</v>
      </c>
      <c r="L1710" s="7">
        <f t="shared" si="79"/>
        <v>2224.65</v>
      </c>
      <c r="M1710" s="7"/>
      <c r="O1710">
        <f t="shared" si="80"/>
        <v>2</v>
      </c>
      <c r="Q1710" t="s">
        <v>19</v>
      </c>
    </row>
    <row r="1711" spans="1:17" x14ac:dyDescent="0.3">
      <c r="A1711" t="s">
        <v>2710</v>
      </c>
      <c r="B1711" s="6">
        <v>45153</v>
      </c>
      <c r="C1711" s="6" t="str">
        <f t="shared" si="78"/>
        <v>Aug</v>
      </c>
      <c r="D1711" t="s">
        <v>1995</v>
      </c>
      <c r="E1711" t="s">
        <v>19</v>
      </c>
      <c r="F1711" t="s">
        <v>284</v>
      </c>
      <c r="G1711">
        <v>7</v>
      </c>
      <c r="H1711" s="7">
        <v>35.53</v>
      </c>
      <c r="I1711" t="s">
        <v>19</v>
      </c>
      <c r="J1711" t="s">
        <v>22</v>
      </c>
      <c r="K1711">
        <v>10</v>
      </c>
      <c r="L1711" s="7">
        <f t="shared" si="79"/>
        <v>248.71</v>
      </c>
      <c r="M1711" s="7"/>
      <c r="O1711">
        <f t="shared" si="80"/>
        <v>2</v>
      </c>
      <c r="Q1711" t="s">
        <v>19</v>
      </c>
    </row>
    <row r="1712" spans="1:17" x14ac:dyDescent="0.3">
      <c r="A1712" t="s">
        <v>2711</v>
      </c>
      <c r="B1712" s="6">
        <v>45194</v>
      </c>
      <c r="C1712" s="6" t="str">
        <f t="shared" si="78"/>
        <v>Sep</v>
      </c>
      <c r="D1712" t="s">
        <v>2712</v>
      </c>
      <c r="E1712" t="s">
        <v>26</v>
      </c>
      <c r="F1712" t="s">
        <v>1038</v>
      </c>
      <c r="G1712">
        <v>7</v>
      </c>
      <c r="H1712" s="7">
        <v>227.78</v>
      </c>
      <c r="I1712" t="s">
        <v>46</v>
      </c>
      <c r="J1712" t="s">
        <v>72</v>
      </c>
      <c r="K1712">
        <v>15</v>
      </c>
      <c r="L1712" s="7">
        <f t="shared" si="79"/>
        <v>1594.46</v>
      </c>
      <c r="M1712" s="7"/>
      <c r="O1712">
        <f t="shared" si="80"/>
        <v>2</v>
      </c>
      <c r="Q1712" t="s">
        <v>47</v>
      </c>
    </row>
    <row r="1713" spans="1:17" x14ac:dyDescent="0.3">
      <c r="A1713" t="s">
        <v>2713</v>
      </c>
      <c r="B1713" s="6">
        <v>45135</v>
      </c>
      <c r="C1713" s="6" t="str">
        <f t="shared" si="78"/>
        <v>Jul</v>
      </c>
      <c r="D1713" t="s">
        <v>1179</v>
      </c>
      <c r="E1713" t="s">
        <v>31</v>
      </c>
      <c r="F1713" t="s">
        <v>2185</v>
      </c>
      <c r="G1713">
        <v>5</v>
      </c>
      <c r="H1713" s="7">
        <v>106.34</v>
      </c>
      <c r="I1713" t="s">
        <v>19</v>
      </c>
      <c r="J1713" t="s">
        <v>42</v>
      </c>
      <c r="K1713">
        <v>15</v>
      </c>
      <c r="L1713" s="7">
        <f t="shared" si="79"/>
        <v>531.70000000000005</v>
      </c>
      <c r="M1713" s="7"/>
      <c r="O1713">
        <f t="shared" si="80"/>
        <v>2</v>
      </c>
      <c r="Q1713" t="s">
        <v>19</v>
      </c>
    </row>
    <row r="1714" spans="1:17" x14ac:dyDescent="0.3">
      <c r="A1714" t="s">
        <v>2714</v>
      </c>
      <c r="B1714" s="6">
        <v>45180</v>
      </c>
      <c r="C1714" s="6" t="str">
        <f t="shared" si="78"/>
        <v>Sep</v>
      </c>
      <c r="D1714" t="s">
        <v>751</v>
      </c>
      <c r="E1714" t="s">
        <v>26</v>
      </c>
      <c r="F1714" t="s">
        <v>27</v>
      </c>
      <c r="G1714">
        <v>9</v>
      </c>
      <c r="H1714" s="7">
        <v>285.43</v>
      </c>
      <c r="I1714" t="s">
        <v>46</v>
      </c>
      <c r="J1714" t="s">
        <v>22</v>
      </c>
      <c r="K1714">
        <v>5</v>
      </c>
      <c r="L1714" s="7">
        <f t="shared" si="79"/>
        <v>2568.87</v>
      </c>
      <c r="M1714" s="7"/>
      <c r="O1714">
        <f t="shared" si="80"/>
        <v>3</v>
      </c>
      <c r="Q1714" t="s">
        <v>47</v>
      </c>
    </row>
    <row r="1715" spans="1:17" x14ac:dyDescent="0.3">
      <c r="A1715" t="s">
        <v>2715</v>
      </c>
      <c r="B1715" s="6">
        <v>45138</v>
      </c>
      <c r="C1715" s="6" t="str">
        <f t="shared" si="78"/>
        <v>Jul</v>
      </c>
      <c r="D1715" t="s">
        <v>858</v>
      </c>
      <c r="E1715" t="s">
        <v>19</v>
      </c>
      <c r="F1715" t="s">
        <v>157</v>
      </c>
      <c r="G1715">
        <v>4</v>
      </c>
      <c r="H1715" s="7">
        <v>326.52</v>
      </c>
      <c r="I1715" t="s">
        <v>19</v>
      </c>
      <c r="J1715" t="s">
        <v>22</v>
      </c>
      <c r="K1715">
        <v>5</v>
      </c>
      <c r="L1715" s="7">
        <f t="shared" si="79"/>
        <v>1306.08</v>
      </c>
      <c r="M1715" s="7"/>
      <c r="O1715">
        <f t="shared" si="80"/>
        <v>2</v>
      </c>
      <c r="Q1715" t="s">
        <v>19</v>
      </c>
    </row>
    <row r="1716" spans="1:17" x14ac:dyDescent="0.3">
      <c r="A1716" t="s">
        <v>2716</v>
      </c>
      <c r="B1716" s="6">
        <v>44988</v>
      </c>
      <c r="C1716" s="6" t="str">
        <f t="shared" si="78"/>
        <v>Mar</v>
      </c>
      <c r="D1716" t="s">
        <v>2717</v>
      </c>
      <c r="E1716" t="s">
        <v>62</v>
      </c>
      <c r="F1716" t="s">
        <v>278</v>
      </c>
      <c r="G1716">
        <v>5</v>
      </c>
      <c r="H1716" s="7">
        <v>154.80000000000001</v>
      </c>
      <c r="I1716" t="s">
        <v>46</v>
      </c>
      <c r="J1716" t="s">
        <v>28</v>
      </c>
      <c r="K1716">
        <v>15</v>
      </c>
      <c r="L1716" s="7">
        <f t="shared" si="79"/>
        <v>774</v>
      </c>
      <c r="M1716" s="7"/>
      <c r="O1716">
        <f t="shared" si="80"/>
        <v>2</v>
      </c>
      <c r="Q1716" t="s">
        <v>47</v>
      </c>
    </row>
    <row r="1717" spans="1:17" x14ac:dyDescent="0.3">
      <c r="A1717" t="s">
        <v>2718</v>
      </c>
      <c r="B1717" s="6">
        <v>45041</v>
      </c>
      <c r="C1717" s="6" t="str">
        <f t="shared" si="78"/>
        <v>Apr</v>
      </c>
      <c r="D1717" t="s">
        <v>846</v>
      </c>
      <c r="E1717" t="s">
        <v>19</v>
      </c>
      <c r="F1717" t="s">
        <v>350</v>
      </c>
      <c r="G1717">
        <v>4</v>
      </c>
      <c r="H1717" s="7">
        <v>232.69</v>
      </c>
      <c r="I1717" t="s">
        <v>32</v>
      </c>
      <c r="J1717" t="s">
        <v>22</v>
      </c>
      <c r="K1717">
        <v>20</v>
      </c>
      <c r="L1717" s="7">
        <f t="shared" si="79"/>
        <v>930.76</v>
      </c>
      <c r="M1717" s="7"/>
      <c r="O1717">
        <f t="shared" si="80"/>
        <v>2</v>
      </c>
      <c r="Q1717" t="s">
        <v>33</v>
      </c>
    </row>
    <row r="1718" spans="1:17" x14ac:dyDescent="0.3">
      <c r="A1718" t="s">
        <v>2719</v>
      </c>
      <c r="B1718" s="6">
        <v>44991</v>
      </c>
      <c r="C1718" s="6" t="str">
        <f t="shared" si="78"/>
        <v>Mar</v>
      </c>
      <c r="D1718" t="s">
        <v>563</v>
      </c>
      <c r="E1718" t="s">
        <v>36</v>
      </c>
      <c r="F1718" t="s">
        <v>369</v>
      </c>
      <c r="G1718">
        <v>5</v>
      </c>
      <c r="H1718" s="7">
        <v>143.27000000000001</v>
      </c>
      <c r="I1718" t="s">
        <v>19</v>
      </c>
      <c r="J1718" t="s">
        <v>87</v>
      </c>
      <c r="K1718">
        <v>5</v>
      </c>
      <c r="L1718" s="7">
        <f t="shared" si="79"/>
        <v>716.35</v>
      </c>
      <c r="M1718" s="7"/>
      <c r="O1718">
        <f t="shared" si="80"/>
        <v>2</v>
      </c>
      <c r="Q1718" t="s">
        <v>19</v>
      </c>
    </row>
    <row r="1719" spans="1:17" x14ac:dyDescent="0.3">
      <c r="A1719" t="s">
        <v>2720</v>
      </c>
      <c r="B1719" s="6">
        <v>45287</v>
      </c>
      <c r="C1719" s="6" t="str">
        <f t="shared" si="78"/>
        <v>Dec</v>
      </c>
      <c r="D1719" t="s">
        <v>1042</v>
      </c>
      <c r="E1719" t="s">
        <v>19</v>
      </c>
      <c r="F1719" t="s">
        <v>789</v>
      </c>
      <c r="G1719">
        <v>6</v>
      </c>
      <c r="H1719" s="7">
        <v>187.85</v>
      </c>
      <c r="I1719" t="s">
        <v>103</v>
      </c>
      <c r="J1719" t="s">
        <v>72</v>
      </c>
      <c r="K1719">
        <v>5</v>
      </c>
      <c r="L1719" s="7">
        <f t="shared" si="79"/>
        <v>1127.0999999999999</v>
      </c>
      <c r="M1719" s="7"/>
      <c r="O1719">
        <f t="shared" si="80"/>
        <v>2</v>
      </c>
      <c r="Q1719" t="s">
        <v>104</v>
      </c>
    </row>
    <row r="1720" spans="1:17" x14ac:dyDescent="0.3">
      <c r="A1720" t="s">
        <v>2721</v>
      </c>
      <c r="B1720" s="6">
        <v>45242</v>
      </c>
      <c r="C1720" s="6" t="str">
        <f t="shared" si="78"/>
        <v>Nov</v>
      </c>
      <c r="D1720" t="s">
        <v>846</v>
      </c>
      <c r="E1720" t="s">
        <v>19</v>
      </c>
      <c r="F1720" t="s">
        <v>63</v>
      </c>
      <c r="G1720">
        <v>3</v>
      </c>
      <c r="H1720" s="7">
        <v>83.97</v>
      </c>
      <c r="I1720" t="s">
        <v>32</v>
      </c>
      <c r="J1720" t="s">
        <v>19</v>
      </c>
      <c r="K1720">
        <v>0</v>
      </c>
      <c r="L1720" s="7">
        <f t="shared" si="79"/>
        <v>251.91</v>
      </c>
      <c r="M1720" s="7"/>
      <c r="O1720">
        <f t="shared" si="80"/>
        <v>2</v>
      </c>
      <c r="Q1720" t="s">
        <v>33</v>
      </c>
    </row>
    <row r="1721" spans="1:17" x14ac:dyDescent="0.3">
      <c r="A1721" t="s">
        <v>2722</v>
      </c>
      <c r="B1721" s="6">
        <v>45145</v>
      </c>
      <c r="C1721" s="6" t="str">
        <f t="shared" si="78"/>
        <v>Aug</v>
      </c>
      <c r="D1721" t="s">
        <v>926</v>
      </c>
      <c r="E1721" t="s">
        <v>36</v>
      </c>
      <c r="F1721" t="s">
        <v>2185</v>
      </c>
      <c r="G1721">
        <v>2</v>
      </c>
      <c r="H1721" s="7">
        <v>443.35</v>
      </c>
      <c r="I1721" t="s">
        <v>103</v>
      </c>
      <c r="J1721" t="s">
        <v>42</v>
      </c>
      <c r="K1721">
        <v>10</v>
      </c>
      <c r="L1721" s="7">
        <f t="shared" si="79"/>
        <v>886.7</v>
      </c>
      <c r="M1721" s="7"/>
      <c r="O1721">
        <f t="shared" si="80"/>
        <v>2</v>
      </c>
      <c r="Q1721" t="s">
        <v>104</v>
      </c>
    </row>
    <row r="1722" spans="1:17" x14ac:dyDescent="0.3">
      <c r="A1722" t="s">
        <v>2723</v>
      </c>
      <c r="B1722" s="6">
        <v>44948</v>
      </c>
      <c r="C1722" s="6" t="str">
        <f t="shared" si="78"/>
        <v>Jan</v>
      </c>
      <c r="D1722" t="s">
        <v>721</v>
      </c>
      <c r="E1722" t="s">
        <v>31</v>
      </c>
      <c r="F1722" t="s">
        <v>45</v>
      </c>
      <c r="G1722">
        <v>4</v>
      </c>
      <c r="H1722" s="7">
        <v>9.9600000000000009</v>
      </c>
      <c r="I1722" t="s">
        <v>21</v>
      </c>
      <c r="J1722" t="s">
        <v>42</v>
      </c>
      <c r="K1722">
        <v>0</v>
      </c>
      <c r="L1722" s="7">
        <f t="shared" si="79"/>
        <v>39.840000000000003</v>
      </c>
      <c r="M1722" s="7"/>
      <c r="O1722">
        <f t="shared" si="80"/>
        <v>2</v>
      </c>
      <c r="Q1722" t="s">
        <v>23</v>
      </c>
    </row>
    <row r="1723" spans="1:17" x14ac:dyDescent="0.3">
      <c r="A1723" t="s">
        <v>2724</v>
      </c>
      <c r="B1723" s="6">
        <v>45246</v>
      </c>
      <c r="C1723" s="6" t="str">
        <f t="shared" si="78"/>
        <v>Nov</v>
      </c>
      <c r="D1723" t="s">
        <v>2621</v>
      </c>
      <c r="E1723" t="s">
        <v>19</v>
      </c>
      <c r="F1723" t="s">
        <v>415</v>
      </c>
      <c r="G1723">
        <v>5</v>
      </c>
      <c r="H1723" s="7">
        <v>441.79</v>
      </c>
      <c r="I1723" t="s">
        <v>19</v>
      </c>
      <c r="J1723" t="s">
        <v>28</v>
      </c>
      <c r="K1723">
        <v>20</v>
      </c>
      <c r="L1723" s="7">
        <f t="shared" si="79"/>
        <v>2208.9500000000003</v>
      </c>
      <c r="M1723" s="7"/>
      <c r="O1723">
        <f t="shared" si="80"/>
        <v>2</v>
      </c>
      <c r="Q1723" t="s">
        <v>19</v>
      </c>
    </row>
    <row r="1724" spans="1:17" x14ac:dyDescent="0.3">
      <c r="A1724" t="s">
        <v>2725</v>
      </c>
      <c r="B1724" s="6">
        <v>45158</v>
      </c>
      <c r="C1724" s="6" t="str">
        <f t="shared" si="78"/>
        <v>Aug</v>
      </c>
      <c r="D1724" t="s">
        <v>2726</v>
      </c>
      <c r="E1724" t="s">
        <v>62</v>
      </c>
      <c r="F1724" t="s">
        <v>246</v>
      </c>
      <c r="G1724">
        <v>4</v>
      </c>
      <c r="H1724" s="7">
        <v>287.98</v>
      </c>
      <c r="I1724" t="s">
        <v>19</v>
      </c>
      <c r="J1724" t="s">
        <v>28</v>
      </c>
      <c r="K1724">
        <v>5</v>
      </c>
      <c r="L1724" s="7">
        <f t="shared" si="79"/>
        <v>1151.92</v>
      </c>
      <c r="M1724" s="7"/>
      <c r="O1724">
        <f t="shared" si="80"/>
        <v>2</v>
      </c>
      <c r="Q1724" t="s">
        <v>19</v>
      </c>
    </row>
    <row r="1725" spans="1:17" x14ac:dyDescent="0.3">
      <c r="A1725" t="s">
        <v>2727</v>
      </c>
      <c r="B1725" s="6">
        <v>44980</v>
      </c>
      <c r="C1725" s="6" t="str">
        <f t="shared" si="78"/>
        <v>Feb</v>
      </c>
      <c r="D1725" t="s">
        <v>1408</v>
      </c>
      <c r="E1725" t="s">
        <v>19</v>
      </c>
      <c r="F1725" t="s">
        <v>234</v>
      </c>
      <c r="G1725">
        <v>3</v>
      </c>
      <c r="H1725" s="7">
        <v>169.17</v>
      </c>
      <c r="I1725" t="s">
        <v>32</v>
      </c>
      <c r="J1725" t="s">
        <v>22</v>
      </c>
      <c r="K1725">
        <v>5</v>
      </c>
      <c r="L1725" s="7">
        <f t="shared" si="79"/>
        <v>507.51</v>
      </c>
      <c r="M1725" s="7"/>
      <c r="O1725">
        <f t="shared" si="80"/>
        <v>2</v>
      </c>
      <c r="Q1725" t="s">
        <v>33</v>
      </c>
    </row>
    <row r="1726" spans="1:17" x14ac:dyDescent="0.3">
      <c r="A1726" t="s">
        <v>2728</v>
      </c>
      <c r="B1726" s="6">
        <v>45137</v>
      </c>
      <c r="C1726" s="6" t="str">
        <f t="shared" si="78"/>
        <v>Jul</v>
      </c>
      <c r="D1726" t="s">
        <v>200</v>
      </c>
      <c r="E1726" t="s">
        <v>40</v>
      </c>
      <c r="F1726" t="s">
        <v>270</v>
      </c>
      <c r="G1726">
        <v>8</v>
      </c>
      <c r="H1726" s="7">
        <v>362.91</v>
      </c>
      <c r="I1726" t="s">
        <v>46</v>
      </c>
      <c r="J1726" t="s">
        <v>42</v>
      </c>
      <c r="K1726">
        <v>10</v>
      </c>
      <c r="L1726" s="7">
        <f t="shared" si="79"/>
        <v>2903.28</v>
      </c>
      <c r="M1726" s="7"/>
      <c r="O1726">
        <f t="shared" si="80"/>
        <v>3</v>
      </c>
      <c r="Q1726" t="s">
        <v>47</v>
      </c>
    </row>
    <row r="1727" spans="1:17" x14ac:dyDescent="0.3">
      <c r="A1727" t="s">
        <v>2729</v>
      </c>
      <c r="B1727" s="6">
        <v>45161</v>
      </c>
      <c r="C1727" s="6" t="str">
        <f t="shared" si="78"/>
        <v>Aug</v>
      </c>
      <c r="D1727" t="s">
        <v>548</v>
      </c>
      <c r="E1727" t="s">
        <v>50</v>
      </c>
      <c r="F1727" t="s">
        <v>68</v>
      </c>
      <c r="G1727">
        <v>4</v>
      </c>
      <c r="H1727" s="7">
        <v>256.33999999999997</v>
      </c>
      <c r="I1727" t="s">
        <v>19</v>
      </c>
      <c r="J1727" t="s">
        <v>42</v>
      </c>
      <c r="K1727">
        <v>20</v>
      </c>
      <c r="L1727" s="7">
        <f t="shared" si="79"/>
        <v>1025.3599999999999</v>
      </c>
      <c r="M1727" s="7"/>
      <c r="O1727">
        <f t="shared" si="80"/>
        <v>2</v>
      </c>
      <c r="Q1727" t="s">
        <v>19</v>
      </c>
    </row>
    <row r="1728" spans="1:17" x14ac:dyDescent="0.3">
      <c r="A1728" t="s">
        <v>2730</v>
      </c>
      <c r="B1728" s="6">
        <v>44940</v>
      </c>
      <c r="C1728" s="6" t="str">
        <f t="shared" si="78"/>
        <v>Jan</v>
      </c>
      <c r="D1728" t="s">
        <v>1020</v>
      </c>
      <c r="E1728" t="s">
        <v>31</v>
      </c>
      <c r="F1728" t="s">
        <v>68</v>
      </c>
      <c r="G1728">
        <v>2</v>
      </c>
      <c r="H1728" s="7">
        <v>252.06</v>
      </c>
      <c r="I1728" t="s">
        <v>32</v>
      </c>
      <c r="J1728" t="s">
        <v>72</v>
      </c>
      <c r="K1728">
        <v>10</v>
      </c>
      <c r="L1728" s="7">
        <f t="shared" si="79"/>
        <v>504.12</v>
      </c>
      <c r="M1728" s="7"/>
      <c r="O1728">
        <f t="shared" si="80"/>
        <v>2</v>
      </c>
      <c r="Q1728" t="s">
        <v>33</v>
      </c>
    </row>
    <row r="1729" spans="1:17" x14ac:dyDescent="0.3">
      <c r="A1729" t="s">
        <v>2731</v>
      </c>
      <c r="B1729" s="6">
        <v>45031</v>
      </c>
      <c r="C1729" s="6" t="str">
        <f t="shared" si="78"/>
        <v>Apr</v>
      </c>
      <c r="D1729" t="s">
        <v>2134</v>
      </c>
      <c r="E1729" t="s">
        <v>40</v>
      </c>
      <c r="F1729" t="s">
        <v>20</v>
      </c>
      <c r="G1729">
        <v>2</v>
      </c>
      <c r="H1729" s="7">
        <v>59.52</v>
      </c>
      <c r="I1729" t="s">
        <v>46</v>
      </c>
      <c r="J1729" t="s">
        <v>22</v>
      </c>
      <c r="K1729">
        <v>10</v>
      </c>
      <c r="L1729" s="7">
        <f t="shared" si="79"/>
        <v>119.04</v>
      </c>
      <c r="M1729" s="7"/>
      <c r="O1729">
        <f t="shared" si="80"/>
        <v>2</v>
      </c>
      <c r="Q1729" t="s">
        <v>47</v>
      </c>
    </row>
    <row r="1730" spans="1:17" x14ac:dyDescent="0.3">
      <c r="A1730" t="s">
        <v>2732</v>
      </c>
      <c r="B1730" s="6">
        <v>44933</v>
      </c>
      <c r="C1730" s="6" t="str">
        <f t="shared" si="78"/>
        <v>Jan</v>
      </c>
      <c r="D1730" t="s">
        <v>2569</v>
      </c>
      <c r="E1730" t="s">
        <v>50</v>
      </c>
      <c r="F1730" t="s">
        <v>586</v>
      </c>
      <c r="G1730">
        <v>1</v>
      </c>
      <c r="H1730" s="7">
        <v>197.81</v>
      </c>
      <c r="I1730" t="s">
        <v>46</v>
      </c>
      <c r="J1730" t="s">
        <v>19</v>
      </c>
      <c r="K1730">
        <v>10</v>
      </c>
      <c r="L1730" s="7">
        <f t="shared" si="79"/>
        <v>197.81</v>
      </c>
      <c r="M1730" s="7"/>
      <c r="O1730">
        <f t="shared" si="80"/>
        <v>2</v>
      </c>
      <c r="Q1730" t="s">
        <v>47</v>
      </c>
    </row>
    <row r="1731" spans="1:17" x14ac:dyDescent="0.3">
      <c r="A1731" t="s">
        <v>2733</v>
      </c>
      <c r="B1731" s="6">
        <v>45102</v>
      </c>
      <c r="C1731" s="6" t="str">
        <f t="shared" ref="C1731:C1794" si="81">TEXT(B1731,"MMM")</f>
        <v>Jun</v>
      </c>
      <c r="D1731" t="s">
        <v>241</v>
      </c>
      <c r="E1731" t="s">
        <v>26</v>
      </c>
      <c r="F1731" t="s">
        <v>145</v>
      </c>
      <c r="G1731">
        <v>4</v>
      </c>
      <c r="H1731" s="7">
        <v>124.33</v>
      </c>
      <c r="I1731" t="s">
        <v>103</v>
      </c>
      <c r="J1731" t="s">
        <v>19</v>
      </c>
      <c r="K1731">
        <v>20</v>
      </c>
      <c r="L1731" s="7">
        <f t="shared" ref="L1731:L1794" si="82">G1731*H1731</f>
        <v>497.32</v>
      </c>
      <c r="M1731" s="7"/>
      <c r="O1731">
        <f t="shared" si="80"/>
        <v>2</v>
      </c>
      <c r="Q1731" t="s">
        <v>104</v>
      </c>
    </row>
    <row r="1732" spans="1:17" x14ac:dyDescent="0.3">
      <c r="A1732" t="s">
        <v>2734</v>
      </c>
      <c r="B1732" s="6">
        <v>45167</v>
      </c>
      <c r="C1732" s="6" t="str">
        <f t="shared" si="81"/>
        <v>Aug</v>
      </c>
      <c r="D1732" t="s">
        <v>830</v>
      </c>
      <c r="E1732" t="s">
        <v>26</v>
      </c>
      <c r="F1732" t="s">
        <v>807</v>
      </c>
      <c r="G1732">
        <v>9</v>
      </c>
      <c r="H1732" s="7">
        <v>12.77</v>
      </c>
      <c r="I1732" t="s">
        <v>21</v>
      </c>
      <c r="J1732" t="s">
        <v>87</v>
      </c>
      <c r="K1732">
        <v>10</v>
      </c>
      <c r="L1732" s="7">
        <f t="shared" si="82"/>
        <v>114.92999999999999</v>
      </c>
      <c r="M1732" s="7"/>
      <c r="O1732">
        <f t="shared" ref="O1732:O1795" si="83">IF(L1732&gt;3500,5,IF(L1732&gt;3000,4,IF(L1732&gt;2500,3,IF(L1732&gt;2000,2,IF(L1732&gt;1000,2,2)))))</f>
        <v>2</v>
      </c>
      <c r="Q1732" t="s">
        <v>23</v>
      </c>
    </row>
    <row r="1733" spans="1:17" x14ac:dyDescent="0.3">
      <c r="A1733" t="s">
        <v>2735</v>
      </c>
      <c r="B1733" s="6">
        <v>44965</v>
      </c>
      <c r="C1733" s="6" t="str">
        <f t="shared" si="81"/>
        <v>Feb</v>
      </c>
      <c r="D1733" t="s">
        <v>385</v>
      </c>
      <c r="E1733" t="s">
        <v>31</v>
      </c>
      <c r="F1733" t="s">
        <v>20</v>
      </c>
      <c r="G1733">
        <v>7</v>
      </c>
      <c r="H1733" s="7">
        <v>183.25</v>
      </c>
      <c r="I1733" t="s">
        <v>64</v>
      </c>
      <c r="J1733" t="s">
        <v>42</v>
      </c>
      <c r="K1733">
        <v>10</v>
      </c>
      <c r="L1733" s="7">
        <f t="shared" si="82"/>
        <v>1282.75</v>
      </c>
      <c r="M1733" s="7"/>
      <c r="O1733">
        <f t="shared" si="83"/>
        <v>2</v>
      </c>
      <c r="Q1733" t="s">
        <v>65</v>
      </c>
    </row>
    <row r="1734" spans="1:17" x14ac:dyDescent="0.3">
      <c r="A1734" t="s">
        <v>2736</v>
      </c>
      <c r="B1734" s="6">
        <v>45092</v>
      </c>
      <c r="C1734" s="6" t="str">
        <f t="shared" si="81"/>
        <v>Jun</v>
      </c>
      <c r="D1734" t="s">
        <v>1449</v>
      </c>
      <c r="E1734" t="s">
        <v>19</v>
      </c>
      <c r="F1734" t="s">
        <v>975</v>
      </c>
      <c r="G1734">
        <v>7</v>
      </c>
      <c r="H1734" s="7">
        <v>49.46</v>
      </c>
      <c r="I1734" t="s">
        <v>32</v>
      </c>
      <c r="J1734" t="s">
        <v>19</v>
      </c>
      <c r="K1734">
        <v>0</v>
      </c>
      <c r="L1734" s="7">
        <f t="shared" si="82"/>
        <v>346.22</v>
      </c>
      <c r="M1734" s="7"/>
      <c r="O1734">
        <f t="shared" si="83"/>
        <v>2</v>
      </c>
      <c r="Q1734" t="s">
        <v>33</v>
      </c>
    </row>
    <row r="1735" spans="1:17" x14ac:dyDescent="0.3">
      <c r="A1735" t="s">
        <v>2737</v>
      </c>
      <c r="B1735" s="6">
        <v>45176</v>
      </c>
      <c r="C1735" s="6" t="str">
        <f t="shared" si="81"/>
        <v>Sep</v>
      </c>
      <c r="D1735" t="s">
        <v>2738</v>
      </c>
      <c r="E1735" t="s">
        <v>40</v>
      </c>
      <c r="F1735" t="s">
        <v>406</v>
      </c>
      <c r="G1735">
        <v>7</v>
      </c>
      <c r="H1735" s="7">
        <v>132.13</v>
      </c>
      <c r="I1735" t="s">
        <v>103</v>
      </c>
      <c r="J1735" t="s">
        <v>22</v>
      </c>
      <c r="K1735">
        <v>20</v>
      </c>
      <c r="L1735" s="7">
        <f t="shared" si="82"/>
        <v>924.91</v>
      </c>
      <c r="M1735" s="7"/>
      <c r="O1735">
        <f t="shared" si="83"/>
        <v>2</v>
      </c>
      <c r="Q1735" t="s">
        <v>104</v>
      </c>
    </row>
    <row r="1736" spans="1:17" x14ac:dyDescent="0.3">
      <c r="A1736" t="s">
        <v>2739</v>
      </c>
      <c r="B1736" s="6">
        <v>45137</v>
      </c>
      <c r="C1736" s="6" t="str">
        <f t="shared" si="81"/>
        <v>Jul</v>
      </c>
      <c r="D1736" t="s">
        <v>130</v>
      </c>
      <c r="E1736" t="s">
        <v>62</v>
      </c>
      <c r="F1736" t="s">
        <v>234</v>
      </c>
      <c r="G1736">
        <v>8</v>
      </c>
      <c r="H1736" s="7">
        <v>50.8</v>
      </c>
      <c r="I1736" t="s">
        <v>21</v>
      </c>
      <c r="J1736" t="s">
        <v>19</v>
      </c>
      <c r="K1736">
        <v>20</v>
      </c>
      <c r="L1736" s="7">
        <f t="shared" si="82"/>
        <v>406.4</v>
      </c>
      <c r="M1736" s="7"/>
      <c r="O1736">
        <f t="shared" si="83"/>
        <v>2</v>
      </c>
      <c r="Q1736" t="s">
        <v>23</v>
      </c>
    </row>
    <row r="1737" spans="1:17" x14ac:dyDescent="0.3">
      <c r="A1737" t="s">
        <v>2740</v>
      </c>
      <c r="B1737" s="6">
        <v>45059</v>
      </c>
      <c r="C1737" s="6" t="str">
        <f t="shared" si="81"/>
        <v>May</v>
      </c>
      <c r="D1737" t="s">
        <v>1193</v>
      </c>
      <c r="E1737" t="s">
        <v>19</v>
      </c>
      <c r="F1737" t="s">
        <v>900</v>
      </c>
      <c r="G1737">
        <v>1</v>
      </c>
      <c r="H1737" s="7">
        <v>54.97</v>
      </c>
      <c r="I1737" t="s">
        <v>46</v>
      </c>
      <c r="J1737" t="s">
        <v>87</v>
      </c>
      <c r="K1737">
        <v>10</v>
      </c>
      <c r="L1737" s="7">
        <f t="shared" si="82"/>
        <v>54.97</v>
      </c>
      <c r="M1737" s="7"/>
      <c r="O1737">
        <f t="shared" si="83"/>
        <v>2</v>
      </c>
      <c r="Q1737" t="s">
        <v>47</v>
      </c>
    </row>
    <row r="1738" spans="1:17" x14ac:dyDescent="0.3">
      <c r="A1738" t="s">
        <v>2741</v>
      </c>
      <c r="B1738" s="6">
        <v>44976</v>
      </c>
      <c r="C1738" s="6" t="str">
        <f t="shared" si="81"/>
        <v>Feb</v>
      </c>
      <c r="D1738" t="s">
        <v>947</v>
      </c>
      <c r="E1738" t="s">
        <v>40</v>
      </c>
      <c r="F1738" t="s">
        <v>472</v>
      </c>
      <c r="G1738">
        <v>8</v>
      </c>
      <c r="H1738" s="7">
        <v>103.51</v>
      </c>
      <c r="I1738" t="s">
        <v>103</v>
      </c>
      <c r="J1738" t="s">
        <v>42</v>
      </c>
      <c r="K1738">
        <v>15</v>
      </c>
      <c r="L1738" s="7">
        <f t="shared" si="82"/>
        <v>828.08</v>
      </c>
      <c r="M1738" s="7"/>
      <c r="O1738">
        <f t="shared" si="83"/>
        <v>2</v>
      </c>
      <c r="Q1738" t="s">
        <v>104</v>
      </c>
    </row>
    <row r="1739" spans="1:17" x14ac:dyDescent="0.3">
      <c r="A1739" t="s">
        <v>2742</v>
      </c>
      <c r="B1739" s="6">
        <v>45159</v>
      </c>
      <c r="C1739" s="6" t="str">
        <f t="shared" si="81"/>
        <v>Aug</v>
      </c>
      <c r="D1739" t="s">
        <v>710</v>
      </c>
      <c r="E1739" t="s">
        <v>26</v>
      </c>
      <c r="F1739" t="s">
        <v>517</v>
      </c>
      <c r="G1739">
        <v>4</v>
      </c>
      <c r="H1739" s="7">
        <v>499.93</v>
      </c>
      <c r="I1739" t="s">
        <v>32</v>
      </c>
      <c r="J1739" t="s">
        <v>19</v>
      </c>
      <c r="K1739">
        <v>15</v>
      </c>
      <c r="L1739" s="7">
        <f t="shared" si="82"/>
        <v>1999.72</v>
      </c>
      <c r="M1739" s="7"/>
      <c r="O1739">
        <f t="shared" si="83"/>
        <v>2</v>
      </c>
      <c r="Q1739" t="s">
        <v>33</v>
      </c>
    </row>
    <row r="1740" spans="1:17" x14ac:dyDescent="0.3">
      <c r="A1740" t="s">
        <v>2743</v>
      </c>
      <c r="B1740" s="6">
        <v>45187</v>
      </c>
      <c r="C1740" s="6" t="str">
        <f t="shared" si="81"/>
        <v>Sep</v>
      </c>
      <c r="D1740" t="s">
        <v>2712</v>
      </c>
      <c r="E1740" t="s">
        <v>19</v>
      </c>
      <c r="F1740" t="s">
        <v>353</v>
      </c>
      <c r="G1740">
        <v>4</v>
      </c>
      <c r="H1740" s="7">
        <v>6.08</v>
      </c>
      <c r="I1740" t="s">
        <v>19</v>
      </c>
      <c r="J1740" t="s">
        <v>28</v>
      </c>
      <c r="K1740">
        <v>0</v>
      </c>
      <c r="L1740" s="7">
        <f t="shared" si="82"/>
        <v>24.32</v>
      </c>
      <c r="M1740" s="7"/>
      <c r="O1740">
        <f t="shared" si="83"/>
        <v>2</v>
      </c>
      <c r="Q1740" t="s">
        <v>19</v>
      </c>
    </row>
    <row r="1741" spans="1:17" x14ac:dyDescent="0.3">
      <c r="A1741" t="s">
        <v>2744</v>
      </c>
      <c r="B1741" s="6">
        <v>45180</v>
      </c>
      <c r="C1741" s="6" t="str">
        <f t="shared" si="81"/>
        <v>Sep</v>
      </c>
      <c r="D1741" t="s">
        <v>1687</v>
      </c>
      <c r="E1741" t="s">
        <v>31</v>
      </c>
      <c r="F1741" t="s">
        <v>409</v>
      </c>
      <c r="G1741">
        <v>4</v>
      </c>
      <c r="H1741" s="7">
        <v>321.14</v>
      </c>
      <c r="I1741" t="s">
        <v>32</v>
      </c>
      <c r="J1741" t="s">
        <v>42</v>
      </c>
      <c r="K1741">
        <v>15</v>
      </c>
      <c r="L1741" s="7">
        <f t="shared" si="82"/>
        <v>1284.56</v>
      </c>
      <c r="M1741" s="7"/>
      <c r="O1741">
        <f t="shared" si="83"/>
        <v>2</v>
      </c>
      <c r="Q1741" t="s">
        <v>33</v>
      </c>
    </row>
    <row r="1742" spans="1:17" x14ac:dyDescent="0.3">
      <c r="A1742" t="s">
        <v>2745</v>
      </c>
      <c r="B1742" s="6">
        <v>45018</v>
      </c>
      <c r="C1742" s="6" t="str">
        <f t="shared" si="81"/>
        <v>Apr</v>
      </c>
      <c r="D1742" t="s">
        <v>2746</v>
      </c>
      <c r="E1742" t="s">
        <v>40</v>
      </c>
      <c r="F1742" t="s">
        <v>713</v>
      </c>
      <c r="G1742">
        <v>6</v>
      </c>
      <c r="H1742" s="7">
        <v>74.92</v>
      </c>
      <c r="I1742" t="s">
        <v>103</v>
      </c>
      <c r="J1742" t="s">
        <v>87</v>
      </c>
      <c r="K1742">
        <v>15</v>
      </c>
      <c r="L1742" s="7">
        <f t="shared" si="82"/>
        <v>449.52</v>
      </c>
      <c r="M1742" s="7"/>
      <c r="O1742">
        <f t="shared" si="83"/>
        <v>2</v>
      </c>
      <c r="Q1742" t="s">
        <v>104</v>
      </c>
    </row>
    <row r="1743" spans="1:17" x14ac:dyDescent="0.3">
      <c r="A1743" t="s">
        <v>2747</v>
      </c>
      <c r="B1743" s="6">
        <v>44964</v>
      </c>
      <c r="C1743" s="6" t="str">
        <f t="shared" si="81"/>
        <v>Feb</v>
      </c>
      <c r="D1743" t="s">
        <v>478</v>
      </c>
      <c r="E1743" t="s">
        <v>31</v>
      </c>
      <c r="F1743" t="s">
        <v>420</v>
      </c>
      <c r="G1743">
        <v>7</v>
      </c>
      <c r="H1743" s="7">
        <v>460.71</v>
      </c>
      <c r="I1743" t="s">
        <v>32</v>
      </c>
      <c r="J1743" t="s">
        <v>42</v>
      </c>
      <c r="K1743">
        <v>15</v>
      </c>
      <c r="L1743" s="7">
        <f t="shared" si="82"/>
        <v>3224.97</v>
      </c>
      <c r="M1743" s="7"/>
      <c r="O1743">
        <f t="shared" si="83"/>
        <v>4</v>
      </c>
      <c r="Q1743" t="s">
        <v>33</v>
      </c>
    </row>
    <row r="1744" spans="1:17" x14ac:dyDescent="0.3">
      <c r="A1744" t="s">
        <v>2748</v>
      </c>
      <c r="B1744" s="6">
        <v>45197</v>
      </c>
      <c r="C1744" s="6" t="str">
        <f t="shared" si="81"/>
        <v>Sep</v>
      </c>
      <c r="D1744" t="s">
        <v>506</v>
      </c>
      <c r="E1744" t="s">
        <v>19</v>
      </c>
      <c r="F1744" t="s">
        <v>619</v>
      </c>
      <c r="G1744">
        <v>6</v>
      </c>
      <c r="H1744" s="7">
        <v>51.35</v>
      </c>
      <c r="I1744" t="s">
        <v>19</v>
      </c>
      <c r="J1744" t="s">
        <v>87</v>
      </c>
      <c r="K1744">
        <v>5</v>
      </c>
      <c r="L1744" s="7">
        <f t="shared" si="82"/>
        <v>308.10000000000002</v>
      </c>
      <c r="M1744" s="7"/>
      <c r="O1744">
        <f t="shared" si="83"/>
        <v>2</v>
      </c>
      <c r="Q1744" t="s">
        <v>19</v>
      </c>
    </row>
    <row r="1745" spans="1:17" x14ac:dyDescent="0.3">
      <c r="A1745" t="s">
        <v>2749</v>
      </c>
      <c r="B1745" s="6">
        <v>45112</v>
      </c>
      <c r="C1745" s="6" t="str">
        <f t="shared" si="81"/>
        <v>Jul</v>
      </c>
      <c r="D1745" t="s">
        <v>2263</v>
      </c>
      <c r="E1745" t="s">
        <v>31</v>
      </c>
      <c r="F1745" t="s">
        <v>1117</v>
      </c>
      <c r="G1745">
        <v>1</v>
      </c>
      <c r="H1745" s="7">
        <v>477.76</v>
      </c>
      <c r="I1745" t="s">
        <v>64</v>
      </c>
      <c r="J1745" t="s">
        <v>22</v>
      </c>
      <c r="K1745">
        <v>0</v>
      </c>
      <c r="L1745" s="7">
        <f t="shared" si="82"/>
        <v>477.76</v>
      </c>
      <c r="M1745" s="7"/>
      <c r="O1745">
        <f t="shared" si="83"/>
        <v>2</v>
      </c>
      <c r="Q1745" t="s">
        <v>65</v>
      </c>
    </row>
    <row r="1746" spans="1:17" x14ac:dyDescent="0.3">
      <c r="A1746" t="s">
        <v>2750</v>
      </c>
      <c r="B1746" s="6">
        <v>45173</v>
      </c>
      <c r="C1746" s="6" t="str">
        <f t="shared" si="81"/>
        <v>Sep</v>
      </c>
      <c r="D1746" t="s">
        <v>1613</v>
      </c>
      <c r="E1746" t="s">
        <v>36</v>
      </c>
      <c r="F1746" t="s">
        <v>325</v>
      </c>
      <c r="G1746">
        <v>8</v>
      </c>
      <c r="H1746" s="7">
        <v>307.41000000000003</v>
      </c>
      <c r="I1746" t="s">
        <v>103</v>
      </c>
      <c r="J1746" t="s">
        <v>22</v>
      </c>
      <c r="K1746">
        <v>10</v>
      </c>
      <c r="L1746" s="7">
        <f t="shared" si="82"/>
        <v>2459.2800000000002</v>
      </c>
      <c r="M1746" s="7"/>
      <c r="O1746">
        <f t="shared" si="83"/>
        <v>2</v>
      </c>
      <c r="Q1746" t="s">
        <v>104</v>
      </c>
    </row>
    <row r="1747" spans="1:17" x14ac:dyDescent="0.3">
      <c r="A1747" t="s">
        <v>2751</v>
      </c>
      <c r="B1747" s="6">
        <v>45013</v>
      </c>
      <c r="C1747" s="6" t="str">
        <f t="shared" si="81"/>
        <v>Mar</v>
      </c>
      <c r="D1747" t="s">
        <v>1710</v>
      </c>
      <c r="E1747" t="s">
        <v>50</v>
      </c>
      <c r="F1747" t="s">
        <v>856</v>
      </c>
      <c r="G1747">
        <v>7</v>
      </c>
      <c r="H1747" s="7">
        <v>5.63</v>
      </c>
      <c r="I1747" t="s">
        <v>46</v>
      </c>
      <c r="J1747" t="s">
        <v>22</v>
      </c>
      <c r="K1747">
        <v>15</v>
      </c>
      <c r="L1747" s="7">
        <f t="shared" si="82"/>
        <v>39.409999999999997</v>
      </c>
      <c r="M1747" s="7"/>
      <c r="O1747">
        <f t="shared" si="83"/>
        <v>2</v>
      </c>
      <c r="Q1747" t="s">
        <v>47</v>
      </c>
    </row>
    <row r="1748" spans="1:17" x14ac:dyDescent="0.3">
      <c r="A1748" t="s">
        <v>2752</v>
      </c>
      <c r="B1748" s="6">
        <v>45034</v>
      </c>
      <c r="C1748" s="6" t="str">
        <f t="shared" si="81"/>
        <v>Apr</v>
      </c>
      <c r="D1748" t="s">
        <v>449</v>
      </c>
      <c r="E1748" t="s">
        <v>62</v>
      </c>
      <c r="F1748" t="s">
        <v>450</v>
      </c>
      <c r="G1748">
        <v>6</v>
      </c>
      <c r="H1748" s="7">
        <v>447.53</v>
      </c>
      <c r="I1748" t="s">
        <v>103</v>
      </c>
      <c r="J1748" t="s">
        <v>19</v>
      </c>
      <c r="K1748">
        <v>10</v>
      </c>
      <c r="L1748" s="7">
        <f t="shared" si="82"/>
        <v>2685.18</v>
      </c>
      <c r="M1748" s="7"/>
      <c r="O1748">
        <f t="shared" si="83"/>
        <v>3</v>
      </c>
      <c r="Q1748" t="s">
        <v>104</v>
      </c>
    </row>
    <row r="1749" spans="1:17" x14ac:dyDescent="0.3">
      <c r="A1749" t="s">
        <v>2753</v>
      </c>
      <c r="B1749" s="6">
        <v>45252</v>
      </c>
      <c r="C1749" s="6" t="str">
        <f t="shared" si="81"/>
        <v>Nov</v>
      </c>
      <c r="D1749" t="s">
        <v>2754</v>
      </c>
      <c r="E1749" t="s">
        <v>50</v>
      </c>
      <c r="F1749" t="s">
        <v>102</v>
      </c>
      <c r="G1749">
        <v>6</v>
      </c>
      <c r="H1749" s="7">
        <v>263.25</v>
      </c>
      <c r="I1749" t="s">
        <v>19</v>
      </c>
      <c r="J1749" t="s">
        <v>19</v>
      </c>
      <c r="K1749">
        <v>5</v>
      </c>
      <c r="L1749" s="7">
        <f t="shared" si="82"/>
        <v>1579.5</v>
      </c>
      <c r="M1749" s="7"/>
      <c r="O1749">
        <f t="shared" si="83"/>
        <v>2</v>
      </c>
      <c r="Q1749" t="s">
        <v>19</v>
      </c>
    </row>
    <row r="1750" spans="1:17" x14ac:dyDescent="0.3">
      <c r="A1750" t="s">
        <v>2755</v>
      </c>
      <c r="B1750" s="6">
        <v>45042</v>
      </c>
      <c r="C1750" s="6" t="str">
        <f t="shared" si="81"/>
        <v>Apr</v>
      </c>
      <c r="D1750" t="s">
        <v>2108</v>
      </c>
      <c r="E1750" t="s">
        <v>62</v>
      </c>
      <c r="F1750" t="s">
        <v>273</v>
      </c>
      <c r="G1750">
        <v>5</v>
      </c>
      <c r="H1750" s="7">
        <v>135.02000000000001</v>
      </c>
      <c r="I1750" t="s">
        <v>21</v>
      </c>
      <c r="J1750" t="s">
        <v>87</v>
      </c>
      <c r="K1750">
        <v>15</v>
      </c>
      <c r="L1750" s="7">
        <f t="shared" si="82"/>
        <v>675.1</v>
      </c>
      <c r="M1750" s="7"/>
      <c r="O1750">
        <f t="shared" si="83"/>
        <v>2</v>
      </c>
      <c r="Q1750" t="s">
        <v>23</v>
      </c>
    </row>
    <row r="1751" spans="1:17" x14ac:dyDescent="0.3">
      <c r="A1751" t="s">
        <v>2756</v>
      </c>
      <c r="B1751" s="6">
        <v>45054</v>
      </c>
      <c r="C1751" s="6" t="str">
        <f t="shared" si="81"/>
        <v>May</v>
      </c>
      <c r="D1751" t="s">
        <v>468</v>
      </c>
      <c r="E1751" t="s">
        <v>62</v>
      </c>
      <c r="F1751" t="s">
        <v>20</v>
      </c>
      <c r="G1751">
        <v>6</v>
      </c>
      <c r="H1751" s="7">
        <v>384.8</v>
      </c>
      <c r="I1751" t="s">
        <v>64</v>
      </c>
      <c r="J1751" t="s">
        <v>72</v>
      </c>
      <c r="K1751">
        <v>5</v>
      </c>
      <c r="L1751" s="7">
        <f t="shared" si="82"/>
        <v>2308.8000000000002</v>
      </c>
      <c r="M1751" s="7"/>
      <c r="O1751">
        <f t="shared" si="83"/>
        <v>2</v>
      </c>
      <c r="Q1751" t="s">
        <v>65</v>
      </c>
    </row>
    <row r="1752" spans="1:17" x14ac:dyDescent="0.3">
      <c r="A1752" t="s">
        <v>2757</v>
      </c>
      <c r="B1752" s="6">
        <v>45204</v>
      </c>
      <c r="C1752" s="6" t="str">
        <f t="shared" si="81"/>
        <v>Oct</v>
      </c>
      <c r="D1752" t="s">
        <v>216</v>
      </c>
      <c r="E1752" t="s">
        <v>62</v>
      </c>
      <c r="F1752" t="s">
        <v>353</v>
      </c>
      <c r="G1752">
        <v>9</v>
      </c>
      <c r="H1752" s="7">
        <v>463.7</v>
      </c>
      <c r="I1752" t="s">
        <v>21</v>
      </c>
      <c r="J1752" t="s">
        <v>72</v>
      </c>
      <c r="K1752">
        <v>0</v>
      </c>
      <c r="L1752" s="7">
        <f t="shared" si="82"/>
        <v>4173.3</v>
      </c>
      <c r="M1752" s="7"/>
      <c r="O1752">
        <f t="shared" si="83"/>
        <v>5</v>
      </c>
      <c r="Q1752" t="s">
        <v>23</v>
      </c>
    </row>
    <row r="1753" spans="1:17" x14ac:dyDescent="0.3">
      <c r="A1753" t="s">
        <v>2758</v>
      </c>
      <c r="B1753" s="6">
        <v>45038</v>
      </c>
      <c r="C1753" s="6" t="str">
        <f t="shared" si="81"/>
        <v>Apr</v>
      </c>
      <c r="D1753" t="s">
        <v>1298</v>
      </c>
      <c r="E1753" t="s">
        <v>50</v>
      </c>
      <c r="F1753" t="s">
        <v>148</v>
      </c>
      <c r="G1753">
        <v>9</v>
      </c>
      <c r="H1753" s="7">
        <v>244.43</v>
      </c>
      <c r="I1753" t="s">
        <v>19</v>
      </c>
      <c r="J1753" t="s">
        <v>72</v>
      </c>
      <c r="K1753">
        <v>10</v>
      </c>
      <c r="L1753" s="7">
        <f t="shared" si="82"/>
        <v>2199.87</v>
      </c>
      <c r="M1753" s="7"/>
      <c r="O1753">
        <f t="shared" si="83"/>
        <v>2</v>
      </c>
      <c r="Q1753" t="s">
        <v>19</v>
      </c>
    </row>
    <row r="1754" spans="1:17" x14ac:dyDescent="0.3">
      <c r="A1754" t="s">
        <v>2759</v>
      </c>
      <c r="B1754" s="6">
        <v>45193</v>
      </c>
      <c r="C1754" s="6" t="str">
        <f t="shared" si="81"/>
        <v>Sep</v>
      </c>
      <c r="D1754" t="s">
        <v>1442</v>
      </c>
      <c r="E1754" t="s">
        <v>19</v>
      </c>
      <c r="F1754" t="s">
        <v>389</v>
      </c>
      <c r="G1754">
        <v>8</v>
      </c>
      <c r="H1754" s="7">
        <v>161.19999999999999</v>
      </c>
      <c r="I1754" t="s">
        <v>46</v>
      </c>
      <c r="J1754" t="s">
        <v>19</v>
      </c>
      <c r="K1754">
        <v>10</v>
      </c>
      <c r="L1754" s="7">
        <f t="shared" si="82"/>
        <v>1289.5999999999999</v>
      </c>
      <c r="M1754" s="7"/>
      <c r="O1754">
        <f t="shared" si="83"/>
        <v>2</v>
      </c>
      <c r="Q1754" t="s">
        <v>47</v>
      </c>
    </row>
    <row r="1755" spans="1:17" x14ac:dyDescent="0.3">
      <c r="A1755" t="s">
        <v>2760</v>
      </c>
      <c r="B1755" s="6">
        <v>45243</v>
      </c>
      <c r="C1755" s="6" t="str">
        <f t="shared" si="81"/>
        <v>Nov</v>
      </c>
      <c r="D1755" t="s">
        <v>832</v>
      </c>
      <c r="E1755" t="s">
        <v>36</v>
      </c>
      <c r="F1755" t="s">
        <v>2185</v>
      </c>
      <c r="G1755">
        <v>9</v>
      </c>
      <c r="H1755" s="7">
        <v>395.53</v>
      </c>
      <c r="I1755" t="s">
        <v>103</v>
      </c>
      <c r="J1755" t="s">
        <v>22</v>
      </c>
      <c r="K1755">
        <v>10</v>
      </c>
      <c r="L1755" s="7">
        <f t="shared" si="82"/>
        <v>3559.7699999999995</v>
      </c>
      <c r="M1755" s="7"/>
      <c r="O1755">
        <f t="shared" si="83"/>
        <v>5</v>
      </c>
      <c r="Q1755" t="s">
        <v>104</v>
      </c>
    </row>
    <row r="1756" spans="1:17" x14ac:dyDescent="0.3">
      <c r="A1756" t="s">
        <v>2761</v>
      </c>
      <c r="B1756" s="6">
        <v>45231</v>
      </c>
      <c r="C1756" s="6" t="str">
        <f t="shared" si="81"/>
        <v>Nov</v>
      </c>
      <c r="D1756" t="s">
        <v>197</v>
      </c>
      <c r="E1756" t="s">
        <v>19</v>
      </c>
      <c r="F1756" t="s">
        <v>160</v>
      </c>
      <c r="G1756">
        <v>8</v>
      </c>
      <c r="H1756" s="7">
        <v>342.48</v>
      </c>
      <c r="I1756" t="s">
        <v>32</v>
      </c>
      <c r="J1756" t="s">
        <v>22</v>
      </c>
      <c r="K1756">
        <v>15</v>
      </c>
      <c r="L1756" s="7">
        <f t="shared" si="82"/>
        <v>2739.84</v>
      </c>
      <c r="M1756" s="7"/>
      <c r="O1756">
        <f t="shared" si="83"/>
        <v>3</v>
      </c>
      <c r="Q1756" t="s">
        <v>33</v>
      </c>
    </row>
    <row r="1757" spans="1:17" x14ac:dyDescent="0.3">
      <c r="A1757" t="s">
        <v>2762</v>
      </c>
      <c r="B1757" s="6">
        <v>45037</v>
      </c>
      <c r="C1757" s="6" t="str">
        <f t="shared" si="81"/>
        <v>Apr</v>
      </c>
      <c r="D1757" t="s">
        <v>2314</v>
      </c>
      <c r="E1757" t="s">
        <v>26</v>
      </c>
      <c r="F1757" t="s">
        <v>486</v>
      </c>
      <c r="G1757">
        <v>5</v>
      </c>
      <c r="H1757" s="7">
        <v>444.93</v>
      </c>
      <c r="I1757" t="s">
        <v>19</v>
      </c>
      <c r="J1757" t="s">
        <v>19</v>
      </c>
      <c r="K1757">
        <v>5</v>
      </c>
      <c r="L1757" s="7">
        <f t="shared" si="82"/>
        <v>2224.65</v>
      </c>
      <c r="M1757" s="7"/>
      <c r="O1757">
        <f t="shared" si="83"/>
        <v>2</v>
      </c>
      <c r="Q1757" t="s">
        <v>19</v>
      </c>
    </row>
    <row r="1758" spans="1:17" x14ac:dyDescent="0.3">
      <c r="A1758" t="s">
        <v>2763</v>
      </c>
      <c r="B1758" s="6">
        <v>45200</v>
      </c>
      <c r="C1758" s="6" t="str">
        <f t="shared" si="81"/>
        <v>Oct</v>
      </c>
      <c r="D1758" t="s">
        <v>656</v>
      </c>
      <c r="E1758" t="s">
        <v>26</v>
      </c>
      <c r="F1758" t="s">
        <v>420</v>
      </c>
      <c r="G1758">
        <v>1</v>
      </c>
      <c r="H1758" s="7">
        <v>347.79</v>
      </c>
      <c r="I1758" t="s">
        <v>32</v>
      </c>
      <c r="J1758" t="s">
        <v>72</v>
      </c>
      <c r="K1758">
        <v>10</v>
      </c>
      <c r="L1758" s="7">
        <f t="shared" si="82"/>
        <v>347.79</v>
      </c>
      <c r="M1758" s="7"/>
      <c r="O1758">
        <f t="shared" si="83"/>
        <v>2</v>
      </c>
      <c r="Q1758" t="s">
        <v>33</v>
      </c>
    </row>
    <row r="1759" spans="1:17" x14ac:dyDescent="0.3">
      <c r="A1759" t="s">
        <v>2764</v>
      </c>
      <c r="B1759" s="6">
        <v>45127</v>
      </c>
      <c r="C1759" s="6" t="str">
        <f t="shared" si="81"/>
        <v>Jul</v>
      </c>
      <c r="D1759" t="s">
        <v>1236</v>
      </c>
      <c r="E1759" t="s">
        <v>62</v>
      </c>
      <c r="F1759" t="s">
        <v>137</v>
      </c>
      <c r="G1759">
        <v>5</v>
      </c>
      <c r="H1759" s="7">
        <v>125.55</v>
      </c>
      <c r="I1759" t="s">
        <v>64</v>
      </c>
      <c r="J1759" t="s">
        <v>28</v>
      </c>
      <c r="K1759">
        <v>20</v>
      </c>
      <c r="L1759" s="7">
        <f t="shared" si="82"/>
        <v>627.75</v>
      </c>
      <c r="M1759" s="7"/>
      <c r="O1759">
        <f t="shared" si="83"/>
        <v>2</v>
      </c>
      <c r="Q1759" t="s">
        <v>65</v>
      </c>
    </row>
    <row r="1760" spans="1:17" x14ac:dyDescent="0.3">
      <c r="A1760" t="s">
        <v>2765</v>
      </c>
      <c r="B1760" s="6">
        <v>44964</v>
      </c>
      <c r="C1760" s="6" t="str">
        <f t="shared" si="81"/>
        <v>Feb</v>
      </c>
      <c r="D1760" t="s">
        <v>172</v>
      </c>
      <c r="E1760" t="s">
        <v>31</v>
      </c>
      <c r="F1760" t="s">
        <v>665</v>
      </c>
      <c r="G1760">
        <v>4</v>
      </c>
      <c r="H1760" s="7">
        <v>466.17</v>
      </c>
      <c r="I1760" t="s">
        <v>46</v>
      </c>
      <c r="J1760" t="s">
        <v>22</v>
      </c>
      <c r="K1760">
        <v>20</v>
      </c>
      <c r="L1760" s="7">
        <f t="shared" si="82"/>
        <v>1864.68</v>
      </c>
      <c r="M1760" s="7"/>
      <c r="O1760">
        <f t="shared" si="83"/>
        <v>2</v>
      </c>
      <c r="Q1760" t="s">
        <v>47</v>
      </c>
    </row>
    <row r="1761" spans="1:17" x14ac:dyDescent="0.3">
      <c r="A1761" t="s">
        <v>2766</v>
      </c>
      <c r="B1761" s="6">
        <v>45089</v>
      </c>
      <c r="C1761" s="6" t="str">
        <f t="shared" si="81"/>
        <v>Jun</v>
      </c>
      <c r="D1761" t="s">
        <v>1037</v>
      </c>
      <c r="E1761" t="s">
        <v>62</v>
      </c>
      <c r="F1761" t="s">
        <v>1206</v>
      </c>
      <c r="G1761">
        <v>2</v>
      </c>
      <c r="H1761" s="7">
        <v>56.89</v>
      </c>
      <c r="I1761" t="s">
        <v>21</v>
      </c>
      <c r="J1761" t="s">
        <v>28</v>
      </c>
      <c r="K1761">
        <v>5</v>
      </c>
      <c r="L1761" s="7">
        <f t="shared" si="82"/>
        <v>113.78</v>
      </c>
      <c r="M1761" s="7"/>
      <c r="O1761">
        <f t="shared" si="83"/>
        <v>2</v>
      </c>
      <c r="Q1761" t="s">
        <v>23</v>
      </c>
    </row>
    <row r="1762" spans="1:17" x14ac:dyDescent="0.3">
      <c r="A1762" t="s">
        <v>2767</v>
      </c>
      <c r="B1762" s="6">
        <v>45026</v>
      </c>
      <c r="C1762" s="6" t="str">
        <f t="shared" si="81"/>
        <v>Apr</v>
      </c>
      <c r="D1762" t="s">
        <v>283</v>
      </c>
      <c r="E1762" t="s">
        <v>19</v>
      </c>
      <c r="F1762" t="s">
        <v>248</v>
      </c>
      <c r="G1762">
        <v>8</v>
      </c>
      <c r="H1762" s="7">
        <v>137.63</v>
      </c>
      <c r="I1762" t="s">
        <v>103</v>
      </c>
      <c r="J1762" t="s">
        <v>42</v>
      </c>
      <c r="K1762">
        <v>15</v>
      </c>
      <c r="L1762" s="7">
        <f t="shared" si="82"/>
        <v>1101.04</v>
      </c>
      <c r="M1762" s="7"/>
      <c r="O1762">
        <f t="shared" si="83"/>
        <v>2</v>
      </c>
      <c r="Q1762" t="s">
        <v>104</v>
      </c>
    </row>
    <row r="1763" spans="1:17" x14ac:dyDescent="0.3">
      <c r="A1763" t="s">
        <v>2768</v>
      </c>
      <c r="B1763" s="6">
        <v>44974</v>
      </c>
      <c r="C1763" s="6" t="str">
        <f t="shared" si="81"/>
        <v>Feb</v>
      </c>
      <c r="D1763" t="s">
        <v>2613</v>
      </c>
      <c r="E1763" t="s">
        <v>31</v>
      </c>
      <c r="F1763" t="s">
        <v>684</v>
      </c>
      <c r="G1763">
        <v>3</v>
      </c>
      <c r="H1763" s="7">
        <v>262.5</v>
      </c>
      <c r="I1763" t="s">
        <v>32</v>
      </c>
      <c r="J1763" t="s">
        <v>87</v>
      </c>
      <c r="K1763">
        <v>15</v>
      </c>
      <c r="L1763" s="7">
        <f t="shared" si="82"/>
        <v>787.5</v>
      </c>
      <c r="M1763" s="7"/>
      <c r="O1763">
        <f t="shared" si="83"/>
        <v>2</v>
      </c>
      <c r="Q1763" t="s">
        <v>33</v>
      </c>
    </row>
    <row r="1764" spans="1:17" x14ac:dyDescent="0.3">
      <c r="A1764" t="s">
        <v>2769</v>
      </c>
      <c r="B1764" s="6">
        <v>45272</v>
      </c>
      <c r="C1764" s="6" t="str">
        <f t="shared" si="81"/>
        <v>Dec</v>
      </c>
      <c r="D1764" t="s">
        <v>527</v>
      </c>
      <c r="E1764" t="s">
        <v>62</v>
      </c>
      <c r="F1764" t="s">
        <v>939</v>
      </c>
      <c r="G1764">
        <v>4</v>
      </c>
      <c r="H1764" s="7">
        <v>285.04000000000002</v>
      </c>
      <c r="I1764" t="s">
        <v>46</v>
      </c>
      <c r="J1764" t="s">
        <v>87</v>
      </c>
      <c r="K1764">
        <v>0</v>
      </c>
      <c r="L1764" s="7">
        <f t="shared" si="82"/>
        <v>1140.1600000000001</v>
      </c>
      <c r="M1764" s="7"/>
      <c r="O1764">
        <f t="shared" si="83"/>
        <v>2</v>
      </c>
      <c r="Q1764" t="s">
        <v>47</v>
      </c>
    </row>
    <row r="1765" spans="1:17" x14ac:dyDescent="0.3">
      <c r="A1765" t="s">
        <v>2770</v>
      </c>
      <c r="B1765" s="6">
        <v>45195</v>
      </c>
      <c r="C1765" s="6" t="str">
        <f t="shared" si="81"/>
        <v>Sep</v>
      </c>
      <c r="D1765" t="s">
        <v>2545</v>
      </c>
      <c r="E1765" t="s">
        <v>50</v>
      </c>
      <c r="F1765" t="s">
        <v>732</v>
      </c>
      <c r="G1765">
        <v>7</v>
      </c>
      <c r="H1765" s="7">
        <v>12.58</v>
      </c>
      <c r="I1765" t="s">
        <v>64</v>
      </c>
      <c r="J1765" t="s">
        <v>28</v>
      </c>
      <c r="K1765">
        <v>0</v>
      </c>
      <c r="L1765" s="7">
        <f t="shared" si="82"/>
        <v>88.06</v>
      </c>
      <c r="M1765" s="7"/>
      <c r="O1765">
        <f t="shared" si="83"/>
        <v>2</v>
      </c>
      <c r="Q1765" t="s">
        <v>65</v>
      </c>
    </row>
    <row r="1766" spans="1:17" x14ac:dyDescent="0.3">
      <c r="A1766" t="s">
        <v>2771</v>
      </c>
      <c r="B1766" s="6">
        <v>45017</v>
      </c>
      <c r="C1766" s="6" t="str">
        <f t="shared" si="81"/>
        <v>Apr</v>
      </c>
      <c r="D1766" t="s">
        <v>841</v>
      </c>
      <c r="E1766" t="s">
        <v>19</v>
      </c>
      <c r="F1766" t="s">
        <v>646</v>
      </c>
      <c r="G1766">
        <v>9</v>
      </c>
      <c r="H1766" s="7">
        <v>391.38</v>
      </c>
      <c r="I1766" t="s">
        <v>21</v>
      </c>
      <c r="J1766" t="s">
        <v>42</v>
      </c>
      <c r="K1766">
        <v>10</v>
      </c>
      <c r="L1766" s="7">
        <f t="shared" si="82"/>
        <v>3522.42</v>
      </c>
      <c r="M1766" s="7"/>
      <c r="O1766">
        <f t="shared" si="83"/>
        <v>5</v>
      </c>
      <c r="Q1766" t="s">
        <v>23</v>
      </c>
    </row>
    <row r="1767" spans="1:17" x14ac:dyDescent="0.3">
      <c r="A1767" t="s">
        <v>2772</v>
      </c>
      <c r="B1767" s="6">
        <v>45215</v>
      </c>
      <c r="C1767" s="6" t="str">
        <f t="shared" si="81"/>
        <v>Oct</v>
      </c>
      <c r="D1767" t="s">
        <v>1293</v>
      </c>
      <c r="E1767" t="s">
        <v>62</v>
      </c>
      <c r="F1767" t="s">
        <v>107</v>
      </c>
      <c r="G1767">
        <v>2</v>
      </c>
      <c r="H1767" s="7">
        <v>184</v>
      </c>
      <c r="I1767" t="s">
        <v>64</v>
      </c>
      <c r="J1767" t="s">
        <v>87</v>
      </c>
      <c r="K1767">
        <v>10</v>
      </c>
      <c r="L1767" s="7">
        <f t="shared" si="82"/>
        <v>368</v>
      </c>
      <c r="M1767" s="7"/>
      <c r="O1767">
        <f t="shared" si="83"/>
        <v>2</v>
      </c>
      <c r="Q1767" t="s">
        <v>65</v>
      </c>
    </row>
    <row r="1768" spans="1:17" x14ac:dyDescent="0.3">
      <c r="A1768" t="s">
        <v>2773</v>
      </c>
      <c r="B1768" s="6">
        <v>45249</v>
      </c>
      <c r="C1768" s="6" t="str">
        <f t="shared" si="81"/>
        <v>Nov</v>
      </c>
      <c r="D1768" t="s">
        <v>1692</v>
      </c>
      <c r="E1768" t="s">
        <v>36</v>
      </c>
      <c r="F1768" t="s">
        <v>267</v>
      </c>
      <c r="G1768">
        <v>3</v>
      </c>
      <c r="H1768" s="7">
        <v>206.18</v>
      </c>
      <c r="I1768" t="s">
        <v>46</v>
      </c>
      <c r="J1768" t="s">
        <v>19</v>
      </c>
      <c r="K1768">
        <v>0</v>
      </c>
      <c r="L1768" s="7">
        <f t="shared" si="82"/>
        <v>618.54</v>
      </c>
      <c r="M1768" s="7"/>
      <c r="O1768">
        <f t="shared" si="83"/>
        <v>2</v>
      </c>
      <c r="Q1768" t="s">
        <v>47</v>
      </c>
    </row>
    <row r="1769" spans="1:17" x14ac:dyDescent="0.3">
      <c r="A1769" t="s">
        <v>2774</v>
      </c>
      <c r="B1769" s="6">
        <v>45257</v>
      </c>
      <c r="C1769" s="6" t="str">
        <f t="shared" si="81"/>
        <v>Nov</v>
      </c>
      <c r="D1769" t="s">
        <v>581</v>
      </c>
      <c r="E1769" t="s">
        <v>31</v>
      </c>
      <c r="F1769" t="s">
        <v>251</v>
      </c>
      <c r="G1769">
        <v>4</v>
      </c>
      <c r="H1769" s="7">
        <v>405.64</v>
      </c>
      <c r="I1769" t="s">
        <v>32</v>
      </c>
      <c r="J1769" t="s">
        <v>19</v>
      </c>
      <c r="K1769">
        <v>15</v>
      </c>
      <c r="L1769" s="7">
        <f t="shared" si="82"/>
        <v>1622.56</v>
      </c>
      <c r="M1769" s="7"/>
      <c r="O1769">
        <f t="shared" si="83"/>
        <v>2</v>
      </c>
      <c r="Q1769" t="s">
        <v>33</v>
      </c>
    </row>
    <row r="1770" spans="1:17" x14ac:dyDescent="0.3">
      <c r="A1770" t="s">
        <v>2775</v>
      </c>
      <c r="B1770" s="6">
        <v>45218</v>
      </c>
      <c r="C1770" s="6" t="str">
        <f t="shared" si="81"/>
        <v>Oct</v>
      </c>
      <c r="D1770" t="s">
        <v>2126</v>
      </c>
      <c r="E1770" t="s">
        <v>19</v>
      </c>
      <c r="F1770" t="s">
        <v>538</v>
      </c>
      <c r="G1770">
        <v>1</v>
      </c>
      <c r="H1770" s="7">
        <v>192.75</v>
      </c>
      <c r="I1770" t="s">
        <v>21</v>
      </c>
      <c r="J1770" t="s">
        <v>42</v>
      </c>
      <c r="K1770">
        <v>10</v>
      </c>
      <c r="L1770" s="7">
        <f t="shared" si="82"/>
        <v>192.75</v>
      </c>
      <c r="M1770" s="7"/>
      <c r="O1770">
        <f t="shared" si="83"/>
        <v>2</v>
      </c>
      <c r="Q1770" t="s">
        <v>23</v>
      </c>
    </row>
    <row r="1771" spans="1:17" x14ac:dyDescent="0.3">
      <c r="A1771" t="s">
        <v>2776</v>
      </c>
      <c r="B1771" s="6">
        <v>45014</v>
      </c>
      <c r="C1771" s="6" t="str">
        <f t="shared" si="81"/>
        <v>Mar</v>
      </c>
      <c r="D1771" t="s">
        <v>675</v>
      </c>
      <c r="E1771" t="s">
        <v>50</v>
      </c>
      <c r="F1771" t="s">
        <v>434</v>
      </c>
      <c r="G1771">
        <v>7</v>
      </c>
      <c r="H1771" s="7">
        <v>28.38</v>
      </c>
      <c r="I1771" t="s">
        <v>19</v>
      </c>
      <c r="J1771" t="s">
        <v>42</v>
      </c>
      <c r="K1771">
        <v>0</v>
      </c>
      <c r="L1771" s="7">
        <f t="shared" si="82"/>
        <v>198.66</v>
      </c>
      <c r="M1771" s="7"/>
      <c r="O1771">
        <f t="shared" si="83"/>
        <v>2</v>
      </c>
      <c r="Q1771" t="s">
        <v>19</v>
      </c>
    </row>
    <row r="1772" spans="1:17" x14ac:dyDescent="0.3">
      <c r="A1772" t="s">
        <v>2777</v>
      </c>
      <c r="B1772" s="6">
        <v>45151</v>
      </c>
      <c r="C1772" s="6" t="str">
        <f t="shared" si="81"/>
        <v>Aug</v>
      </c>
      <c r="D1772" t="s">
        <v>153</v>
      </c>
      <c r="E1772" t="s">
        <v>26</v>
      </c>
      <c r="F1772" t="s">
        <v>27</v>
      </c>
      <c r="G1772">
        <v>2</v>
      </c>
      <c r="H1772" s="7">
        <v>92.34</v>
      </c>
      <c r="I1772" t="s">
        <v>21</v>
      </c>
      <c r="J1772" t="s">
        <v>22</v>
      </c>
      <c r="K1772">
        <v>5</v>
      </c>
      <c r="L1772" s="7">
        <f t="shared" si="82"/>
        <v>184.68</v>
      </c>
      <c r="M1772" s="7"/>
      <c r="O1772">
        <f t="shared" si="83"/>
        <v>2</v>
      </c>
      <c r="Q1772" t="s">
        <v>23</v>
      </c>
    </row>
    <row r="1773" spans="1:17" x14ac:dyDescent="0.3">
      <c r="A1773" t="s">
        <v>2778</v>
      </c>
      <c r="B1773" s="6">
        <v>45127</v>
      </c>
      <c r="C1773" s="6" t="str">
        <f t="shared" si="81"/>
        <v>Jul</v>
      </c>
      <c r="D1773" t="s">
        <v>2779</v>
      </c>
      <c r="E1773" t="s">
        <v>19</v>
      </c>
      <c r="F1773" t="s">
        <v>273</v>
      </c>
      <c r="G1773">
        <v>5</v>
      </c>
      <c r="H1773" s="7">
        <v>478.17</v>
      </c>
      <c r="I1773" t="s">
        <v>19</v>
      </c>
      <c r="J1773" t="s">
        <v>22</v>
      </c>
      <c r="K1773">
        <v>20</v>
      </c>
      <c r="L1773" s="7">
        <f t="shared" si="82"/>
        <v>2390.85</v>
      </c>
      <c r="M1773" s="7"/>
      <c r="O1773">
        <f t="shared" si="83"/>
        <v>2</v>
      </c>
      <c r="Q1773" t="s">
        <v>19</v>
      </c>
    </row>
    <row r="1774" spans="1:17" x14ac:dyDescent="0.3">
      <c r="A1774" t="s">
        <v>2780</v>
      </c>
      <c r="B1774" s="6">
        <v>45098</v>
      </c>
      <c r="C1774" s="6" t="str">
        <f t="shared" si="81"/>
        <v>Jun</v>
      </c>
      <c r="D1774" t="s">
        <v>1129</v>
      </c>
      <c r="E1774" t="s">
        <v>50</v>
      </c>
      <c r="F1774" t="s">
        <v>450</v>
      </c>
      <c r="G1774">
        <v>1</v>
      </c>
      <c r="H1774" s="7">
        <v>39.85</v>
      </c>
      <c r="I1774" t="s">
        <v>19</v>
      </c>
      <c r="J1774" t="s">
        <v>22</v>
      </c>
      <c r="K1774">
        <v>0</v>
      </c>
      <c r="L1774" s="7">
        <f t="shared" si="82"/>
        <v>39.85</v>
      </c>
      <c r="M1774" s="7"/>
      <c r="O1774">
        <f t="shared" si="83"/>
        <v>2</v>
      </c>
      <c r="Q1774" t="s">
        <v>19</v>
      </c>
    </row>
    <row r="1775" spans="1:17" x14ac:dyDescent="0.3">
      <c r="A1775" t="s">
        <v>2781</v>
      </c>
      <c r="B1775" s="6">
        <v>45132</v>
      </c>
      <c r="C1775" s="6" t="str">
        <f t="shared" si="81"/>
        <v>Jul</v>
      </c>
      <c r="D1775" t="s">
        <v>1725</v>
      </c>
      <c r="E1775" t="s">
        <v>40</v>
      </c>
      <c r="F1775" t="s">
        <v>538</v>
      </c>
      <c r="G1775">
        <v>3</v>
      </c>
      <c r="H1775" s="7">
        <v>180.69</v>
      </c>
      <c r="I1775" t="s">
        <v>46</v>
      </c>
      <c r="J1775" t="s">
        <v>19</v>
      </c>
      <c r="K1775">
        <v>0</v>
      </c>
      <c r="L1775" s="7">
        <f t="shared" si="82"/>
        <v>542.06999999999994</v>
      </c>
      <c r="M1775" s="7"/>
      <c r="O1775">
        <f t="shared" si="83"/>
        <v>2</v>
      </c>
      <c r="Q1775" t="s">
        <v>47</v>
      </c>
    </row>
    <row r="1776" spans="1:17" x14ac:dyDescent="0.3">
      <c r="A1776" t="s">
        <v>2782</v>
      </c>
      <c r="B1776" s="6">
        <v>45190</v>
      </c>
      <c r="C1776" s="6" t="str">
        <f t="shared" si="81"/>
        <v>Sep</v>
      </c>
      <c r="D1776" t="s">
        <v>583</v>
      </c>
      <c r="E1776" t="s">
        <v>19</v>
      </c>
      <c r="F1776" t="s">
        <v>257</v>
      </c>
      <c r="G1776">
        <v>2</v>
      </c>
      <c r="H1776" s="7">
        <v>254.07</v>
      </c>
      <c r="I1776" t="s">
        <v>19</v>
      </c>
      <c r="J1776" t="s">
        <v>87</v>
      </c>
      <c r="K1776">
        <v>5</v>
      </c>
      <c r="L1776" s="7">
        <f t="shared" si="82"/>
        <v>508.14</v>
      </c>
      <c r="M1776" s="7"/>
      <c r="O1776">
        <f t="shared" si="83"/>
        <v>2</v>
      </c>
      <c r="Q1776" t="s">
        <v>19</v>
      </c>
    </row>
    <row r="1777" spans="1:17" x14ac:dyDescent="0.3">
      <c r="A1777" t="s">
        <v>2783</v>
      </c>
      <c r="B1777" s="6">
        <v>44965</v>
      </c>
      <c r="C1777" s="6" t="str">
        <f t="shared" si="81"/>
        <v>Feb</v>
      </c>
      <c r="D1777" t="s">
        <v>1073</v>
      </c>
      <c r="E1777" t="s">
        <v>19</v>
      </c>
      <c r="F1777" t="s">
        <v>341</v>
      </c>
      <c r="G1777">
        <v>1</v>
      </c>
      <c r="H1777" s="7">
        <v>249.17</v>
      </c>
      <c r="I1777" t="s">
        <v>64</v>
      </c>
      <c r="J1777" t="s">
        <v>87</v>
      </c>
      <c r="K1777">
        <v>15</v>
      </c>
      <c r="L1777" s="7">
        <f t="shared" si="82"/>
        <v>249.17</v>
      </c>
      <c r="M1777" s="7"/>
      <c r="O1777">
        <f t="shared" si="83"/>
        <v>2</v>
      </c>
      <c r="Q1777" t="s">
        <v>65</v>
      </c>
    </row>
    <row r="1778" spans="1:17" x14ac:dyDescent="0.3">
      <c r="A1778" t="s">
        <v>2784</v>
      </c>
      <c r="B1778" s="6">
        <v>44964</v>
      </c>
      <c r="C1778" s="6" t="str">
        <f t="shared" si="81"/>
        <v>Feb</v>
      </c>
      <c r="D1778" t="s">
        <v>1483</v>
      </c>
      <c r="E1778" t="s">
        <v>19</v>
      </c>
      <c r="F1778" t="s">
        <v>145</v>
      </c>
      <c r="G1778">
        <v>7</v>
      </c>
      <c r="H1778" s="7">
        <v>6.96</v>
      </c>
      <c r="I1778" t="s">
        <v>19</v>
      </c>
      <c r="J1778" t="s">
        <v>42</v>
      </c>
      <c r="K1778">
        <v>10</v>
      </c>
      <c r="L1778" s="7">
        <f t="shared" si="82"/>
        <v>48.72</v>
      </c>
      <c r="M1778" s="7"/>
      <c r="O1778">
        <f t="shared" si="83"/>
        <v>2</v>
      </c>
      <c r="Q1778" t="s">
        <v>19</v>
      </c>
    </row>
    <row r="1779" spans="1:17" x14ac:dyDescent="0.3">
      <c r="A1779" t="s">
        <v>2785</v>
      </c>
      <c r="B1779" s="6">
        <v>44993</v>
      </c>
      <c r="C1779" s="6" t="str">
        <f t="shared" si="81"/>
        <v>Mar</v>
      </c>
      <c r="D1779" t="s">
        <v>811</v>
      </c>
      <c r="E1779" t="s">
        <v>62</v>
      </c>
      <c r="F1779" t="s">
        <v>334</v>
      </c>
      <c r="G1779">
        <v>5</v>
      </c>
      <c r="H1779" s="7">
        <v>253.08</v>
      </c>
      <c r="I1779" t="s">
        <v>32</v>
      </c>
      <c r="J1779" t="s">
        <v>42</v>
      </c>
      <c r="K1779">
        <v>5</v>
      </c>
      <c r="L1779" s="7">
        <f t="shared" si="82"/>
        <v>1265.4000000000001</v>
      </c>
      <c r="M1779" s="7"/>
      <c r="O1779">
        <f t="shared" si="83"/>
        <v>2</v>
      </c>
      <c r="Q1779" t="s">
        <v>33</v>
      </c>
    </row>
    <row r="1780" spans="1:17" x14ac:dyDescent="0.3">
      <c r="A1780" t="s">
        <v>2786</v>
      </c>
      <c r="B1780" s="6">
        <v>45261</v>
      </c>
      <c r="C1780" s="6" t="str">
        <f t="shared" si="81"/>
        <v>Dec</v>
      </c>
      <c r="D1780" t="s">
        <v>1077</v>
      </c>
      <c r="E1780" t="s">
        <v>36</v>
      </c>
      <c r="F1780" t="s">
        <v>270</v>
      </c>
      <c r="G1780">
        <v>1</v>
      </c>
      <c r="H1780" s="7">
        <v>194.97</v>
      </c>
      <c r="I1780" t="s">
        <v>19</v>
      </c>
      <c r="J1780" t="s">
        <v>28</v>
      </c>
      <c r="K1780">
        <v>10</v>
      </c>
      <c r="L1780" s="7">
        <f t="shared" si="82"/>
        <v>194.97</v>
      </c>
      <c r="M1780" s="7"/>
      <c r="O1780">
        <f t="shared" si="83"/>
        <v>2</v>
      </c>
      <c r="Q1780" t="s">
        <v>19</v>
      </c>
    </row>
    <row r="1781" spans="1:17" x14ac:dyDescent="0.3">
      <c r="A1781" t="s">
        <v>2787</v>
      </c>
      <c r="B1781" s="6">
        <v>45081</v>
      </c>
      <c r="C1781" s="6" t="str">
        <f t="shared" si="81"/>
        <v>Jun</v>
      </c>
      <c r="D1781" t="s">
        <v>2094</v>
      </c>
      <c r="E1781" t="s">
        <v>31</v>
      </c>
      <c r="F1781" t="s">
        <v>257</v>
      </c>
      <c r="G1781">
        <v>6</v>
      </c>
      <c r="H1781" s="7">
        <v>486.18</v>
      </c>
      <c r="I1781" t="s">
        <v>21</v>
      </c>
      <c r="J1781" t="s">
        <v>42</v>
      </c>
      <c r="K1781">
        <v>0</v>
      </c>
      <c r="L1781" s="7">
        <f t="shared" si="82"/>
        <v>2917.08</v>
      </c>
      <c r="M1781" s="7"/>
      <c r="O1781">
        <f t="shared" si="83"/>
        <v>3</v>
      </c>
      <c r="Q1781" t="s">
        <v>23</v>
      </c>
    </row>
    <row r="1782" spans="1:17" x14ac:dyDescent="0.3">
      <c r="A1782" t="s">
        <v>2788</v>
      </c>
      <c r="B1782" s="6">
        <v>45259</v>
      </c>
      <c r="C1782" s="6" t="str">
        <f t="shared" si="81"/>
        <v>Nov</v>
      </c>
      <c r="D1782" t="s">
        <v>1285</v>
      </c>
      <c r="E1782" t="s">
        <v>50</v>
      </c>
      <c r="F1782" t="s">
        <v>116</v>
      </c>
      <c r="G1782">
        <v>5</v>
      </c>
      <c r="H1782" s="7">
        <v>83.78</v>
      </c>
      <c r="I1782" t="s">
        <v>64</v>
      </c>
      <c r="J1782" t="s">
        <v>28</v>
      </c>
      <c r="K1782">
        <v>15</v>
      </c>
      <c r="L1782" s="7">
        <f t="shared" si="82"/>
        <v>418.9</v>
      </c>
      <c r="M1782" s="7"/>
      <c r="O1782">
        <f t="shared" si="83"/>
        <v>2</v>
      </c>
      <c r="Q1782" t="s">
        <v>65</v>
      </c>
    </row>
    <row r="1783" spans="1:17" x14ac:dyDescent="0.3">
      <c r="A1783" t="s">
        <v>2789</v>
      </c>
      <c r="B1783" s="6">
        <v>44964</v>
      </c>
      <c r="C1783" s="6" t="str">
        <f t="shared" si="81"/>
        <v>Feb</v>
      </c>
      <c r="D1783" t="s">
        <v>2790</v>
      </c>
      <c r="E1783" t="s">
        <v>19</v>
      </c>
      <c r="F1783" t="s">
        <v>263</v>
      </c>
      <c r="G1783">
        <v>3</v>
      </c>
      <c r="H1783" s="7">
        <v>180.31</v>
      </c>
      <c r="I1783" t="s">
        <v>21</v>
      </c>
      <c r="J1783" t="s">
        <v>72</v>
      </c>
      <c r="K1783">
        <v>10</v>
      </c>
      <c r="L1783" s="7">
        <f t="shared" si="82"/>
        <v>540.93000000000006</v>
      </c>
      <c r="M1783" s="7"/>
      <c r="O1783">
        <f t="shared" si="83"/>
        <v>2</v>
      </c>
      <c r="Q1783" t="s">
        <v>23</v>
      </c>
    </row>
    <row r="1784" spans="1:17" x14ac:dyDescent="0.3">
      <c r="A1784" t="s">
        <v>2791</v>
      </c>
      <c r="B1784" s="6">
        <v>44973</v>
      </c>
      <c r="C1784" s="6" t="str">
        <f t="shared" si="81"/>
        <v>Feb</v>
      </c>
      <c r="D1784" t="s">
        <v>324</v>
      </c>
      <c r="E1784" t="s">
        <v>62</v>
      </c>
      <c r="F1784" t="s">
        <v>1142</v>
      </c>
      <c r="G1784">
        <v>7</v>
      </c>
      <c r="H1784" s="7">
        <v>212.64</v>
      </c>
      <c r="I1784" t="s">
        <v>46</v>
      </c>
      <c r="J1784" t="s">
        <v>28</v>
      </c>
      <c r="K1784">
        <v>0</v>
      </c>
      <c r="L1784" s="7">
        <f t="shared" si="82"/>
        <v>1488.48</v>
      </c>
      <c r="M1784" s="7"/>
      <c r="O1784">
        <f t="shared" si="83"/>
        <v>2</v>
      </c>
      <c r="Q1784" t="s">
        <v>47</v>
      </c>
    </row>
    <row r="1785" spans="1:17" x14ac:dyDescent="0.3">
      <c r="A1785" t="s">
        <v>2792</v>
      </c>
      <c r="B1785" s="6">
        <v>45107</v>
      </c>
      <c r="C1785" s="6" t="str">
        <f t="shared" si="81"/>
        <v>Jun</v>
      </c>
      <c r="D1785" t="s">
        <v>2793</v>
      </c>
      <c r="E1785" t="s">
        <v>26</v>
      </c>
      <c r="F1785" t="s">
        <v>179</v>
      </c>
      <c r="G1785">
        <v>9</v>
      </c>
      <c r="H1785" s="7">
        <v>198.39</v>
      </c>
      <c r="I1785" t="s">
        <v>19</v>
      </c>
      <c r="J1785" t="s">
        <v>28</v>
      </c>
      <c r="K1785">
        <v>5</v>
      </c>
      <c r="L1785" s="7">
        <f t="shared" si="82"/>
        <v>1785.5099999999998</v>
      </c>
      <c r="M1785" s="7"/>
      <c r="O1785">
        <f t="shared" si="83"/>
        <v>2</v>
      </c>
      <c r="Q1785" t="s">
        <v>19</v>
      </c>
    </row>
    <row r="1786" spans="1:17" x14ac:dyDescent="0.3">
      <c r="A1786" t="s">
        <v>2794</v>
      </c>
      <c r="B1786" s="6">
        <v>45036</v>
      </c>
      <c r="C1786" s="6" t="str">
        <f t="shared" si="81"/>
        <v>Apr</v>
      </c>
      <c r="D1786" t="s">
        <v>1287</v>
      </c>
      <c r="E1786" t="s">
        <v>19</v>
      </c>
      <c r="F1786" t="s">
        <v>205</v>
      </c>
      <c r="G1786">
        <v>9</v>
      </c>
      <c r="H1786" s="7">
        <v>334.59</v>
      </c>
      <c r="I1786" t="s">
        <v>103</v>
      </c>
      <c r="J1786" t="s">
        <v>72</v>
      </c>
      <c r="K1786">
        <v>10</v>
      </c>
      <c r="L1786" s="7">
        <f t="shared" si="82"/>
        <v>3011.31</v>
      </c>
      <c r="M1786" s="7"/>
      <c r="O1786">
        <f t="shared" si="83"/>
        <v>4</v>
      </c>
      <c r="Q1786" t="s">
        <v>104</v>
      </c>
    </row>
    <row r="1787" spans="1:17" x14ac:dyDescent="0.3">
      <c r="A1787" t="s">
        <v>2795</v>
      </c>
      <c r="B1787" s="6">
        <v>45024</v>
      </c>
      <c r="C1787" s="6" t="str">
        <f t="shared" si="81"/>
        <v>Apr</v>
      </c>
      <c r="D1787" t="s">
        <v>210</v>
      </c>
      <c r="E1787" t="s">
        <v>26</v>
      </c>
      <c r="F1787" t="s">
        <v>480</v>
      </c>
      <c r="G1787">
        <v>9</v>
      </c>
      <c r="H1787" s="7">
        <v>111.68</v>
      </c>
      <c r="I1787" t="s">
        <v>103</v>
      </c>
      <c r="J1787" t="s">
        <v>42</v>
      </c>
      <c r="K1787">
        <v>20</v>
      </c>
      <c r="L1787" s="7">
        <f t="shared" si="82"/>
        <v>1005.1200000000001</v>
      </c>
      <c r="M1787" s="7"/>
      <c r="O1787">
        <f t="shared" si="83"/>
        <v>2</v>
      </c>
      <c r="Q1787" t="s">
        <v>104</v>
      </c>
    </row>
    <row r="1788" spans="1:17" x14ac:dyDescent="0.3">
      <c r="A1788" t="s">
        <v>2796</v>
      </c>
      <c r="B1788" s="6">
        <v>45096</v>
      </c>
      <c r="C1788" s="6" t="str">
        <f t="shared" si="81"/>
        <v>Jun</v>
      </c>
      <c r="D1788" t="s">
        <v>2797</v>
      </c>
      <c r="E1788" t="s">
        <v>31</v>
      </c>
      <c r="F1788" t="s">
        <v>37</v>
      </c>
      <c r="G1788">
        <v>2</v>
      </c>
      <c r="H1788" s="7">
        <v>114.43</v>
      </c>
      <c r="I1788" t="s">
        <v>46</v>
      </c>
      <c r="J1788" t="s">
        <v>72</v>
      </c>
      <c r="K1788">
        <v>10</v>
      </c>
      <c r="L1788" s="7">
        <f t="shared" si="82"/>
        <v>228.86</v>
      </c>
      <c r="M1788" s="7"/>
      <c r="O1788">
        <f t="shared" si="83"/>
        <v>2</v>
      </c>
      <c r="Q1788" t="s">
        <v>47</v>
      </c>
    </row>
    <row r="1789" spans="1:17" x14ac:dyDescent="0.3">
      <c r="A1789" t="s">
        <v>2798</v>
      </c>
      <c r="B1789" s="6">
        <v>44979</v>
      </c>
      <c r="C1789" s="6" t="str">
        <f t="shared" si="81"/>
        <v>Feb</v>
      </c>
      <c r="D1789" t="s">
        <v>253</v>
      </c>
      <c r="E1789" t="s">
        <v>40</v>
      </c>
      <c r="F1789" t="s">
        <v>71</v>
      </c>
      <c r="G1789">
        <v>3</v>
      </c>
      <c r="H1789" s="7">
        <v>365.96</v>
      </c>
      <c r="I1789" t="s">
        <v>103</v>
      </c>
      <c r="J1789" t="s">
        <v>19</v>
      </c>
      <c r="K1789">
        <v>5</v>
      </c>
      <c r="L1789" s="7">
        <f t="shared" si="82"/>
        <v>1097.8799999999999</v>
      </c>
      <c r="M1789" s="7"/>
      <c r="O1789">
        <f t="shared" si="83"/>
        <v>2</v>
      </c>
      <c r="Q1789" t="s">
        <v>104</v>
      </c>
    </row>
    <row r="1790" spans="1:17" x14ac:dyDescent="0.3">
      <c r="A1790" t="s">
        <v>2799</v>
      </c>
      <c r="B1790" s="6">
        <v>44983</v>
      </c>
      <c r="C1790" s="6" t="str">
        <f t="shared" si="81"/>
        <v>Feb</v>
      </c>
      <c r="D1790" t="s">
        <v>1011</v>
      </c>
      <c r="E1790" t="s">
        <v>31</v>
      </c>
      <c r="F1790" t="s">
        <v>119</v>
      </c>
      <c r="G1790">
        <v>7</v>
      </c>
      <c r="H1790" s="7">
        <v>252.64</v>
      </c>
      <c r="I1790" t="s">
        <v>46</v>
      </c>
      <c r="J1790" t="s">
        <v>19</v>
      </c>
      <c r="K1790">
        <v>10</v>
      </c>
      <c r="L1790" s="7">
        <f t="shared" si="82"/>
        <v>1768.48</v>
      </c>
      <c r="M1790" s="7"/>
      <c r="O1790">
        <f t="shared" si="83"/>
        <v>2</v>
      </c>
      <c r="Q1790" t="s">
        <v>47</v>
      </c>
    </row>
    <row r="1791" spans="1:17" x14ac:dyDescent="0.3">
      <c r="A1791" t="s">
        <v>2800</v>
      </c>
      <c r="B1791" s="6">
        <v>45052</v>
      </c>
      <c r="C1791" s="6" t="str">
        <f t="shared" si="81"/>
        <v>May</v>
      </c>
      <c r="D1791" t="s">
        <v>2801</v>
      </c>
      <c r="E1791" t="s">
        <v>62</v>
      </c>
      <c r="F1791" t="s">
        <v>722</v>
      </c>
      <c r="G1791">
        <v>5</v>
      </c>
      <c r="H1791" s="7">
        <v>210.5</v>
      </c>
      <c r="I1791" t="s">
        <v>46</v>
      </c>
      <c r="J1791" t="s">
        <v>19</v>
      </c>
      <c r="K1791">
        <v>5</v>
      </c>
      <c r="L1791" s="7">
        <f t="shared" si="82"/>
        <v>1052.5</v>
      </c>
      <c r="M1791" s="7"/>
      <c r="O1791">
        <f t="shared" si="83"/>
        <v>2</v>
      </c>
      <c r="Q1791" t="s">
        <v>47</v>
      </c>
    </row>
    <row r="1792" spans="1:17" x14ac:dyDescent="0.3">
      <c r="A1792" t="s">
        <v>2802</v>
      </c>
      <c r="B1792" s="6">
        <v>45269</v>
      </c>
      <c r="C1792" s="6" t="str">
        <f t="shared" si="81"/>
        <v>Dec</v>
      </c>
      <c r="D1792" t="s">
        <v>506</v>
      </c>
      <c r="E1792" t="s">
        <v>50</v>
      </c>
      <c r="F1792" t="s">
        <v>1085</v>
      </c>
      <c r="G1792">
        <v>2</v>
      </c>
      <c r="H1792" s="7">
        <v>88.76</v>
      </c>
      <c r="I1792" t="s">
        <v>21</v>
      </c>
      <c r="J1792" t="s">
        <v>42</v>
      </c>
      <c r="K1792">
        <v>0</v>
      </c>
      <c r="L1792" s="7">
        <f t="shared" si="82"/>
        <v>177.52</v>
      </c>
      <c r="M1792" s="7"/>
      <c r="O1792">
        <f t="shared" si="83"/>
        <v>2</v>
      </c>
      <c r="Q1792" t="s">
        <v>23</v>
      </c>
    </row>
    <row r="1793" spans="1:17" x14ac:dyDescent="0.3">
      <c r="A1793" t="s">
        <v>2803</v>
      </c>
      <c r="B1793" s="6">
        <v>45142</v>
      </c>
      <c r="C1793" s="6" t="str">
        <f t="shared" si="81"/>
        <v>Aug</v>
      </c>
      <c r="D1793" t="s">
        <v>1591</v>
      </c>
      <c r="E1793" t="s">
        <v>50</v>
      </c>
      <c r="F1793" t="s">
        <v>246</v>
      </c>
      <c r="G1793">
        <v>5</v>
      </c>
      <c r="H1793" s="7">
        <v>97.83</v>
      </c>
      <c r="I1793" t="s">
        <v>19</v>
      </c>
      <c r="J1793" t="s">
        <v>22</v>
      </c>
      <c r="K1793">
        <v>15</v>
      </c>
      <c r="L1793" s="7">
        <f t="shared" si="82"/>
        <v>489.15</v>
      </c>
      <c r="M1793" s="7"/>
      <c r="O1793">
        <f t="shared" si="83"/>
        <v>2</v>
      </c>
      <c r="Q1793" t="s">
        <v>19</v>
      </c>
    </row>
    <row r="1794" spans="1:17" x14ac:dyDescent="0.3">
      <c r="A1794" t="s">
        <v>2804</v>
      </c>
      <c r="B1794" s="6">
        <v>44956</v>
      </c>
      <c r="C1794" s="6" t="str">
        <f t="shared" si="81"/>
        <v>Jan</v>
      </c>
      <c r="D1794" t="s">
        <v>2738</v>
      </c>
      <c r="E1794" t="s">
        <v>19</v>
      </c>
      <c r="F1794" t="s">
        <v>208</v>
      </c>
      <c r="G1794">
        <v>6</v>
      </c>
      <c r="H1794" s="7">
        <v>10.220000000000001</v>
      </c>
      <c r="I1794" t="s">
        <v>46</v>
      </c>
      <c r="J1794" t="s">
        <v>42</v>
      </c>
      <c r="K1794">
        <v>20</v>
      </c>
      <c r="L1794" s="7">
        <f t="shared" si="82"/>
        <v>61.320000000000007</v>
      </c>
      <c r="M1794" s="7"/>
      <c r="O1794">
        <f t="shared" si="83"/>
        <v>2</v>
      </c>
      <c r="Q1794" t="s">
        <v>47</v>
      </c>
    </row>
    <row r="1795" spans="1:17" x14ac:dyDescent="0.3">
      <c r="A1795" t="s">
        <v>2805</v>
      </c>
      <c r="B1795" s="6">
        <v>45160</v>
      </c>
      <c r="C1795" s="6" t="str">
        <f t="shared" ref="C1795:C1858" si="84">TEXT(B1795,"MMM")</f>
        <v>Aug</v>
      </c>
      <c r="D1795" t="s">
        <v>1818</v>
      </c>
      <c r="E1795" t="s">
        <v>62</v>
      </c>
      <c r="F1795" t="s">
        <v>932</v>
      </c>
      <c r="G1795">
        <v>7</v>
      </c>
      <c r="H1795" s="7">
        <v>50.26</v>
      </c>
      <c r="I1795" t="s">
        <v>64</v>
      </c>
      <c r="J1795" t="s">
        <v>19</v>
      </c>
      <c r="K1795">
        <v>15</v>
      </c>
      <c r="L1795" s="7">
        <f t="shared" ref="L1795:L1858" si="85">G1795*H1795</f>
        <v>351.82</v>
      </c>
      <c r="M1795" s="7"/>
      <c r="O1795">
        <f t="shared" si="83"/>
        <v>2</v>
      </c>
      <c r="Q1795" t="s">
        <v>65</v>
      </c>
    </row>
    <row r="1796" spans="1:17" x14ac:dyDescent="0.3">
      <c r="A1796" t="s">
        <v>2806</v>
      </c>
      <c r="B1796" s="6">
        <v>44943</v>
      </c>
      <c r="C1796" s="6" t="str">
        <f t="shared" si="84"/>
        <v>Jan</v>
      </c>
      <c r="D1796" t="s">
        <v>1444</v>
      </c>
      <c r="E1796" t="s">
        <v>19</v>
      </c>
      <c r="F1796" t="s">
        <v>1251</v>
      </c>
      <c r="G1796">
        <v>9</v>
      </c>
      <c r="H1796" s="7">
        <v>280.64</v>
      </c>
      <c r="I1796" t="s">
        <v>21</v>
      </c>
      <c r="J1796" t="s">
        <v>19</v>
      </c>
      <c r="K1796">
        <v>15</v>
      </c>
      <c r="L1796" s="7">
        <f t="shared" si="85"/>
        <v>2525.7599999999998</v>
      </c>
      <c r="M1796" s="7"/>
      <c r="O1796">
        <f t="shared" ref="O1796:O1859" si="86">IF(L1796&gt;3500,5,IF(L1796&gt;3000,4,IF(L1796&gt;2500,3,IF(L1796&gt;2000,2,IF(L1796&gt;1000,2,2)))))</f>
        <v>3</v>
      </c>
      <c r="Q1796" t="s">
        <v>23</v>
      </c>
    </row>
    <row r="1797" spans="1:17" x14ac:dyDescent="0.3">
      <c r="A1797" t="s">
        <v>2807</v>
      </c>
      <c r="B1797" s="6">
        <v>45092</v>
      </c>
      <c r="C1797" s="6" t="str">
        <f t="shared" si="84"/>
        <v>Jun</v>
      </c>
      <c r="D1797" t="s">
        <v>2222</v>
      </c>
      <c r="E1797" t="s">
        <v>19</v>
      </c>
      <c r="F1797" t="s">
        <v>932</v>
      </c>
      <c r="G1797">
        <v>1</v>
      </c>
      <c r="H1797" s="7">
        <v>446.48</v>
      </c>
      <c r="I1797" t="s">
        <v>64</v>
      </c>
      <c r="J1797" t="s">
        <v>42</v>
      </c>
      <c r="K1797">
        <v>15</v>
      </c>
      <c r="L1797" s="7">
        <f t="shared" si="85"/>
        <v>446.48</v>
      </c>
      <c r="M1797" s="7"/>
      <c r="O1797">
        <f t="shared" si="86"/>
        <v>2</v>
      </c>
      <c r="Q1797" t="s">
        <v>65</v>
      </c>
    </row>
    <row r="1798" spans="1:17" x14ac:dyDescent="0.3">
      <c r="A1798" t="s">
        <v>2808</v>
      </c>
      <c r="B1798" s="6">
        <v>45289</v>
      </c>
      <c r="C1798" s="6" t="str">
        <f t="shared" si="84"/>
        <v>Dec</v>
      </c>
      <c r="D1798" t="s">
        <v>1940</v>
      </c>
      <c r="E1798" t="s">
        <v>26</v>
      </c>
      <c r="F1798" t="s">
        <v>75</v>
      </c>
      <c r="G1798">
        <v>7</v>
      </c>
      <c r="H1798" s="7">
        <v>147.15</v>
      </c>
      <c r="I1798" t="s">
        <v>46</v>
      </c>
      <c r="J1798" t="s">
        <v>42</v>
      </c>
      <c r="K1798">
        <v>5</v>
      </c>
      <c r="L1798" s="7">
        <f t="shared" si="85"/>
        <v>1030.05</v>
      </c>
      <c r="M1798" s="7"/>
      <c r="O1798">
        <f t="shared" si="86"/>
        <v>2</v>
      </c>
      <c r="Q1798" t="s">
        <v>47</v>
      </c>
    </row>
    <row r="1799" spans="1:17" x14ac:dyDescent="0.3">
      <c r="A1799" t="s">
        <v>2809</v>
      </c>
      <c r="B1799" s="6">
        <v>44949</v>
      </c>
      <c r="C1799" s="6" t="str">
        <f t="shared" si="84"/>
        <v>Jan</v>
      </c>
      <c r="D1799" t="s">
        <v>2119</v>
      </c>
      <c r="E1799" t="s">
        <v>26</v>
      </c>
      <c r="F1799" t="s">
        <v>205</v>
      </c>
      <c r="G1799">
        <v>8</v>
      </c>
      <c r="H1799" s="7">
        <v>167.23</v>
      </c>
      <c r="I1799" t="s">
        <v>32</v>
      </c>
      <c r="J1799" t="s">
        <v>28</v>
      </c>
      <c r="K1799">
        <v>5</v>
      </c>
      <c r="L1799" s="7">
        <f t="shared" si="85"/>
        <v>1337.84</v>
      </c>
      <c r="M1799" s="7"/>
      <c r="O1799">
        <f t="shared" si="86"/>
        <v>2</v>
      </c>
      <c r="Q1799" t="s">
        <v>33</v>
      </c>
    </row>
    <row r="1800" spans="1:17" x14ac:dyDescent="0.3">
      <c r="A1800" t="s">
        <v>2810</v>
      </c>
      <c r="B1800" s="6">
        <v>45167</v>
      </c>
      <c r="C1800" s="6" t="str">
        <f t="shared" si="84"/>
        <v>Aug</v>
      </c>
      <c r="D1800" t="s">
        <v>2811</v>
      </c>
      <c r="E1800" t="s">
        <v>31</v>
      </c>
      <c r="F1800" t="s">
        <v>54</v>
      </c>
      <c r="G1800">
        <v>3</v>
      </c>
      <c r="H1800" s="7">
        <v>62.22</v>
      </c>
      <c r="I1800" t="s">
        <v>64</v>
      </c>
      <c r="J1800" t="s">
        <v>22</v>
      </c>
      <c r="K1800">
        <v>20</v>
      </c>
      <c r="L1800" s="7">
        <f t="shared" si="85"/>
        <v>186.66</v>
      </c>
      <c r="M1800" s="7"/>
      <c r="O1800">
        <f t="shared" si="86"/>
        <v>2</v>
      </c>
      <c r="Q1800" t="s">
        <v>65</v>
      </c>
    </row>
    <row r="1801" spans="1:17" x14ac:dyDescent="0.3">
      <c r="A1801" t="s">
        <v>2812</v>
      </c>
      <c r="B1801" s="6">
        <v>44949</v>
      </c>
      <c r="C1801" s="6" t="str">
        <f t="shared" si="84"/>
        <v>Jan</v>
      </c>
      <c r="D1801" t="s">
        <v>245</v>
      </c>
      <c r="E1801" t="s">
        <v>36</v>
      </c>
      <c r="F1801" t="s">
        <v>251</v>
      </c>
      <c r="G1801">
        <v>4</v>
      </c>
      <c r="H1801" s="7">
        <v>197.37</v>
      </c>
      <c r="I1801" t="s">
        <v>103</v>
      </c>
      <c r="J1801" t="s">
        <v>72</v>
      </c>
      <c r="K1801">
        <v>5</v>
      </c>
      <c r="L1801" s="7">
        <f t="shared" si="85"/>
        <v>789.48</v>
      </c>
      <c r="M1801" s="7"/>
      <c r="O1801">
        <f t="shared" si="86"/>
        <v>2</v>
      </c>
      <c r="Q1801" t="s">
        <v>104</v>
      </c>
    </row>
    <row r="1802" spans="1:17" x14ac:dyDescent="0.3">
      <c r="A1802" t="s">
        <v>2813</v>
      </c>
      <c r="B1802" s="6">
        <v>45042</v>
      </c>
      <c r="C1802" s="6" t="str">
        <f t="shared" si="84"/>
        <v>Apr</v>
      </c>
      <c r="D1802" t="s">
        <v>2001</v>
      </c>
      <c r="E1802" t="s">
        <v>36</v>
      </c>
      <c r="F1802" t="s">
        <v>350</v>
      </c>
      <c r="G1802">
        <v>6</v>
      </c>
      <c r="H1802" s="7">
        <v>23.42</v>
      </c>
      <c r="I1802" t="s">
        <v>46</v>
      </c>
      <c r="J1802" t="s">
        <v>42</v>
      </c>
      <c r="K1802">
        <v>10</v>
      </c>
      <c r="L1802" s="7">
        <f t="shared" si="85"/>
        <v>140.52000000000001</v>
      </c>
      <c r="M1802" s="7"/>
      <c r="O1802">
        <f t="shared" si="86"/>
        <v>2</v>
      </c>
      <c r="Q1802" t="s">
        <v>47</v>
      </c>
    </row>
    <row r="1803" spans="1:17" x14ac:dyDescent="0.3">
      <c r="A1803" t="s">
        <v>2814</v>
      </c>
      <c r="B1803" s="6">
        <v>45193</v>
      </c>
      <c r="C1803" s="6" t="str">
        <f t="shared" si="84"/>
        <v>Sep</v>
      </c>
      <c r="D1803" t="s">
        <v>1781</v>
      </c>
      <c r="E1803" t="s">
        <v>31</v>
      </c>
      <c r="F1803" t="s">
        <v>406</v>
      </c>
      <c r="G1803">
        <v>7</v>
      </c>
      <c r="H1803" s="7">
        <v>459.21</v>
      </c>
      <c r="I1803" t="s">
        <v>46</v>
      </c>
      <c r="J1803" t="s">
        <v>28</v>
      </c>
      <c r="K1803">
        <v>5</v>
      </c>
      <c r="L1803" s="7">
        <f t="shared" si="85"/>
        <v>3214.47</v>
      </c>
      <c r="M1803" s="7"/>
      <c r="O1803">
        <f t="shared" si="86"/>
        <v>4</v>
      </c>
      <c r="Q1803" t="s">
        <v>47</v>
      </c>
    </row>
    <row r="1804" spans="1:17" x14ac:dyDescent="0.3">
      <c r="A1804" t="s">
        <v>2815</v>
      </c>
      <c r="B1804" s="6">
        <v>44961</v>
      </c>
      <c r="C1804" s="6" t="str">
        <f t="shared" si="84"/>
        <v>Feb</v>
      </c>
      <c r="D1804" t="s">
        <v>1271</v>
      </c>
      <c r="E1804" t="s">
        <v>62</v>
      </c>
      <c r="F1804" t="s">
        <v>160</v>
      </c>
      <c r="G1804">
        <v>4</v>
      </c>
      <c r="H1804" s="7">
        <v>338.19</v>
      </c>
      <c r="I1804" t="s">
        <v>32</v>
      </c>
      <c r="J1804" t="s">
        <v>87</v>
      </c>
      <c r="K1804">
        <v>5</v>
      </c>
      <c r="L1804" s="7">
        <f t="shared" si="85"/>
        <v>1352.76</v>
      </c>
      <c r="M1804" s="7"/>
      <c r="O1804">
        <f t="shared" si="86"/>
        <v>2</v>
      </c>
      <c r="Q1804" t="s">
        <v>33</v>
      </c>
    </row>
    <row r="1805" spans="1:17" x14ac:dyDescent="0.3">
      <c r="A1805" t="s">
        <v>2816</v>
      </c>
      <c r="B1805" s="6">
        <v>45092</v>
      </c>
      <c r="C1805" s="6" t="str">
        <f t="shared" si="84"/>
        <v>Jun</v>
      </c>
      <c r="D1805" t="s">
        <v>2817</v>
      </c>
      <c r="E1805" t="s">
        <v>40</v>
      </c>
      <c r="F1805" t="s">
        <v>913</v>
      </c>
      <c r="G1805">
        <v>5</v>
      </c>
      <c r="H1805" s="7">
        <v>495.42</v>
      </c>
      <c r="I1805" t="s">
        <v>21</v>
      </c>
      <c r="J1805" t="s">
        <v>42</v>
      </c>
      <c r="K1805">
        <v>5</v>
      </c>
      <c r="L1805" s="7">
        <f t="shared" si="85"/>
        <v>2477.1</v>
      </c>
      <c r="M1805" s="7"/>
      <c r="O1805">
        <f t="shared" si="86"/>
        <v>2</v>
      </c>
      <c r="Q1805" t="s">
        <v>23</v>
      </c>
    </row>
    <row r="1806" spans="1:17" x14ac:dyDescent="0.3">
      <c r="A1806" t="s">
        <v>2818</v>
      </c>
      <c r="B1806" s="6">
        <v>44949</v>
      </c>
      <c r="C1806" s="6" t="str">
        <f t="shared" si="84"/>
        <v>Jan</v>
      </c>
      <c r="D1806" t="s">
        <v>1173</v>
      </c>
      <c r="E1806" t="s">
        <v>36</v>
      </c>
      <c r="F1806" t="s">
        <v>975</v>
      </c>
      <c r="G1806">
        <v>5</v>
      </c>
      <c r="H1806" s="7">
        <v>442</v>
      </c>
      <c r="I1806" t="s">
        <v>46</v>
      </c>
      <c r="J1806" t="s">
        <v>42</v>
      </c>
      <c r="K1806">
        <v>0</v>
      </c>
      <c r="L1806" s="7">
        <f t="shared" si="85"/>
        <v>2210</v>
      </c>
      <c r="M1806" s="7"/>
      <c r="O1806">
        <f t="shared" si="86"/>
        <v>2</v>
      </c>
      <c r="Q1806" t="s">
        <v>47</v>
      </c>
    </row>
    <row r="1807" spans="1:17" x14ac:dyDescent="0.3">
      <c r="A1807" t="s">
        <v>2819</v>
      </c>
      <c r="B1807" s="6">
        <v>44992</v>
      </c>
      <c r="C1807" s="6" t="str">
        <f t="shared" si="84"/>
        <v>Mar</v>
      </c>
      <c r="D1807" t="s">
        <v>2329</v>
      </c>
      <c r="E1807" t="s">
        <v>26</v>
      </c>
      <c r="F1807" t="s">
        <v>292</v>
      </c>
      <c r="G1807">
        <v>1</v>
      </c>
      <c r="H1807" s="7">
        <v>239.13</v>
      </c>
      <c r="I1807" t="s">
        <v>21</v>
      </c>
      <c r="J1807" t="s">
        <v>42</v>
      </c>
      <c r="K1807">
        <v>20</v>
      </c>
      <c r="L1807" s="7">
        <f t="shared" si="85"/>
        <v>239.13</v>
      </c>
      <c r="M1807" s="7"/>
      <c r="O1807">
        <f t="shared" si="86"/>
        <v>2</v>
      </c>
      <c r="Q1807" t="s">
        <v>23</v>
      </c>
    </row>
    <row r="1808" spans="1:17" x14ac:dyDescent="0.3">
      <c r="A1808" t="s">
        <v>2820</v>
      </c>
      <c r="B1808" s="6">
        <v>44939</v>
      </c>
      <c r="C1808" s="6" t="str">
        <f t="shared" si="84"/>
        <v>Jan</v>
      </c>
      <c r="D1808" t="s">
        <v>843</v>
      </c>
      <c r="E1808" t="s">
        <v>50</v>
      </c>
      <c r="F1808" t="s">
        <v>165</v>
      </c>
      <c r="G1808">
        <v>4</v>
      </c>
      <c r="H1808" s="7">
        <v>262.24</v>
      </c>
      <c r="I1808" t="s">
        <v>21</v>
      </c>
      <c r="J1808" t="s">
        <v>42</v>
      </c>
      <c r="K1808">
        <v>10</v>
      </c>
      <c r="L1808" s="7">
        <f t="shared" si="85"/>
        <v>1048.96</v>
      </c>
      <c r="M1808" s="7"/>
      <c r="O1808">
        <f t="shared" si="86"/>
        <v>2</v>
      </c>
      <c r="Q1808" t="s">
        <v>23</v>
      </c>
    </row>
    <row r="1809" spans="1:17" x14ac:dyDescent="0.3">
      <c r="A1809" t="s">
        <v>2821</v>
      </c>
      <c r="B1809" s="6">
        <v>45037</v>
      </c>
      <c r="C1809" s="6" t="str">
        <f t="shared" si="84"/>
        <v>Apr</v>
      </c>
      <c r="D1809" t="s">
        <v>656</v>
      </c>
      <c r="E1809" t="s">
        <v>19</v>
      </c>
      <c r="F1809" t="s">
        <v>284</v>
      </c>
      <c r="G1809">
        <v>3</v>
      </c>
      <c r="H1809" s="7">
        <v>99.34</v>
      </c>
      <c r="I1809" t="s">
        <v>32</v>
      </c>
      <c r="J1809" t="s">
        <v>42</v>
      </c>
      <c r="K1809">
        <v>5</v>
      </c>
      <c r="L1809" s="7">
        <f t="shared" si="85"/>
        <v>298.02</v>
      </c>
      <c r="M1809" s="7"/>
      <c r="O1809">
        <f t="shared" si="86"/>
        <v>2</v>
      </c>
      <c r="Q1809" t="s">
        <v>33</v>
      </c>
    </row>
    <row r="1810" spans="1:17" x14ac:dyDescent="0.3">
      <c r="A1810" t="s">
        <v>2822</v>
      </c>
      <c r="B1810" s="6">
        <v>45144</v>
      </c>
      <c r="C1810" s="6" t="str">
        <f t="shared" si="84"/>
        <v>Aug</v>
      </c>
      <c r="D1810" t="s">
        <v>2134</v>
      </c>
      <c r="E1810" t="s">
        <v>36</v>
      </c>
      <c r="F1810" t="s">
        <v>698</v>
      </c>
      <c r="G1810">
        <v>9</v>
      </c>
      <c r="H1810" s="7">
        <v>233.71</v>
      </c>
      <c r="I1810" t="s">
        <v>19</v>
      </c>
      <c r="J1810" t="s">
        <v>87</v>
      </c>
      <c r="K1810">
        <v>20</v>
      </c>
      <c r="L1810" s="7">
        <f t="shared" si="85"/>
        <v>2103.39</v>
      </c>
      <c r="M1810" s="7"/>
      <c r="O1810">
        <f t="shared" si="86"/>
        <v>2</v>
      </c>
      <c r="Q1810" t="s">
        <v>19</v>
      </c>
    </row>
    <row r="1811" spans="1:17" x14ac:dyDescent="0.3">
      <c r="A1811" t="s">
        <v>2823</v>
      </c>
      <c r="B1811" s="6">
        <v>45228</v>
      </c>
      <c r="C1811" s="6" t="str">
        <f t="shared" si="84"/>
        <v>Oct</v>
      </c>
      <c r="D1811" t="s">
        <v>2505</v>
      </c>
      <c r="E1811" t="s">
        <v>40</v>
      </c>
      <c r="F1811" t="s">
        <v>1237</v>
      </c>
      <c r="G1811">
        <v>8</v>
      </c>
      <c r="H1811" s="7">
        <v>452</v>
      </c>
      <c r="I1811" t="s">
        <v>64</v>
      </c>
      <c r="J1811" t="s">
        <v>87</v>
      </c>
      <c r="K1811">
        <v>10</v>
      </c>
      <c r="L1811" s="7">
        <f t="shared" si="85"/>
        <v>3616</v>
      </c>
      <c r="M1811" s="7"/>
      <c r="O1811">
        <f t="shared" si="86"/>
        <v>5</v>
      </c>
      <c r="Q1811" t="s">
        <v>65</v>
      </c>
    </row>
    <row r="1812" spans="1:17" x14ac:dyDescent="0.3">
      <c r="A1812" t="s">
        <v>2824</v>
      </c>
      <c r="B1812" s="6">
        <v>44998</v>
      </c>
      <c r="C1812" s="6" t="str">
        <f t="shared" si="84"/>
        <v>Mar</v>
      </c>
      <c r="D1812" t="s">
        <v>425</v>
      </c>
      <c r="E1812" t="s">
        <v>26</v>
      </c>
      <c r="F1812" t="s">
        <v>696</v>
      </c>
      <c r="G1812">
        <v>1</v>
      </c>
      <c r="H1812" s="7">
        <v>30.17</v>
      </c>
      <c r="I1812" t="s">
        <v>19</v>
      </c>
      <c r="J1812" t="s">
        <v>28</v>
      </c>
      <c r="K1812">
        <v>0</v>
      </c>
      <c r="L1812" s="7">
        <f t="shared" si="85"/>
        <v>30.17</v>
      </c>
      <c r="M1812" s="7"/>
      <c r="O1812">
        <f t="shared" si="86"/>
        <v>2</v>
      </c>
      <c r="Q1812" t="s">
        <v>19</v>
      </c>
    </row>
    <row r="1813" spans="1:17" x14ac:dyDescent="0.3">
      <c r="A1813" t="s">
        <v>2825</v>
      </c>
      <c r="B1813" s="6">
        <v>45003</v>
      </c>
      <c r="C1813" s="6" t="str">
        <f t="shared" si="84"/>
        <v>Mar</v>
      </c>
      <c r="D1813" t="s">
        <v>447</v>
      </c>
      <c r="E1813" t="s">
        <v>19</v>
      </c>
      <c r="F1813" t="s">
        <v>363</v>
      </c>
      <c r="G1813">
        <v>6</v>
      </c>
      <c r="H1813" s="7">
        <v>432.46</v>
      </c>
      <c r="I1813" t="s">
        <v>19</v>
      </c>
      <c r="J1813" t="s">
        <v>28</v>
      </c>
      <c r="K1813">
        <v>5</v>
      </c>
      <c r="L1813" s="7">
        <f t="shared" si="85"/>
        <v>2594.7599999999998</v>
      </c>
      <c r="M1813" s="7"/>
      <c r="O1813">
        <f t="shared" si="86"/>
        <v>3</v>
      </c>
      <c r="Q1813" t="s">
        <v>19</v>
      </c>
    </row>
    <row r="1814" spans="1:17" x14ac:dyDescent="0.3">
      <c r="A1814" t="s">
        <v>2826</v>
      </c>
      <c r="B1814" s="6">
        <v>45078</v>
      </c>
      <c r="C1814" s="6" t="str">
        <f t="shared" si="84"/>
        <v>Jun</v>
      </c>
      <c r="D1814" t="s">
        <v>548</v>
      </c>
      <c r="E1814" t="s">
        <v>36</v>
      </c>
      <c r="F1814" t="s">
        <v>267</v>
      </c>
      <c r="G1814">
        <v>9</v>
      </c>
      <c r="H1814" s="7">
        <v>173.77</v>
      </c>
      <c r="I1814" t="s">
        <v>32</v>
      </c>
      <c r="J1814" t="s">
        <v>87</v>
      </c>
      <c r="K1814">
        <v>10</v>
      </c>
      <c r="L1814" s="7">
        <f t="shared" si="85"/>
        <v>1563.93</v>
      </c>
      <c r="M1814" s="7"/>
      <c r="O1814">
        <f t="shared" si="86"/>
        <v>2</v>
      </c>
      <c r="Q1814" t="s">
        <v>33</v>
      </c>
    </row>
    <row r="1815" spans="1:17" x14ac:dyDescent="0.3">
      <c r="A1815" t="s">
        <v>2827</v>
      </c>
      <c r="B1815" s="6">
        <v>45050</v>
      </c>
      <c r="C1815" s="6" t="str">
        <f t="shared" si="84"/>
        <v>May</v>
      </c>
      <c r="D1815" t="s">
        <v>35</v>
      </c>
      <c r="E1815" t="s">
        <v>36</v>
      </c>
      <c r="F1815" t="s">
        <v>251</v>
      </c>
      <c r="G1815">
        <v>7</v>
      </c>
      <c r="H1815" s="7">
        <v>450.26</v>
      </c>
      <c r="I1815" t="s">
        <v>64</v>
      </c>
      <c r="J1815" t="s">
        <v>72</v>
      </c>
      <c r="K1815">
        <v>0</v>
      </c>
      <c r="L1815" s="7">
        <f t="shared" si="85"/>
        <v>3151.8199999999997</v>
      </c>
      <c r="M1815" s="7"/>
      <c r="O1815">
        <f t="shared" si="86"/>
        <v>4</v>
      </c>
      <c r="Q1815" t="s">
        <v>65</v>
      </c>
    </row>
    <row r="1816" spans="1:17" x14ac:dyDescent="0.3">
      <c r="A1816" t="s">
        <v>2828</v>
      </c>
      <c r="B1816" s="6">
        <v>44964</v>
      </c>
      <c r="C1816" s="6" t="str">
        <f t="shared" si="84"/>
        <v>Feb</v>
      </c>
      <c r="D1816" t="s">
        <v>1737</v>
      </c>
      <c r="E1816" t="s">
        <v>19</v>
      </c>
      <c r="F1816" t="s">
        <v>325</v>
      </c>
      <c r="G1816">
        <v>4</v>
      </c>
      <c r="H1816" s="7">
        <v>470.74</v>
      </c>
      <c r="I1816" t="s">
        <v>46</v>
      </c>
      <c r="J1816" t="s">
        <v>22</v>
      </c>
      <c r="K1816">
        <v>10</v>
      </c>
      <c r="L1816" s="7">
        <f t="shared" si="85"/>
        <v>1882.96</v>
      </c>
      <c r="M1816" s="7"/>
      <c r="O1816">
        <f t="shared" si="86"/>
        <v>2</v>
      </c>
      <c r="Q1816" t="s">
        <v>47</v>
      </c>
    </row>
    <row r="1817" spans="1:17" x14ac:dyDescent="0.3">
      <c r="A1817" t="s">
        <v>2829</v>
      </c>
      <c r="B1817" s="6">
        <v>45102</v>
      </c>
      <c r="C1817" s="6" t="str">
        <f t="shared" si="84"/>
        <v>Jun</v>
      </c>
      <c r="D1817" t="s">
        <v>2124</v>
      </c>
      <c r="E1817" t="s">
        <v>50</v>
      </c>
      <c r="F1817" t="s">
        <v>713</v>
      </c>
      <c r="G1817">
        <v>1</v>
      </c>
      <c r="H1817" s="7">
        <v>337.08</v>
      </c>
      <c r="I1817" t="s">
        <v>64</v>
      </c>
      <c r="J1817" t="s">
        <v>19</v>
      </c>
      <c r="K1817">
        <v>0</v>
      </c>
      <c r="L1817" s="7">
        <f t="shared" si="85"/>
        <v>337.08</v>
      </c>
      <c r="M1817" s="7"/>
      <c r="O1817">
        <f t="shared" si="86"/>
        <v>2</v>
      </c>
      <c r="Q1817" t="s">
        <v>65</v>
      </c>
    </row>
    <row r="1818" spans="1:17" x14ac:dyDescent="0.3">
      <c r="A1818" t="s">
        <v>2830</v>
      </c>
      <c r="B1818" s="6">
        <v>44941</v>
      </c>
      <c r="C1818" s="6" t="str">
        <f t="shared" si="84"/>
        <v>Jan</v>
      </c>
      <c r="D1818" t="s">
        <v>883</v>
      </c>
      <c r="E1818" t="s">
        <v>36</v>
      </c>
      <c r="F1818" t="s">
        <v>474</v>
      </c>
      <c r="G1818">
        <v>2</v>
      </c>
      <c r="H1818" s="7">
        <v>333.89</v>
      </c>
      <c r="I1818" t="s">
        <v>19</v>
      </c>
      <c r="J1818" t="s">
        <v>42</v>
      </c>
      <c r="K1818">
        <v>10</v>
      </c>
      <c r="L1818" s="7">
        <f t="shared" si="85"/>
        <v>667.78</v>
      </c>
      <c r="M1818" s="7"/>
      <c r="O1818">
        <f t="shared" si="86"/>
        <v>2</v>
      </c>
      <c r="Q1818" t="s">
        <v>19</v>
      </c>
    </row>
    <row r="1819" spans="1:17" x14ac:dyDescent="0.3">
      <c r="A1819" t="s">
        <v>2831</v>
      </c>
      <c r="B1819" s="6">
        <v>45108</v>
      </c>
      <c r="C1819" s="6" t="str">
        <f t="shared" si="84"/>
        <v>Jul</v>
      </c>
      <c r="D1819" t="s">
        <v>2832</v>
      </c>
      <c r="E1819" t="s">
        <v>40</v>
      </c>
      <c r="F1819" t="s">
        <v>170</v>
      </c>
      <c r="G1819">
        <v>5</v>
      </c>
      <c r="H1819" s="7">
        <v>252.16</v>
      </c>
      <c r="I1819" t="s">
        <v>32</v>
      </c>
      <c r="J1819" t="s">
        <v>72</v>
      </c>
      <c r="K1819">
        <v>20</v>
      </c>
      <c r="L1819" s="7">
        <f t="shared" si="85"/>
        <v>1260.8</v>
      </c>
      <c r="M1819" s="7"/>
      <c r="O1819">
        <f t="shared" si="86"/>
        <v>2</v>
      </c>
      <c r="Q1819" t="s">
        <v>33</v>
      </c>
    </row>
    <row r="1820" spans="1:17" x14ac:dyDescent="0.3">
      <c r="A1820" t="s">
        <v>2833</v>
      </c>
      <c r="B1820" s="6">
        <v>45010</v>
      </c>
      <c r="C1820" s="6" t="str">
        <f t="shared" si="84"/>
        <v>Mar</v>
      </c>
      <c r="D1820" t="s">
        <v>574</v>
      </c>
      <c r="E1820" t="s">
        <v>36</v>
      </c>
      <c r="F1820" t="s">
        <v>619</v>
      </c>
      <c r="G1820">
        <v>5</v>
      </c>
      <c r="H1820" s="7">
        <v>418.59</v>
      </c>
      <c r="I1820" t="s">
        <v>19</v>
      </c>
      <c r="J1820" t="s">
        <v>19</v>
      </c>
      <c r="K1820">
        <v>0</v>
      </c>
      <c r="L1820" s="7">
        <f t="shared" si="85"/>
        <v>2092.9499999999998</v>
      </c>
      <c r="M1820" s="7"/>
      <c r="O1820">
        <f t="shared" si="86"/>
        <v>2</v>
      </c>
      <c r="Q1820" t="s">
        <v>19</v>
      </c>
    </row>
    <row r="1821" spans="1:17" x14ac:dyDescent="0.3">
      <c r="A1821" t="s">
        <v>2834</v>
      </c>
      <c r="B1821" s="6">
        <v>44971</v>
      </c>
      <c r="C1821" s="6" t="str">
        <f t="shared" si="84"/>
        <v>Feb</v>
      </c>
      <c r="D1821" t="s">
        <v>1594</v>
      </c>
      <c r="E1821" t="s">
        <v>19</v>
      </c>
      <c r="F1821" t="s">
        <v>598</v>
      </c>
      <c r="G1821">
        <v>8</v>
      </c>
      <c r="H1821" s="7">
        <v>481</v>
      </c>
      <c r="I1821" t="s">
        <v>64</v>
      </c>
      <c r="J1821" t="s">
        <v>22</v>
      </c>
      <c r="K1821">
        <v>15</v>
      </c>
      <c r="L1821" s="7">
        <f t="shared" si="85"/>
        <v>3848</v>
      </c>
      <c r="M1821" s="7"/>
      <c r="O1821">
        <f t="shared" si="86"/>
        <v>5</v>
      </c>
      <c r="Q1821" t="s">
        <v>65</v>
      </c>
    </row>
    <row r="1822" spans="1:17" x14ac:dyDescent="0.3">
      <c r="A1822" t="s">
        <v>2835</v>
      </c>
      <c r="B1822" s="6">
        <v>45247</v>
      </c>
      <c r="C1822" s="6" t="str">
        <f t="shared" si="84"/>
        <v>Nov</v>
      </c>
      <c r="D1822" t="s">
        <v>184</v>
      </c>
      <c r="E1822" t="s">
        <v>40</v>
      </c>
      <c r="F1822" t="s">
        <v>708</v>
      </c>
      <c r="G1822">
        <v>6</v>
      </c>
      <c r="H1822" s="7">
        <v>388.67</v>
      </c>
      <c r="I1822" t="s">
        <v>19</v>
      </c>
      <c r="J1822" t="s">
        <v>19</v>
      </c>
      <c r="K1822">
        <v>10</v>
      </c>
      <c r="L1822" s="7">
        <f t="shared" si="85"/>
        <v>2332.02</v>
      </c>
      <c r="M1822" s="7"/>
      <c r="O1822">
        <f t="shared" si="86"/>
        <v>2</v>
      </c>
      <c r="Q1822" t="s">
        <v>19</v>
      </c>
    </row>
    <row r="1823" spans="1:17" x14ac:dyDescent="0.3">
      <c r="A1823" t="s">
        <v>2836</v>
      </c>
      <c r="B1823" s="6">
        <v>45151</v>
      </c>
      <c r="C1823" s="6" t="str">
        <f t="shared" si="84"/>
        <v>Aug</v>
      </c>
      <c r="D1823" t="s">
        <v>802</v>
      </c>
      <c r="E1823" t="s">
        <v>62</v>
      </c>
      <c r="F1823" t="s">
        <v>719</v>
      </c>
      <c r="G1823">
        <v>8</v>
      </c>
      <c r="H1823" s="7">
        <v>312.86</v>
      </c>
      <c r="I1823" t="s">
        <v>19</v>
      </c>
      <c r="J1823" t="s">
        <v>19</v>
      </c>
      <c r="K1823">
        <v>15</v>
      </c>
      <c r="L1823" s="7">
        <f t="shared" si="85"/>
        <v>2502.88</v>
      </c>
      <c r="M1823" s="7"/>
      <c r="O1823">
        <f t="shared" si="86"/>
        <v>3</v>
      </c>
      <c r="Q1823" t="s">
        <v>19</v>
      </c>
    </row>
    <row r="1824" spans="1:17" x14ac:dyDescent="0.3">
      <c r="A1824" t="s">
        <v>2837</v>
      </c>
      <c r="B1824" s="6">
        <v>45090</v>
      </c>
      <c r="C1824" s="6" t="str">
        <f t="shared" si="84"/>
        <v>Jun</v>
      </c>
      <c r="D1824" t="s">
        <v>785</v>
      </c>
      <c r="E1824" t="s">
        <v>62</v>
      </c>
      <c r="F1824" t="s">
        <v>1461</v>
      </c>
      <c r="G1824">
        <v>2</v>
      </c>
      <c r="H1824" s="7">
        <v>305.36</v>
      </c>
      <c r="I1824" t="s">
        <v>46</v>
      </c>
      <c r="J1824" t="s">
        <v>19</v>
      </c>
      <c r="K1824">
        <v>10</v>
      </c>
      <c r="L1824" s="7">
        <f t="shared" si="85"/>
        <v>610.72</v>
      </c>
      <c r="M1824" s="7"/>
      <c r="O1824">
        <f t="shared" si="86"/>
        <v>2</v>
      </c>
      <c r="Q1824" t="s">
        <v>47</v>
      </c>
    </row>
    <row r="1825" spans="1:17" x14ac:dyDescent="0.3">
      <c r="A1825" t="s">
        <v>2838</v>
      </c>
      <c r="B1825" s="6">
        <v>45000</v>
      </c>
      <c r="C1825" s="6" t="str">
        <f t="shared" si="84"/>
        <v>Mar</v>
      </c>
      <c r="D1825" t="s">
        <v>1442</v>
      </c>
      <c r="E1825" t="s">
        <v>31</v>
      </c>
      <c r="F1825" t="s">
        <v>988</v>
      </c>
      <c r="G1825">
        <v>3</v>
      </c>
      <c r="H1825" s="7">
        <v>425.49</v>
      </c>
      <c r="I1825" t="s">
        <v>46</v>
      </c>
      <c r="J1825" t="s">
        <v>42</v>
      </c>
      <c r="K1825">
        <v>15</v>
      </c>
      <c r="L1825" s="7">
        <f t="shared" si="85"/>
        <v>1276.47</v>
      </c>
      <c r="M1825" s="7"/>
      <c r="O1825">
        <f t="shared" si="86"/>
        <v>2</v>
      </c>
      <c r="Q1825" t="s">
        <v>47</v>
      </c>
    </row>
    <row r="1826" spans="1:17" x14ac:dyDescent="0.3">
      <c r="A1826" t="s">
        <v>2839</v>
      </c>
      <c r="B1826" s="6">
        <v>45126</v>
      </c>
      <c r="C1826" s="6" t="str">
        <f t="shared" si="84"/>
        <v>Jul</v>
      </c>
      <c r="D1826" t="s">
        <v>1305</v>
      </c>
      <c r="E1826" t="s">
        <v>26</v>
      </c>
      <c r="F1826" t="s">
        <v>359</v>
      </c>
      <c r="G1826">
        <v>6</v>
      </c>
      <c r="H1826" s="7">
        <v>272.89999999999998</v>
      </c>
      <c r="I1826" t="s">
        <v>19</v>
      </c>
      <c r="J1826" t="s">
        <v>22</v>
      </c>
      <c r="K1826">
        <v>15</v>
      </c>
      <c r="L1826" s="7">
        <f t="shared" si="85"/>
        <v>1637.3999999999999</v>
      </c>
      <c r="M1826" s="7"/>
      <c r="O1826">
        <f t="shared" si="86"/>
        <v>2</v>
      </c>
      <c r="Q1826" t="s">
        <v>19</v>
      </c>
    </row>
    <row r="1827" spans="1:17" x14ac:dyDescent="0.3">
      <c r="A1827" t="s">
        <v>2840</v>
      </c>
      <c r="B1827" s="6">
        <v>45163</v>
      </c>
      <c r="C1827" s="6" t="str">
        <f t="shared" si="84"/>
        <v>Aug</v>
      </c>
      <c r="D1827" t="s">
        <v>1543</v>
      </c>
      <c r="E1827" t="s">
        <v>62</v>
      </c>
      <c r="F1827" t="s">
        <v>179</v>
      </c>
      <c r="G1827">
        <v>3</v>
      </c>
      <c r="H1827" s="7">
        <v>402.91</v>
      </c>
      <c r="I1827" t="s">
        <v>19</v>
      </c>
      <c r="J1827" t="s">
        <v>28</v>
      </c>
      <c r="K1827">
        <v>10</v>
      </c>
      <c r="L1827" s="7">
        <f t="shared" si="85"/>
        <v>1208.73</v>
      </c>
      <c r="M1827" s="7"/>
      <c r="O1827">
        <f t="shared" si="86"/>
        <v>2</v>
      </c>
      <c r="Q1827" t="s">
        <v>19</v>
      </c>
    </row>
    <row r="1828" spans="1:17" x14ac:dyDescent="0.3">
      <c r="A1828" t="s">
        <v>2841</v>
      </c>
      <c r="B1828" s="6">
        <v>45027</v>
      </c>
      <c r="C1828" s="6" t="str">
        <f t="shared" si="84"/>
        <v>Apr</v>
      </c>
      <c r="D1828" t="s">
        <v>1918</v>
      </c>
      <c r="E1828" t="s">
        <v>19</v>
      </c>
      <c r="F1828" t="s">
        <v>298</v>
      </c>
      <c r="G1828">
        <v>6</v>
      </c>
      <c r="H1828" s="7">
        <v>256.89999999999998</v>
      </c>
      <c r="I1828" t="s">
        <v>19</v>
      </c>
      <c r="J1828" t="s">
        <v>22</v>
      </c>
      <c r="K1828">
        <v>0</v>
      </c>
      <c r="L1828" s="7">
        <f t="shared" si="85"/>
        <v>1541.3999999999999</v>
      </c>
      <c r="M1828" s="7"/>
      <c r="O1828">
        <f t="shared" si="86"/>
        <v>2</v>
      </c>
      <c r="Q1828" t="s">
        <v>19</v>
      </c>
    </row>
    <row r="1829" spans="1:17" x14ac:dyDescent="0.3">
      <c r="A1829" t="s">
        <v>2842</v>
      </c>
      <c r="B1829" s="6">
        <v>45014</v>
      </c>
      <c r="C1829" s="6" t="str">
        <f t="shared" si="84"/>
        <v>Mar</v>
      </c>
      <c r="D1829" t="s">
        <v>2843</v>
      </c>
      <c r="E1829" t="s">
        <v>26</v>
      </c>
      <c r="F1829" t="s">
        <v>386</v>
      </c>
      <c r="G1829">
        <v>6</v>
      </c>
      <c r="H1829" s="7">
        <v>35.909999999999997</v>
      </c>
      <c r="I1829" t="s">
        <v>32</v>
      </c>
      <c r="J1829" t="s">
        <v>28</v>
      </c>
      <c r="K1829">
        <v>0</v>
      </c>
      <c r="L1829" s="7">
        <f t="shared" si="85"/>
        <v>215.45999999999998</v>
      </c>
      <c r="M1829" s="7"/>
      <c r="O1829">
        <f t="shared" si="86"/>
        <v>2</v>
      </c>
      <c r="Q1829" t="s">
        <v>33</v>
      </c>
    </row>
    <row r="1830" spans="1:17" x14ac:dyDescent="0.3">
      <c r="A1830" t="s">
        <v>2844</v>
      </c>
      <c r="B1830" s="6">
        <v>45115</v>
      </c>
      <c r="C1830" s="6" t="str">
        <f t="shared" si="84"/>
        <v>Jul</v>
      </c>
      <c r="D1830" t="s">
        <v>902</v>
      </c>
      <c r="E1830" t="s">
        <v>62</v>
      </c>
      <c r="F1830" t="s">
        <v>211</v>
      </c>
      <c r="G1830">
        <v>5</v>
      </c>
      <c r="H1830" s="7">
        <v>195.05</v>
      </c>
      <c r="I1830" t="s">
        <v>64</v>
      </c>
      <c r="J1830" t="s">
        <v>28</v>
      </c>
      <c r="K1830">
        <v>10</v>
      </c>
      <c r="L1830" s="7">
        <f t="shared" si="85"/>
        <v>975.25</v>
      </c>
      <c r="M1830" s="7"/>
      <c r="O1830">
        <f t="shared" si="86"/>
        <v>2</v>
      </c>
      <c r="Q1830" t="s">
        <v>65</v>
      </c>
    </row>
    <row r="1831" spans="1:17" x14ac:dyDescent="0.3">
      <c r="A1831" t="s">
        <v>2845</v>
      </c>
      <c r="B1831" s="6">
        <v>45288</v>
      </c>
      <c r="C1831" s="6" t="str">
        <f t="shared" si="84"/>
        <v>Dec</v>
      </c>
      <c r="D1831" t="s">
        <v>2026</v>
      </c>
      <c r="E1831" t="s">
        <v>19</v>
      </c>
      <c r="F1831" t="s">
        <v>749</v>
      </c>
      <c r="G1831">
        <v>7</v>
      </c>
      <c r="H1831" s="7">
        <v>225</v>
      </c>
      <c r="I1831" t="s">
        <v>19</v>
      </c>
      <c r="J1831" t="s">
        <v>42</v>
      </c>
      <c r="K1831">
        <v>20</v>
      </c>
      <c r="L1831" s="7">
        <f t="shared" si="85"/>
        <v>1575</v>
      </c>
      <c r="M1831" s="7"/>
      <c r="O1831">
        <f t="shared" si="86"/>
        <v>2</v>
      </c>
      <c r="Q1831" t="s">
        <v>19</v>
      </c>
    </row>
    <row r="1832" spans="1:17" x14ac:dyDescent="0.3">
      <c r="A1832" t="s">
        <v>2846</v>
      </c>
      <c r="B1832" s="6">
        <v>45123</v>
      </c>
      <c r="C1832" s="6" t="str">
        <f t="shared" si="84"/>
        <v>Jul</v>
      </c>
      <c r="D1832" t="s">
        <v>2712</v>
      </c>
      <c r="E1832" t="s">
        <v>26</v>
      </c>
      <c r="F1832" t="s">
        <v>90</v>
      </c>
      <c r="G1832">
        <v>2</v>
      </c>
      <c r="H1832" s="7">
        <v>75.099999999999994</v>
      </c>
      <c r="I1832" t="s">
        <v>64</v>
      </c>
      <c r="J1832" t="s">
        <v>87</v>
      </c>
      <c r="K1832">
        <v>10</v>
      </c>
      <c r="L1832" s="7">
        <f t="shared" si="85"/>
        <v>150.19999999999999</v>
      </c>
      <c r="M1832" s="7"/>
      <c r="O1832">
        <f t="shared" si="86"/>
        <v>2</v>
      </c>
      <c r="Q1832" t="s">
        <v>65</v>
      </c>
    </row>
    <row r="1833" spans="1:17" x14ac:dyDescent="0.3">
      <c r="A1833" t="s">
        <v>2847</v>
      </c>
      <c r="B1833" s="6">
        <v>44928</v>
      </c>
      <c r="C1833" s="6" t="str">
        <f t="shared" si="84"/>
        <v>Jan</v>
      </c>
      <c r="D1833" t="s">
        <v>686</v>
      </c>
      <c r="E1833" t="s">
        <v>62</v>
      </c>
      <c r="F1833" t="s">
        <v>887</v>
      </c>
      <c r="G1833">
        <v>6</v>
      </c>
      <c r="H1833" s="7">
        <v>55.74</v>
      </c>
      <c r="I1833" t="s">
        <v>19</v>
      </c>
      <c r="J1833" t="s">
        <v>42</v>
      </c>
      <c r="K1833">
        <v>0</v>
      </c>
      <c r="L1833" s="7">
        <f t="shared" si="85"/>
        <v>334.44</v>
      </c>
      <c r="M1833" s="7"/>
      <c r="O1833">
        <f t="shared" si="86"/>
        <v>2</v>
      </c>
      <c r="Q1833" t="s">
        <v>19</v>
      </c>
    </row>
    <row r="1834" spans="1:17" x14ac:dyDescent="0.3">
      <c r="A1834" t="s">
        <v>2848</v>
      </c>
      <c r="B1834" s="6">
        <v>45235</v>
      </c>
      <c r="C1834" s="6" t="str">
        <f t="shared" si="84"/>
        <v>Nov</v>
      </c>
      <c r="D1834" t="s">
        <v>2076</v>
      </c>
      <c r="E1834" t="s">
        <v>36</v>
      </c>
      <c r="F1834" t="s">
        <v>289</v>
      </c>
      <c r="G1834">
        <v>1</v>
      </c>
      <c r="H1834" s="7">
        <v>270.06</v>
      </c>
      <c r="I1834" t="s">
        <v>64</v>
      </c>
      <c r="J1834" t="s">
        <v>42</v>
      </c>
      <c r="K1834">
        <v>0</v>
      </c>
      <c r="L1834" s="7">
        <f t="shared" si="85"/>
        <v>270.06</v>
      </c>
      <c r="M1834" s="7"/>
      <c r="O1834">
        <f t="shared" si="86"/>
        <v>2</v>
      </c>
      <c r="Q1834" t="s">
        <v>65</v>
      </c>
    </row>
    <row r="1835" spans="1:17" x14ac:dyDescent="0.3">
      <c r="A1835" t="s">
        <v>2849</v>
      </c>
      <c r="B1835" s="6">
        <v>45093</v>
      </c>
      <c r="C1835" s="6" t="str">
        <f t="shared" si="84"/>
        <v>Jun</v>
      </c>
      <c r="D1835" t="s">
        <v>1219</v>
      </c>
      <c r="E1835" t="s">
        <v>26</v>
      </c>
      <c r="F1835" t="s">
        <v>436</v>
      </c>
      <c r="G1835">
        <v>3</v>
      </c>
      <c r="H1835" s="7">
        <v>47.15</v>
      </c>
      <c r="I1835" t="s">
        <v>64</v>
      </c>
      <c r="J1835" t="s">
        <v>72</v>
      </c>
      <c r="K1835">
        <v>10</v>
      </c>
      <c r="L1835" s="7">
        <f t="shared" si="85"/>
        <v>141.44999999999999</v>
      </c>
      <c r="M1835" s="7"/>
      <c r="O1835">
        <f t="shared" si="86"/>
        <v>2</v>
      </c>
      <c r="Q1835" t="s">
        <v>65</v>
      </c>
    </row>
    <row r="1836" spans="1:17" x14ac:dyDescent="0.3">
      <c r="A1836" t="s">
        <v>2850</v>
      </c>
      <c r="B1836" s="6">
        <v>45052</v>
      </c>
      <c r="C1836" s="6" t="str">
        <f t="shared" si="84"/>
        <v>May</v>
      </c>
      <c r="D1836" t="s">
        <v>503</v>
      </c>
      <c r="E1836" t="s">
        <v>19</v>
      </c>
      <c r="F1836" t="s">
        <v>378</v>
      </c>
      <c r="G1836">
        <v>2</v>
      </c>
      <c r="H1836" s="7">
        <v>154.96</v>
      </c>
      <c r="I1836" t="s">
        <v>64</v>
      </c>
      <c r="J1836" t="s">
        <v>87</v>
      </c>
      <c r="K1836">
        <v>5</v>
      </c>
      <c r="L1836" s="7">
        <f t="shared" si="85"/>
        <v>309.92</v>
      </c>
      <c r="M1836" s="7"/>
      <c r="O1836">
        <f t="shared" si="86"/>
        <v>2</v>
      </c>
      <c r="Q1836" t="s">
        <v>65</v>
      </c>
    </row>
    <row r="1837" spans="1:17" x14ac:dyDescent="0.3">
      <c r="A1837" t="s">
        <v>2851</v>
      </c>
      <c r="B1837" s="6">
        <v>45058</v>
      </c>
      <c r="C1837" s="6" t="str">
        <f t="shared" si="84"/>
        <v>May</v>
      </c>
      <c r="D1837" t="s">
        <v>178</v>
      </c>
      <c r="E1837" t="s">
        <v>19</v>
      </c>
      <c r="F1837" t="s">
        <v>51</v>
      </c>
      <c r="G1837">
        <v>7</v>
      </c>
      <c r="H1837" s="7">
        <v>373.58</v>
      </c>
      <c r="I1837" t="s">
        <v>64</v>
      </c>
      <c r="J1837" t="s">
        <v>28</v>
      </c>
      <c r="K1837">
        <v>10</v>
      </c>
      <c r="L1837" s="7">
        <f t="shared" si="85"/>
        <v>2615.06</v>
      </c>
      <c r="M1837" s="7"/>
      <c r="O1837">
        <f t="shared" si="86"/>
        <v>3</v>
      </c>
      <c r="Q1837" t="s">
        <v>65</v>
      </c>
    </row>
    <row r="1838" spans="1:17" x14ac:dyDescent="0.3">
      <c r="A1838" t="s">
        <v>2852</v>
      </c>
      <c r="B1838" s="6">
        <v>44964</v>
      </c>
      <c r="C1838" s="6" t="str">
        <f t="shared" si="84"/>
        <v>Feb</v>
      </c>
      <c r="D1838" t="s">
        <v>25</v>
      </c>
      <c r="E1838" t="s">
        <v>26</v>
      </c>
      <c r="F1838" t="s">
        <v>267</v>
      </c>
      <c r="G1838">
        <v>4</v>
      </c>
      <c r="H1838" s="7">
        <v>482.39</v>
      </c>
      <c r="I1838" t="s">
        <v>103</v>
      </c>
      <c r="J1838" t="s">
        <v>28</v>
      </c>
      <c r="K1838">
        <v>0</v>
      </c>
      <c r="L1838" s="7">
        <f t="shared" si="85"/>
        <v>1929.56</v>
      </c>
      <c r="M1838" s="7"/>
      <c r="O1838">
        <f t="shared" si="86"/>
        <v>2</v>
      </c>
      <c r="Q1838" t="s">
        <v>104</v>
      </c>
    </row>
    <row r="1839" spans="1:17" x14ac:dyDescent="0.3">
      <c r="A1839" t="s">
        <v>2853</v>
      </c>
      <c r="B1839" s="6">
        <v>45177</v>
      </c>
      <c r="C1839" s="6" t="str">
        <f t="shared" si="84"/>
        <v>Sep</v>
      </c>
      <c r="D1839" t="s">
        <v>977</v>
      </c>
      <c r="E1839" t="s">
        <v>62</v>
      </c>
      <c r="F1839" t="s">
        <v>698</v>
      </c>
      <c r="G1839">
        <v>8</v>
      </c>
      <c r="H1839" s="7">
        <v>360.35</v>
      </c>
      <c r="I1839" t="s">
        <v>46</v>
      </c>
      <c r="J1839" t="s">
        <v>19</v>
      </c>
      <c r="K1839">
        <v>20</v>
      </c>
      <c r="L1839" s="7">
        <f t="shared" si="85"/>
        <v>2882.8</v>
      </c>
      <c r="M1839" s="7"/>
      <c r="O1839">
        <f t="shared" si="86"/>
        <v>3</v>
      </c>
      <c r="Q1839" t="s">
        <v>47</v>
      </c>
    </row>
    <row r="1840" spans="1:17" x14ac:dyDescent="0.3">
      <c r="A1840" t="s">
        <v>2854</v>
      </c>
      <c r="B1840" s="6">
        <v>45017</v>
      </c>
      <c r="C1840" s="6" t="str">
        <f t="shared" si="84"/>
        <v>Apr</v>
      </c>
      <c r="D1840" t="s">
        <v>1386</v>
      </c>
      <c r="E1840" t="s">
        <v>19</v>
      </c>
      <c r="F1840" t="s">
        <v>719</v>
      </c>
      <c r="G1840">
        <v>6</v>
      </c>
      <c r="H1840" s="7">
        <v>496.35</v>
      </c>
      <c r="I1840" t="s">
        <v>64</v>
      </c>
      <c r="J1840" t="s">
        <v>19</v>
      </c>
      <c r="K1840">
        <v>5</v>
      </c>
      <c r="L1840" s="7">
        <f t="shared" si="85"/>
        <v>2978.1000000000004</v>
      </c>
      <c r="M1840" s="7"/>
      <c r="O1840">
        <f t="shared" si="86"/>
        <v>3</v>
      </c>
      <c r="Q1840" t="s">
        <v>65</v>
      </c>
    </row>
    <row r="1841" spans="1:17" x14ac:dyDescent="0.3">
      <c r="A1841" t="s">
        <v>2855</v>
      </c>
      <c r="B1841" s="6">
        <v>45017</v>
      </c>
      <c r="C1841" s="6" t="str">
        <f t="shared" si="84"/>
        <v>Apr</v>
      </c>
      <c r="D1841" t="s">
        <v>1305</v>
      </c>
      <c r="E1841" t="s">
        <v>26</v>
      </c>
      <c r="F1841" t="s">
        <v>646</v>
      </c>
      <c r="G1841">
        <v>5</v>
      </c>
      <c r="H1841" s="7">
        <v>350.68</v>
      </c>
      <c r="I1841" t="s">
        <v>46</v>
      </c>
      <c r="J1841" t="s">
        <v>87</v>
      </c>
      <c r="K1841">
        <v>15</v>
      </c>
      <c r="L1841" s="7">
        <f t="shared" si="85"/>
        <v>1753.4</v>
      </c>
      <c r="M1841" s="7"/>
      <c r="O1841">
        <f t="shared" si="86"/>
        <v>2</v>
      </c>
      <c r="Q1841" t="s">
        <v>47</v>
      </c>
    </row>
    <row r="1842" spans="1:17" x14ac:dyDescent="0.3">
      <c r="A1842" t="s">
        <v>2856</v>
      </c>
      <c r="B1842" s="6">
        <v>45289</v>
      </c>
      <c r="C1842" s="6" t="str">
        <f t="shared" si="84"/>
        <v>Dec</v>
      </c>
      <c r="D1842" t="s">
        <v>2001</v>
      </c>
      <c r="E1842" t="s">
        <v>19</v>
      </c>
      <c r="F1842" t="s">
        <v>909</v>
      </c>
      <c r="G1842">
        <v>5</v>
      </c>
      <c r="H1842" s="7">
        <v>150.43</v>
      </c>
      <c r="I1842" t="s">
        <v>103</v>
      </c>
      <c r="J1842" t="s">
        <v>87</v>
      </c>
      <c r="K1842">
        <v>10</v>
      </c>
      <c r="L1842" s="7">
        <f t="shared" si="85"/>
        <v>752.15000000000009</v>
      </c>
      <c r="M1842" s="7"/>
      <c r="O1842">
        <f t="shared" si="86"/>
        <v>2</v>
      </c>
      <c r="Q1842" t="s">
        <v>104</v>
      </c>
    </row>
    <row r="1843" spans="1:17" x14ac:dyDescent="0.3">
      <c r="A1843" t="s">
        <v>2857</v>
      </c>
      <c r="B1843" s="6">
        <v>45118</v>
      </c>
      <c r="C1843" s="6" t="str">
        <f t="shared" si="84"/>
        <v>Jul</v>
      </c>
      <c r="D1843" t="s">
        <v>324</v>
      </c>
      <c r="E1843" t="s">
        <v>26</v>
      </c>
      <c r="F1843" t="s">
        <v>472</v>
      </c>
      <c r="G1843">
        <v>9</v>
      </c>
      <c r="H1843" s="7">
        <v>337.67</v>
      </c>
      <c r="I1843" t="s">
        <v>32</v>
      </c>
      <c r="J1843" t="s">
        <v>87</v>
      </c>
      <c r="K1843">
        <v>15</v>
      </c>
      <c r="L1843" s="7">
        <f t="shared" si="85"/>
        <v>3039.03</v>
      </c>
      <c r="M1843" s="7"/>
      <c r="O1843">
        <f t="shared" si="86"/>
        <v>4</v>
      </c>
      <c r="Q1843" t="s">
        <v>33</v>
      </c>
    </row>
    <row r="1844" spans="1:17" x14ac:dyDescent="0.3">
      <c r="A1844" t="s">
        <v>2858</v>
      </c>
      <c r="B1844" s="6">
        <v>44935</v>
      </c>
      <c r="C1844" s="6" t="str">
        <f t="shared" si="84"/>
        <v>Jan</v>
      </c>
      <c r="D1844" t="s">
        <v>917</v>
      </c>
      <c r="E1844" t="s">
        <v>40</v>
      </c>
      <c r="F1844" t="s">
        <v>732</v>
      </c>
      <c r="G1844">
        <v>7</v>
      </c>
      <c r="H1844" s="7">
        <v>352.57</v>
      </c>
      <c r="I1844" t="s">
        <v>103</v>
      </c>
      <c r="J1844" t="s">
        <v>87</v>
      </c>
      <c r="K1844">
        <v>5</v>
      </c>
      <c r="L1844" s="7">
        <f t="shared" si="85"/>
        <v>2467.9899999999998</v>
      </c>
      <c r="M1844" s="7"/>
      <c r="O1844">
        <f t="shared" si="86"/>
        <v>2</v>
      </c>
      <c r="Q1844" t="s">
        <v>104</v>
      </c>
    </row>
    <row r="1845" spans="1:17" x14ac:dyDescent="0.3">
      <c r="A1845" t="s">
        <v>2859</v>
      </c>
      <c r="B1845" s="6">
        <v>45250</v>
      </c>
      <c r="C1845" s="6" t="str">
        <f t="shared" si="84"/>
        <v>Nov</v>
      </c>
      <c r="D1845" t="s">
        <v>1359</v>
      </c>
      <c r="E1845" t="s">
        <v>62</v>
      </c>
      <c r="F1845" t="s">
        <v>84</v>
      </c>
      <c r="G1845">
        <v>9</v>
      </c>
      <c r="H1845" s="7">
        <v>189</v>
      </c>
      <c r="I1845" t="s">
        <v>46</v>
      </c>
      <c r="J1845" t="s">
        <v>28</v>
      </c>
      <c r="K1845">
        <v>5</v>
      </c>
      <c r="L1845" s="7">
        <f t="shared" si="85"/>
        <v>1701</v>
      </c>
      <c r="M1845" s="7"/>
      <c r="O1845">
        <f t="shared" si="86"/>
        <v>2</v>
      </c>
      <c r="Q1845" t="s">
        <v>47</v>
      </c>
    </row>
    <row r="1846" spans="1:17" x14ac:dyDescent="0.3">
      <c r="A1846" t="s">
        <v>2860</v>
      </c>
      <c r="B1846" s="6">
        <v>45083</v>
      </c>
      <c r="C1846" s="6" t="str">
        <f t="shared" si="84"/>
        <v>Jun</v>
      </c>
      <c r="D1846" t="s">
        <v>1258</v>
      </c>
      <c r="E1846" t="s">
        <v>36</v>
      </c>
      <c r="F1846" t="s">
        <v>900</v>
      </c>
      <c r="G1846">
        <v>7</v>
      </c>
      <c r="H1846" s="7">
        <v>13.77</v>
      </c>
      <c r="I1846" t="s">
        <v>21</v>
      </c>
      <c r="J1846" t="s">
        <v>22</v>
      </c>
      <c r="K1846">
        <v>5</v>
      </c>
      <c r="L1846" s="7">
        <f t="shared" si="85"/>
        <v>96.39</v>
      </c>
      <c r="M1846" s="7"/>
      <c r="O1846">
        <f t="shared" si="86"/>
        <v>2</v>
      </c>
      <c r="Q1846" t="s">
        <v>23</v>
      </c>
    </row>
    <row r="1847" spans="1:17" x14ac:dyDescent="0.3">
      <c r="A1847" t="s">
        <v>2861</v>
      </c>
      <c r="B1847" s="6">
        <v>45186</v>
      </c>
      <c r="C1847" s="6" t="str">
        <f t="shared" si="84"/>
        <v>Sep</v>
      </c>
      <c r="D1847" t="s">
        <v>2717</v>
      </c>
      <c r="E1847" t="s">
        <v>50</v>
      </c>
      <c r="F1847" t="s">
        <v>322</v>
      </c>
      <c r="G1847">
        <v>1</v>
      </c>
      <c r="H1847" s="7">
        <v>353.08</v>
      </c>
      <c r="I1847" t="s">
        <v>103</v>
      </c>
      <c r="J1847" t="s">
        <v>28</v>
      </c>
      <c r="K1847">
        <v>10</v>
      </c>
      <c r="L1847" s="7">
        <f t="shared" si="85"/>
        <v>353.08</v>
      </c>
      <c r="M1847" s="7"/>
      <c r="O1847">
        <f t="shared" si="86"/>
        <v>2</v>
      </c>
      <c r="Q1847" t="s">
        <v>104</v>
      </c>
    </row>
    <row r="1848" spans="1:17" x14ac:dyDescent="0.3">
      <c r="A1848" t="s">
        <v>2862</v>
      </c>
      <c r="B1848" s="6">
        <v>44964</v>
      </c>
      <c r="C1848" s="6" t="str">
        <f t="shared" si="84"/>
        <v>Feb</v>
      </c>
      <c r="D1848" t="s">
        <v>2485</v>
      </c>
      <c r="E1848" t="s">
        <v>50</v>
      </c>
      <c r="F1848" t="s">
        <v>1568</v>
      </c>
      <c r="G1848">
        <v>8</v>
      </c>
      <c r="H1848" s="7">
        <v>15.74</v>
      </c>
      <c r="I1848" t="s">
        <v>21</v>
      </c>
      <c r="J1848" t="s">
        <v>28</v>
      </c>
      <c r="K1848">
        <v>10</v>
      </c>
      <c r="L1848" s="7">
        <f t="shared" si="85"/>
        <v>125.92</v>
      </c>
      <c r="M1848" s="7"/>
      <c r="O1848">
        <f t="shared" si="86"/>
        <v>2</v>
      </c>
      <c r="Q1848" t="s">
        <v>23</v>
      </c>
    </row>
    <row r="1849" spans="1:17" x14ac:dyDescent="0.3">
      <c r="A1849" t="s">
        <v>2863</v>
      </c>
      <c r="B1849" s="6">
        <v>45161</v>
      </c>
      <c r="C1849" s="6" t="str">
        <f t="shared" si="84"/>
        <v>Aug</v>
      </c>
      <c r="D1849" t="s">
        <v>2380</v>
      </c>
      <c r="E1849" t="s">
        <v>40</v>
      </c>
      <c r="F1849" t="s">
        <v>113</v>
      </c>
      <c r="G1849">
        <v>4</v>
      </c>
      <c r="H1849" s="7">
        <v>317.44</v>
      </c>
      <c r="I1849" t="s">
        <v>103</v>
      </c>
      <c r="J1849" t="s">
        <v>87</v>
      </c>
      <c r="K1849">
        <v>20</v>
      </c>
      <c r="L1849" s="7">
        <f t="shared" si="85"/>
        <v>1269.76</v>
      </c>
      <c r="M1849" s="7"/>
      <c r="O1849">
        <f t="shared" si="86"/>
        <v>2</v>
      </c>
      <c r="Q1849" t="s">
        <v>104</v>
      </c>
    </row>
    <row r="1850" spans="1:17" x14ac:dyDescent="0.3">
      <c r="A1850" t="s">
        <v>2864</v>
      </c>
      <c r="B1850" s="6">
        <v>45029</v>
      </c>
      <c r="C1850" s="6" t="str">
        <f t="shared" si="84"/>
        <v>Apr</v>
      </c>
      <c r="D1850" t="s">
        <v>1156</v>
      </c>
      <c r="E1850" t="s">
        <v>40</v>
      </c>
      <c r="F1850" t="s">
        <v>356</v>
      </c>
      <c r="G1850">
        <v>3</v>
      </c>
      <c r="H1850" s="7">
        <v>85.99</v>
      </c>
      <c r="I1850" t="s">
        <v>64</v>
      </c>
      <c r="J1850" t="s">
        <v>22</v>
      </c>
      <c r="K1850">
        <v>20</v>
      </c>
      <c r="L1850" s="7">
        <f t="shared" si="85"/>
        <v>257.96999999999997</v>
      </c>
      <c r="M1850" s="7"/>
      <c r="O1850">
        <f t="shared" si="86"/>
        <v>2</v>
      </c>
      <c r="Q1850" t="s">
        <v>65</v>
      </c>
    </row>
    <row r="1851" spans="1:17" x14ac:dyDescent="0.3">
      <c r="A1851" t="s">
        <v>2865</v>
      </c>
      <c r="B1851" s="6">
        <v>45215</v>
      </c>
      <c r="C1851" s="6" t="str">
        <f t="shared" si="84"/>
        <v>Oct</v>
      </c>
      <c r="D1851" t="s">
        <v>1156</v>
      </c>
      <c r="E1851" t="s">
        <v>62</v>
      </c>
      <c r="F1851" t="s">
        <v>1618</v>
      </c>
      <c r="G1851">
        <v>7</v>
      </c>
      <c r="H1851" s="7">
        <v>284.97000000000003</v>
      </c>
      <c r="I1851" t="s">
        <v>103</v>
      </c>
      <c r="J1851" t="s">
        <v>22</v>
      </c>
      <c r="K1851">
        <v>15</v>
      </c>
      <c r="L1851" s="7">
        <f t="shared" si="85"/>
        <v>1994.7900000000002</v>
      </c>
      <c r="M1851" s="7"/>
      <c r="O1851">
        <f t="shared" si="86"/>
        <v>2</v>
      </c>
      <c r="Q1851" t="s">
        <v>104</v>
      </c>
    </row>
    <row r="1852" spans="1:17" x14ac:dyDescent="0.3">
      <c r="A1852" t="s">
        <v>2866</v>
      </c>
      <c r="B1852" s="6">
        <v>45133</v>
      </c>
      <c r="C1852" s="6" t="str">
        <f t="shared" si="84"/>
        <v>Jul</v>
      </c>
      <c r="D1852" t="s">
        <v>2094</v>
      </c>
      <c r="E1852" t="s">
        <v>62</v>
      </c>
      <c r="F1852" t="s">
        <v>549</v>
      </c>
      <c r="G1852">
        <v>3</v>
      </c>
      <c r="H1852" s="7">
        <v>254.44</v>
      </c>
      <c r="I1852" t="s">
        <v>46</v>
      </c>
      <c r="J1852" t="s">
        <v>42</v>
      </c>
      <c r="K1852">
        <v>15</v>
      </c>
      <c r="L1852" s="7">
        <f t="shared" si="85"/>
        <v>763.31999999999994</v>
      </c>
      <c r="M1852" s="7"/>
      <c r="O1852">
        <f t="shared" si="86"/>
        <v>2</v>
      </c>
      <c r="Q1852" t="s">
        <v>47</v>
      </c>
    </row>
    <row r="1853" spans="1:17" x14ac:dyDescent="0.3">
      <c r="A1853" t="s">
        <v>2867</v>
      </c>
      <c r="B1853" s="6">
        <v>45161</v>
      </c>
      <c r="C1853" s="6" t="str">
        <f t="shared" si="84"/>
        <v>Aug</v>
      </c>
      <c r="D1853" t="s">
        <v>1746</v>
      </c>
      <c r="E1853" t="s">
        <v>19</v>
      </c>
      <c r="F1853" t="s">
        <v>887</v>
      </c>
      <c r="G1853">
        <v>8</v>
      </c>
      <c r="H1853" s="7">
        <v>11.69</v>
      </c>
      <c r="I1853" t="s">
        <v>19</v>
      </c>
      <c r="J1853" t="s">
        <v>72</v>
      </c>
      <c r="K1853">
        <v>15</v>
      </c>
      <c r="L1853" s="7">
        <f t="shared" si="85"/>
        <v>93.52</v>
      </c>
      <c r="M1853" s="7"/>
      <c r="O1853">
        <f t="shared" si="86"/>
        <v>2</v>
      </c>
      <c r="Q1853" t="s">
        <v>19</v>
      </c>
    </row>
    <row r="1854" spans="1:17" x14ac:dyDescent="0.3">
      <c r="A1854" t="s">
        <v>2868</v>
      </c>
      <c r="B1854" s="6">
        <v>45139</v>
      </c>
      <c r="C1854" s="6" t="str">
        <f t="shared" si="84"/>
        <v>Aug</v>
      </c>
      <c r="D1854" t="s">
        <v>1543</v>
      </c>
      <c r="E1854" t="s">
        <v>50</v>
      </c>
      <c r="F1854" t="s">
        <v>1117</v>
      </c>
      <c r="G1854">
        <v>6</v>
      </c>
      <c r="H1854" s="7">
        <v>184.62</v>
      </c>
      <c r="I1854" t="s">
        <v>103</v>
      </c>
      <c r="J1854" t="s">
        <v>19</v>
      </c>
      <c r="K1854">
        <v>10</v>
      </c>
      <c r="L1854" s="7">
        <f t="shared" si="85"/>
        <v>1107.72</v>
      </c>
      <c r="M1854" s="7"/>
      <c r="O1854">
        <f t="shared" si="86"/>
        <v>2</v>
      </c>
      <c r="Q1854" t="s">
        <v>104</v>
      </c>
    </row>
    <row r="1855" spans="1:17" x14ac:dyDescent="0.3">
      <c r="A1855" t="s">
        <v>2869</v>
      </c>
      <c r="B1855" s="6">
        <v>45090</v>
      </c>
      <c r="C1855" s="6" t="str">
        <f t="shared" si="84"/>
        <v>Jun</v>
      </c>
      <c r="D1855" t="s">
        <v>2870</v>
      </c>
      <c r="E1855" t="s">
        <v>19</v>
      </c>
      <c r="F1855" t="s">
        <v>1180</v>
      </c>
      <c r="G1855">
        <v>5</v>
      </c>
      <c r="H1855" s="7">
        <v>302.54000000000002</v>
      </c>
      <c r="I1855" t="s">
        <v>19</v>
      </c>
      <c r="J1855" t="s">
        <v>22</v>
      </c>
      <c r="K1855">
        <v>0</v>
      </c>
      <c r="L1855" s="7">
        <f t="shared" si="85"/>
        <v>1512.7</v>
      </c>
      <c r="M1855" s="7"/>
      <c r="O1855">
        <f t="shared" si="86"/>
        <v>2</v>
      </c>
      <c r="Q1855" t="s">
        <v>19</v>
      </c>
    </row>
    <row r="1856" spans="1:17" x14ac:dyDescent="0.3">
      <c r="A1856" t="s">
        <v>2871</v>
      </c>
      <c r="B1856" s="6">
        <v>44964</v>
      </c>
      <c r="C1856" s="6" t="str">
        <f t="shared" si="84"/>
        <v>Feb</v>
      </c>
      <c r="D1856" t="s">
        <v>318</v>
      </c>
      <c r="E1856" t="s">
        <v>19</v>
      </c>
      <c r="F1856" t="s">
        <v>119</v>
      </c>
      <c r="G1856">
        <v>4</v>
      </c>
      <c r="H1856" s="7">
        <v>425.06</v>
      </c>
      <c r="I1856" t="s">
        <v>46</v>
      </c>
      <c r="J1856" t="s">
        <v>22</v>
      </c>
      <c r="K1856">
        <v>15</v>
      </c>
      <c r="L1856" s="7">
        <f t="shared" si="85"/>
        <v>1700.24</v>
      </c>
      <c r="M1856" s="7"/>
      <c r="O1856">
        <f t="shared" si="86"/>
        <v>2</v>
      </c>
      <c r="Q1856" t="s">
        <v>47</v>
      </c>
    </row>
    <row r="1857" spans="1:17" x14ac:dyDescent="0.3">
      <c r="A1857" t="s">
        <v>2872</v>
      </c>
      <c r="B1857" s="6">
        <v>45134</v>
      </c>
      <c r="C1857" s="6" t="str">
        <f t="shared" si="84"/>
        <v>Jul</v>
      </c>
      <c r="D1857" t="s">
        <v>2059</v>
      </c>
      <c r="E1857" t="s">
        <v>26</v>
      </c>
      <c r="F1857" t="s">
        <v>217</v>
      </c>
      <c r="G1857">
        <v>8</v>
      </c>
      <c r="H1857" s="7">
        <v>444.88</v>
      </c>
      <c r="I1857" t="s">
        <v>64</v>
      </c>
      <c r="J1857" t="s">
        <v>72</v>
      </c>
      <c r="K1857">
        <v>5</v>
      </c>
      <c r="L1857" s="7">
        <f t="shared" si="85"/>
        <v>3559.04</v>
      </c>
      <c r="M1857" s="7"/>
      <c r="O1857">
        <f t="shared" si="86"/>
        <v>5</v>
      </c>
      <c r="Q1857" t="s">
        <v>65</v>
      </c>
    </row>
    <row r="1858" spans="1:17" x14ac:dyDescent="0.3">
      <c r="A1858" t="s">
        <v>2873</v>
      </c>
      <c r="B1858" s="6">
        <v>44959</v>
      </c>
      <c r="C1858" s="6" t="str">
        <f t="shared" si="84"/>
        <v>Feb</v>
      </c>
      <c r="D1858" t="s">
        <v>1856</v>
      </c>
      <c r="E1858" t="s">
        <v>31</v>
      </c>
      <c r="F1858" t="s">
        <v>504</v>
      </c>
      <c r="G1858">
        <v>8</v>
      </c>
      <c r="H1858" s="7">
        <v>244.51</v>
      </c>
      <c r="I1858" t="s">
        <v>64</v>
      </c>
      <c r="J1858" t="s">
        <v>22</v>
      </c>
      <c r="K1858">
        <v>15</v>
      </c>
      <c r="L1858" s="7">
        <f t="shared" si="85"/>
        <v>1956.08</v>
      </c>
      <c r="M1858" s="7"/>
      <c r="O1858">
        <f t="shared" si="86"/>
        <v>2</v>
      </c>
      <c r="Q1858" t="s">
        <v>65</v>
      </c>
    </row>
    <row r="1859" spans="1:17" x14ac:dyDescent="0.3">
      <c r="A1859" t="s">
        <v>2874</v>
      </c>
      <c r="B1859" s="6">
        <v>45281</v>
      </c>
      <c r="C1859" s="6" t="str">
        <f t="shared" ref="C1859:C1922" si="87">TEXT(B1859,"MMM")</f>
        <v>Dec</v>
      </c>
      <c r="D1859" t="s">
        <v>277</v>
      </c>
      <c r="E1859" t="s">
        <v>62</v>
      </c>
      <c r="F1859" t="s">
        <v>341</v>
      </c>
      <c r="G1859">
        <v>1</v>
      </c>
      <c r="H1859" s="7">
        <v>365.57</v>
      </c>
      <c r="I1859" t="s">
        <v>46</v>
      </c>
      <c r="J1859" t="s">
        <v>19</v>
      </c>
      <c r="K1859">
        <v>5</v>
      </c>
      <c r="L1859" s="7">
        <f t="shared" ref="L1859:L1922" si="88">G1859*H1859</f>
        <v>365.57</v>
      </c>
      <c r="M1859" s="7"/>
      <c r="O1859">
        <f t="shared" si="86"/>
        <v>2</v>
      </c>
      <c r="Q1859" t="s">
        <v>47</v>
      </c>
    </row>
    <row r="1860" spans="1:17" x14ac:dyDescent="0.3">
      <c r="A1860" t="s">
        <v>2875</v>
      </c>
      <c r="B1860" s="6">
        <v>45178</v>
      </c>
      <c r="C1860" s="6" t="str">
        <f t="shared" si="87"/>
        <v>Sep</v>
      </c>
      <c r="D1860" t="s">
        <v>1922</v>
      </c>
      <c r="E1860" t="s">
        <v>50</v>
      </c>
      <c r="F1860" t="s">
        <v>148</v>
      </c>
      <c r="G1860">
        <v>9</v>
      </c>
      <c r="H1860" s="7">
        <v>161.65</v>
      </c>
      <c r="I1860" t="s">
        <v>46</v>
      </c>
      <c r="J1860" t="s">
        <v>28</v>
      </c>
      <c r="K1860">
        <v>10</v>
      </c>
      <c r="L1860" s="7">
        <f t="shared" si="88"/>
        <v>1454.8500000000001</v>
      </c>
      <c r="M1860" s="7"/>
      <c r="O1860">
        <f t="shared" ref="O1860:O1923" si="89">IF(L1860&gt;3500,5,IF(L1860&gt;3000,4,IF(L1860&gt;2500,3,IF(L1860&gt;2000,2,IF(L1860&gt;1000,2,2)))))</f>
        <v>2</v>
      </c>
      <c r="Q1860" t="s">
        <v>47</v>
      </c>
    </row>
    <row r="1861" spans="1:17" x14ac:dyDescent="0.3">
      <c r="A1861" t="s">
        <v>2876</v>
      </c>
      <c r="B1861" s="6">
        <v>45201</v>
      </c>
      <c r="C1861" s="6" t="str">
        <f t="shared" si="87"/>
        <v>Oct</v>
      </c>
      <c r="D1861" t="s">
        <v>990</v>
      </c>
      <c r="E1861" t="s">
        <v>31</v>
      </c>
      <c r="F1861" t="s">
        <v>270</v>
      </c>
      <c r="G1861">
        <v>5</v>
      </c>
      <c r="H1861" s="7">
        <v>174.38</v>
      </c>
      <c r="I1861" t="s">
        <v>103</v>
      </c>
      <c r="J1861" t="s">
        <v>28</v>
      </c>
      <c r="K1861">
        <v>0</v>
      </c>
      <c r="L1861" s="7">
        <f t="shared" si="88"/>
        <v>871.9</v>
      </c>
      <c r="M1861" s="7"/>
      <c r="O1861">
        <f t="shared" si="89"/>
        <v>2</v>
      </c>
      <c r="Q1861" t="s">
        <v>104</v>
      </c>
    </row>
    <row r="1862" spans="1:17" x14ac:dyDescent="0.3">
      <c r="A1862" t="s">
        <v>2877</v>
      </c>
      <c r="B1862" s="6">
        <v>45224</v>
      </c>
      <c r="C1862" s="6" t="str">
        <f t="shared" si="87"/>
        <v>Oct</v>
      </c>
      <c r="D1862" t="s">
        <v>2537</v>
      </c>
      <c r="E1862" t="s">
        <v>26</v>
      </c>
      <c r="F1862" t="s">
        <v>469</v>
      </c>
      <c r="G1862">
        <v>4</v>
      </c>
      <c r="H1862" s="7">
        <v>101.26</v>
      </c>
      <c r="I1862" t="s">
        <v>32</v>
      </c>
      <c r="J1862" t="s">
        <v>19</v>
      </c>
      <c r="K1862">
        <v>0</v>
      </c>
      <c r="L1862" s="7">
        <f t="shared" si="88"/>
        <v>405.04</v>
      </c>
      <c r="M1862" s="7"/>
      <c r="O1862">
        <f t="shared" si="89"/>
        <v>2</v>
      </c>
      <c r="Q1862" t="s">
        <v>33</v>
      </c>
    </row>
    <row r="1863" spans="1:17" x14ac:dyDescent="0.3">
      <c r="A1863" t="s">
        <v>2878</v>
      </c>
      <c r="B1863" s="6">
        <v>45072</v>
      </c>
      <c r="C1863" s="6" t="str">
        <f t="shared" si="87"/>
        <v>May</v>
      </c>
      <c r="D1863" t="s">
        <v>262</v>
      </c>
      <c r="E1863" t="s">
        <v>19</v>
      </c>
      <c r="F1863" t="s">
        <v>406</v>
      </c>
      <c r="G1863">
        <v>6</v>
      </c>
      <c r="H1863" s="7">
        <v>283.16000000000003</v>
      </c>
      <c r="I1863" t="s">
        <v>21</v>
      </c>
      <c r="J1863" t="s">
        <v>87</v>
      </c>
      <c r="K1863">
        <v>10</v>
      </c>
      <c r="L1863" s="7">
        <f t="shared" si="88"/>
        <v>1698.96</v>
      </c>
      <c r="M1863" s="7"/>
      <c r="O1863">
        <f t="shared" si="89"/>
        <v>2</v>
      </c>
      <c r="Q1863" t="s">
        <v>23</v>
      </c>
    </row>
    <row r="1864" spans="1:17" x14ac:dyDescent="0.3">
      <c r="A1864" t="s">
        <v>2879</v>
      </c>
      <c r="B1864" s="6">
        <v>45140</v>
      </c>
      <c r="C1864" s="6" t="str">
        <f t="shared" si="87"/>
        <v>Aug</v>
      </c>
      <c r="D1864" t="s">
        <v>2042</v>
      </c>
      <c r="E1864" t="s">
        <v>31</v>
      </c>
      <c r="F1864" t="s">
        <v>20</v>
      </c>
      <c r="G1864">
        <v>6</v>
      </c>
      <c r="H1864" s="7">
        <v>160.71</v>
      </c>
      <c r="I1864" t="s">
        <v>64</v>
      </c>
      <c r="J1864" t="s">
        <v>28</v>
      </c>
      <c r="K1864">
        <v>10</v>
      </c>
      <c r="L1864" s="7">
        <f t="shared" si="88"/>
        <v>964.26</v>
      </c>
      <c r="M1864" s="7"/>
      <c r="O1864">
        <f t="shared" si="89"/>
        <v>2</v>
      </c>
      <c r="Q1864" t="s">
        <v>65</v>
      </c>
    </row>
    <row r="1865" spans="1:17" x14ac:dyDescent="0.3">
      <c r="A1865" t="s">
        <v>2880</v>
      </c>
      <c r="B1865" s="6">
        <v>44971</v>
      </c>
      <c r="C1865" s="6" t="str">
        <f t="shared" si="87"/>
        <v>Feb</v>
      </c>
      <c r="D1865" t="s">
        <v>133</v>
      </c>
      <c r="E1865" t="s">
        <v>31</v>
      </c>
      <c r="F1865" t="s">
        <v>1328</v>
      </c>
      <c r="G1865">
        <v>2</v>
      </c>
      <c r="H1865" s="7">
        <v>46.76</v>
      </c>
      <c r="I1865" t="s">
        <v>21</v>
      </c>
      <c r="J1865" t="s">
        <v>72</v>
      </c>
      <c r="K1865">
        <v>20</v>
      </c>
      <c r="L1865" s="7">
        <f t="shared" si="88"/>
        <v>93.52</v>
      </c>
      <c r="M1865" s="7"/>
      <c r="O1865">
        <f t="shared" si="89"/>
        <v>2</v>
      </c>
      <c r="Q1865" t="s">
        <v>23</v>
      </c>
    </row>
    <row r="1866" spans="1:17" x14ac:dyDescent="0.3">
      <c r="A1866" t="s">
        <v>2881</v>
      </c>
      <c r="B1866" s="6">
        <v>45207</v>
      </c>
      <c r="C1866" s="6" t="str">
        <f t="shared" si="87"/>
        <v>Oct</v>
      </c>
      <c r="D1866" t="s">
        <v>400</v>
      </c>
      <c r="E1866" t="s">
        <v>36</v>
      </c>
      <c r="F1866" t="s">
        <v>445</v>
      </c>
      <c r="G1866">
        <v>8</v>
      </c>
      <c r="H1866" s="7">
        <v>344.08</v>
      </c>
      <c r="I1866" t="s">
        <v>21</v>
      </c>
      <c r="J1866" t="s">
        <v>87</v>
      </c>
      <c r="K1866">
        <v>10</v>
      </c>
      <c r="L1866" s="7">
        <f t="shared" si="88"/>
        <v>2752.64</v>
      </c>
      <c r="M1866" s="7"/>
      <c r="O1866">
        <f t="shared" si="89"/>
        <v>3</v>
      </c>
      <c r="Q1866" t="s">
        <v>23</v>
      </c>
    </row>
    <row r="1867" spans="1:17" x14ac:dyDescent="0.3">
      <c r="A1867" t="s">
        <v>2882</v>
      </c>
      <c r="B1867" s="6">
        <v>45148</v>
      </c>
      <c r="C1867" s="6" t="str">
        <f t="shared" si="87"/>
        <v>Aug</v>
      </c>
      <c r="D1867" t="s">
        <v>2883</v>
      </c>
      <c r="E1867" t="s">
        <v>26</v>
      </c>
      <c r="F1867" t="s">
        <v>687</v>
      </c>
      <c r="G1867">
        <v>7</v>
      </c>
      <c r="H1867" s="7">
        <v>355.34</v>
      </c>
      <c r="I1867" t="s">
        <v>21</v>
      </c>
      <c r="J1867" t="s">
        <v>87</v>
      </c>
      <c r="K1867">
        <v>10</v>
      </c>
      <c r="L1867" s="7">
        <f t="shared" si="88"/>
        <v>2487.3799999999997</v>
      </c>
      <c r="M1867" s="7"/>
      <c r="O1867">
        <f t="shared" si="89"/>
        <v>2</v>
      </c>
      <c r="Q1867" t="s">
        <v>23</v>
      </c>
    </row>
    <row r="1868" spans="1:17" x14ac:dyDescent="0.3">
      <c r="A1868" t="s">
        <v>2884</v>
      </c>
      <c r="B1868" s="6">
        <v>45219</v>
      </c>
      <c r="C1868" s="6" t="str">
        <f t="shared" si="87"/>
        <v>Oct</v>
      </c>
      <c r="D1868" t="s">
        <v>442</v>
      </c>
      <c r="E1868" t="s">
        <v>50</v>
      </c>
      <c r="F1868" t="s">
        <v>900</v>
      </c>
      <c r="G1868">
        <v>1</v>
      </c>
      <c r="H1868" s="7">
        <v>183.2</v>
      </c>
      <c r="I1868" t="s">
        <v>64</v>
      </c>
      <c r="J1868" t="s">
        <v>22</v>
      </c>
      <c r="K1868">
        <v>5</v>
      </c>
      <c r="L1868" s="7">
        <f t="shared" si="88"/>
        <v>183.2</v>
      </c>
      <c r="M1868" s="7"/>
      <c r="O1868">
        <f t="shared" si="89"/>
        <v>2</v>
      </c>
      <c r="Q1868" t="s">
        <v>65</v>
      </c>
    </row>
    <row r="1869" spans="1:17" x14ac:dyDescent="0.3">
      <c r="A1869" t="s">
        <v>2885</v>
      </c>
      <c r="B1869" s="6">
        <v>45179</v>
      </c>
      <c r="C1869" s="6" t="str">
        <f t="shared" si="87"/>
        <v>Sep</v>
      </c>
      <c r="D1869" t="s">
        <v>705</v>
      </c>
      <c r="E1869" t="s">
        <v>19</v>
      </c>
      <c r="F1869" t="s">
        <v>732</v>
      </c>
      <c r="G1869">
        <v>5</v>
      </c>
      <c r="H1869" s="7">
        <v>42.98</v>
      </c>
      <c r="I1869" t="s">
        <v>103</v>
      </c>
      <c r="J1869" t="s">
        <v>42</v>
      </c>
      <c r="K1869">
        <v>10</v>
      </c>
      <c r="L1869" s="7">
        <f t="shared" si="88"/>
        <v>214.89999999999998</v>
      </c>
      <c r="M1869" s="7"/>
      <c r="O1869">
        <f t="shared" si="89"/>
        <v>2</v>
      </c>
      <c r="Q1869" t="s">
        <v>104</v>
      </c>
    </row>
    <row r="1870" spans="1:17" x14ac:dyDescent="0.3">
      <c r="A1870" t="s">
        <v>2886</v>
      </c>
      <c r="B1870" s="6">
        <v>44967</v>
      </c>
      <c r="C1870" s="6" t="str">
        <f t="shared" si="87"/>
        <v>Feb</v>
      </c>
      <c r="D1870" t="s">
        <v>2887</v>
      </c>
      <c r="E1870" t="s">
        <v>19</v>
      </c>
      <c r="F1870" t="s">
        <v>113</v>
      </c>
      <c r="G1870">
        <v>6</v>
      </c>
      <c r="H1870" s="7">
        <v>216.02</v>
      </c>
      <c r="I1870" t="s">
        <v>46</v>
      </c>
      <c r="J1870" t="s">
        <v>28</v>
      </c>
      <c r="K1870">
        <v>0</v>
      </c>
      <c r="L1870" s="7">
        <f t="shared" si="88"/>
        <v>1296.1200000000001</v>
      </c>
      <c r="M1870" s="7"/>
      <c r="O1870">
        <f t="shared" si="89"/>
        <v>2</v>
      </c>
      <c r="Q1870" t="s">
        <v>47</v>
      </c>
    </row>
    <row r="1871" spans="1:17" x14ac:dyDescent="0.3">
      <c r="A1871" t="s">
        <v>2888</v>
      </c>
      <c r="B1871" s="6">
        <v>45095</v>
      </c>
      <c r="C1871" s="6" t="str">
        <f t="shared" si="87"/>
        <v>Jun</v>
      </c>
      <c r="D1871" t="s">
        <v>902</v>
      </c>
      <c r="E1871" t="s">
        <v>31</v>
      </c>
      <c r="F1871" t="s">
        <v>556</v>
      </c>
      <c r="G1871">
        <v>4</v>
      </c>
      <c r="H1871" s="7">
        <v>223.96</v>
      </c>
      <c r="I1871" t="s">
        <v>64</v>
      </c>
      <c r="J1871" t="s">
        <v>42</v>
      </c>
      <c r="K1871">
        <v>5</v>
      </c>
      <c r="L1871" s="7">
        <f t="shared" si="88"/>
        <v>895.84</v>
      </c>
      <c r="M1871" s="7"/>
      <c r="O1871">
        <f t="shared" si="89"/>
        <v>2</v>
      </c>
      <c r="Q1871" t="s">
        <v>65</v>
      </c>
    </row>
    <row r="1872" spans="1:17" x14ac:dyDescent="0.3">
      <c r="A1872" t="s">
        <v>2889</v>
      </c>
      <c r="B1872" s="6">
        <v>45243</v>
      </c>
      <c r="C1872" s="6" t="str">
        <f t="shared" si="87"/>
        <v>Nov</v>
      </c>
      <c r="D1872" t="s">
        <v>2458</v>
      </c>
      <c r="E1872" t="s">
        <v>31</v>
      </c>
      <c r="F1872" t="s">
        <v>586</v>
      </c>
      <c r="G1872">
        <v>2</v>
      </c>
      <c r="H1872" s="7">
        <v>335.99</v>
      </c>
      <c r="I1872" t="s">
        <v>103</v>
      </c>
      <c r="J1872" t="s">
        <v>19</v>
      </c>
      <c r="K1872">
        <v>10</v>
      </c>
      <c r="L1872" s="7">
        <f t="shared" si="88"/>
        <v>671.98</v>
      </c>
      <c r="M1872" s="7"/>
      <c r="O1872">
        <f t="shared" si="89"/>
        <v>2</v>
      </c>
      <c r="Q1872" t="s">
        <v>104</v>
      </c>
    </row>
    <row r="1873" spans="1:17" x14ac:dyDescent="0.3">
      <c r="A1873" t="s">
        <v>2890</v>
      </c>
      <c r="B1873" s="6">
        <v>45027</v>
      </c>
      <c r="C1873" s="6" t="str">
        <f t="shared" si="87"/>
        <v>Apr</v>
      </c>
      <c r="D1873" t="s">
        <v>2754</v>
      </c>
      <c r="E1873" t="s">
        <v>19</v>
      </c>
      <c r="F1873" t="s">
        <v>556</v>
      </c>
      <c r="G1873">
        <v>4</v>
      </c>
      <c r="H1873" s="7">
        <v>161.13</v>
      </c>
      <c r="I1873" t="s">
        <v>21</v>
      </c>
      <c r="J1873" t="s">
        <v>42</v>
      </c>
      <c r="K1873">
        <v>0</v>
      </c>
      <c r="L1873" s="7">
        <f t="shared" si="88"/>
        <v>644.52</v>
      </c>
      <c r="M1873" s="7"/>
      <c r="O1873">
        <f t="shared" si="89"/>
        <v>2</v>
      </c>
      <c r="Q1873" t="s">
        <v>23</v>
      </c>
    </row>
    <row r="1874" spans="1:17" x14ac:dyDescent="0.3">
      <c r="A1874" t="s">
        <v>2891</v>
      </c>
      <c r="B1874" s="6">
        <v>45095</v>
      </c>
      <c r="C1874" s="6" t="str">
        <f t="shared" si="87"/>
        <v>Jun</v>
      </c>
      <c r="D1874" t="s">
        <v>2409</v>
      </c>
      <c r="E1874" t="s">
        <v>36</v>
      </c>
      <c r="F1874" t="s">
        <v>887</v>
      </c>
      <c r="G1874">
        <v>1</v>
      </c>
      <c r="H1874" s="7">
        <v>342.89</v>
      </c>
      <c r="I1874" t="s">
        <v>19</v>
      </c>
      <c r="J1874" t="s">
        <v>28</v>
      </c>
      <c r="K1874">
        <v>10</v>
      </c>
      <c r="L1874" s="7">
        <f t="shared" si="88"/>
        <v>342.89</v>
      </c>
      <c r="M1874" s="7"/>
      <c r="O1874">
        <f t="shared" si="89"/>
        <v>2</v>
      </c>
      <c r="Q1874" t="s">
        <v>19</v>
      </c>
    </row>
    <row r="1875" spans="1:17" x14ac:dyDescent="0.3">
      <c r="A1875" t="s">
        <v>2892</v>
      </c>
      <c r="B1875" s="6">
        <v>45088</v>
      </c>
      <c r="C1875" s="6" t="str">
        <f t="shared" si="87"/>
        <v>Jun</v>
      </c>
      <c r="D1875" t="s">
        <v>1321</v>
      </c>
      <c r="E1875" t="s">
        <v>19</v>
      </c>
      <c r="F1875" t="s">
        <v>154</v>
      </c>
      <c r="G1875">
        <v>7</v>
      </c>
      <c r="H1875" s="7">
        <v>436.39</v>
      </c>
      <c r="I1875" t="s">
        <v>46</v>
      </c>
      <c r="J1875" t="s">
        <v>42</v>
      </c>
      <c r="K1875">
        <v>5</v>
      </c>
      <c r="L1875" s="7">
        <f t="shared" si="88"/>
        <v>3054.73</v>
      </c>
      <c r="M1875" s="7"/>
      <c r="O1875">
        <f t="shared" si="89"/>
        <v>4</v>
      </c>
      <c r="Q1875" t="s">
        <v>47</v>
      </c>
    </row>
    <row r="1876" spans="1:17" x14ac:dyDescent="0.3">
      <c r="A1876" t="s">
        <v>2893</v>
      </c>
      <c r="B1876" s="6">
        <v>45100</v>
      </c>
      <c r="C1876" s="6" t="str">
        <f t="shared" si="87"/>
        <v>Jun</v>
      </c>
      <c r="D1876" t="s">
        <v>2587</v>
      </c>
      <c r="E1876" t="s">
        <v>19</v>
      </c>
      <c r="F1876" t="s">
        <v>303</v>
      </c>
      <c r="G1876">
        <v>2</v>
      </c>
      <c r="H1876" s="7">
        <v>122.56</v>
      </c>
      <c r="I1876" t="s">
        <v>21</v>
      </c>
      <c r="J1876" t="s">
        <v>19</v>
      </c>
      <c r="K1876">
        <v>5</v>
      </c>
      <c r="L1876" s="7">
        <f t="shared" si="88"/>
        <v>245.12</v>
      </c>
      <c r="M1876" s="7"/>
      <c r="O1876">
        <f t="shared" si="89"/>
        <v>2</v>
      </c>
      <c r="Q1876" t="s">
        <v>23</v>
      </c>
    </row>
    <row r="1877" spans="1:17" x14ac:dyDescent="0.3">
      <c r="A1877" t="s">
        <v>2894</v>
      </c>
      <c r="B1877" s="6">
        <v>45258</v>
      </c>
      <c r="C1877" s="6" t="str">
        <f t="shared" si="87"/>
        <v>Nov</v>
      </c>
      <c r="D1877" t="s">
        <v>2382</v>
      </c>
      <c r="E1877" t="s">
        <v>62</v>
      </c>
      <c r="F1877" t="s">
        <v>383</v>
      </c>
      <c r="G1877">
        <v>2</v>
      </c>
      <c r="H1877" s="7">
        <v>489.57</v>
      </c>
      <c r="I1877" t="s">
        <v>32</v>
      </c>
      <c r="J1877" t="s">
        <v>42</v>
      </c>
      <c r="K1877">
        <v>0</v>
      </c>
      <c r="L1877" s="7">
        <f t="shared" si="88"/>
        <v>979.14</v>
      </c>
      <c r="M1877" s="7"/>
      <c r="O1877">
        <f t="shared" si="89"/>
        <v>2</v>
      </c>
      <c r="Q1877" t="s">
        <v>33</v>
      </c>
    </row>
    <row r="1878" spans="1:17" x14ac:dyDescent="0.3">
      <c r="A1878" t="s">
        <v>2895</v>
      </c>
      <c r="B1878" s="6">
        <v>45035</v>
      </c>
      <c r="C1878" s="6" t="str">
        <f t="shared" si="87"/>
        <v>Apr</v>
      </c>
      <c r="D1878" t="s">
        <v>1977</v>
      </c>
      <c r="E1878" t="s">
        <v>62</v>
      </c>
      <c r="F1878" t="s">
        <v>54</v>
      </c>
      <c r="G1878">
        <v>9</v>
      </c>
      <c r="H1878" s="7">
        <v>196.25</v>
      </c>
      <c r="I1878" t="s">
        <v>46</v>
      </c>
      <c r="J1878" t="s">
        <v>72</v>
      </c>
      <c r="K1878">
        <v>5</v>
      </c>
      <c r="L1878" s="7">
        <f t="shared" si="88"/>
        <v>1766.25</v>
      </c>
      <c r="M1878" s="7"/>
      <c r="O1878">
        <f t="shared" si="89"/>
        <v>2</v>
      </c>
      <c r="Q1878" t="s">
        <v>47</v>
      </c>
    </row>
    <row r="1879" spans="1:17" x14ac:dyDescent="0.3">
      <c r="A1879" t="s">
        <v>2896</v>
      </c>
      <c r="B1879" s="6">
        <v>45150</v>
      </c>
      <c r="C1879" s="6" t="str">
        <f t="shared" si="87"/>
        <v>Aug</v>
      </c>
      <c r="D1879" t="s">
        <v>2897</v>
      </c>
      <c r="E1879" t="s">
        <v>50</v>
      </c>
      <c r="F1879" t="s">
        <v>20</v>
      </c>
      <c r="G1879">
        <v>5</v>
      </c>
      <c r="H1879" s="7">
        <v>137.29</v>
      </c>
      <c r="I1879" t="s">
        <v>21</v>
      </c>
      <c r="J1879" t="s">
        <v>72</v>
      </c>
      <c r="K1879">
        <v>10</v>
      </c>
      <c r="L1879" s="7">
        <f t="shared" si="88"/>
        <v>686.44999999999993</v>
      </c>
      <c r="M1879" s="7"/>
      <c r="O1879">
        <f t="shared" si="89"/>
        <v>2</v>
      </c>
      <c r="Q1879" t="s">
        <v>23</v>
      </c>
    </row>
    <row r="1880" spans="1:17" x14ac:dyDescent="0.3">
      <c r="A1880" t="s">
        <v>2898</v>
      </c>
      <c r="B1880" s="6">
        <v>45068</v>
      </c>
      <c r="C1880" s="6" t="str">
        <f t="shared" si="87"/>
        <v>May</v>
      </c>
      <c r="D1880" t="s">
        <v>1687</v>
      </c>
      <c r="E1880" t="s">
        <v>62</v>
      </c>
      <c r="F1880" t="s">
        <v>619</v>
      </c>
      <c r="G1880">
        <v>2</v>
      </c>
      <c r="H1880" s="7">
        <v>213.65</v>
      </c>
      <c r="I1880" t="s">
        <v>64</v>
      </c>
      <c r="J1880" t="s">
        <v>87</v>
      </c>
      <c r="K1880">
        <v>10</v>
      </c>
      <c r="L1880" s="7">
        <f t="shared" si="88"/>
        <v>427.3</v>
      </c>
      <c r="M1880" s="7"/>
      <c r="O1880">
        <f t="shared" si="89"/>
        <v>2</v>
      </c>
      <c r="Q1880" t="s">
        <v>65</v>
      </c>
    </row>
    <row r="1881" spans="1:17" x14ac:dyDescent="0.3">
      <c r="A1881" t="s">
        <v>2899</v>
      </c>
      <c r="B1881" s="6">
        <v>45290</v>
      </c>
      <c r="C1881" s="6" t="str">
        <f t="shared" si="87"/>
        <v>Dec</v>
      </c>
      <c r="D1881" t="s">
        <v>1446</v>
      </c>
      <c r="E1881" t="s">
        <v>36</v>
      </c>
      <c r="F1881" t="s">
        <v>822</v>
      </c>
      <c r="G1881">
        <v>9</v>
      </c>
      <c r="H1881" s="7">
        <v>51.73</v>
      </c>
      <c r="I1881" t="s">
        <v>46</v>
      </c>
      <c r="J1881" t="s">
        <v>19</v>
      </c>
      <c r="K1881">
        <v>10</v>
      </c>
      <c r="L1881" s="7">
        <f t="shared" si="88"/>
        <v>465.57</v>
      </c>
      <c r="M1881" s="7"/>
      <c r="O1881">
        <f t="shared" si="89"/>
        <v>2</v>
      </c>
      <c r="Q1881" t="s">
        <v>47</v>
      </c>
    </row>
    <row r="1882" spans="1:17" x14ac:dyDescent="0.3">
      <c r="A1882" t="s">
        <v>2900</v>
      </c>
      <c r="B1882" s="6">
        <v>44999</v>
      </c>
      <c r="C1882" s="6" t="str">
        <f t="shared" si="87"/>
        <v>Mar</v>
      </c>
      <c r="D1882" t="s">
        <v>1087</v>
      </c>
      <c r="E1882" t="s">
        <v>50</v>
      </c>
      <c r="F1882" t="s">
        <v>41</v>
      </c>
      <c r="G1882">
        <v>9</v>
      </c>
      <c r="H1882" s="7">
        <v>67.22</v>
      </c>
      <c r="I1882" t="s">
        <v>32</v>
      </c>
      <c r="J1882" t="s">
        <v>72</v>
      </c>
      <c r="K1882">
        <v>0</v>
      </c>
      <c r="L1882" s="7">
        <f t="shared" si="88"/>
        <v>604.98</v>
      </c>
      <c r="M1882" s="7"/>
      <c r="O1882">
        <f t="shared" si="89"/>
        <v>2</v>
      </c>
      <c r="Q1882" t="s">
        <v>33</v>
      </c>
    </row>
    <row r="1883" spans="1:17" x14ac:dyDescent="0.3">
      <c r="A1883" t="s">
        <v>2901</v>
      </c>
      <c r="B1883" s="6">
        <v>45132</v>
      </c>
      <c r="C1883" s="6" t="str">
        <f t="shared" si="87"/>
        <v>Jul</v>
      </c>
      <c r="D1883" t="s">
        <v>574</v>
      </c>
      <c r="E1883" t="s">
        <v>36</v>
      </c>
      <c r="F1883" t="s">
        <v>208</v>
      </c>
      <c r="G1883">
        <v>1</v>
      </c>
      <c r="H1883" s="7">
        <v>210.14</v>
      </c>
      <c r="I1883" t="s">
        <v>103</v>
      </c>
      <c r="J1883" t="s">
        <v>42</v>
      </c>
      <c r="K1883">
        <v>15</v>
      </c>
      <c r="L1883" s="7">
        <f t="shared" si="88"/>
        <v>210.14</v>
      </c>
      <c r="M1883" s="7"/>
      <c r="O1883">
        <f t="shared" si="89"/>
        <v>2</v>
      </c>
      <c r="Q1883" t="s">
        <v>104</v>
      </c>
    </row>
    <row r="1884" spans="1:17" x14ac:dyDescent="0.3">
      <c r="A1884" t="s">
        <v>2902</v>
      </c>
      <c r="B1884" s="6">
        <v>45012</v>
      </c>
      <c r="C1884" s="6" t="str">
        <f t="shared" si="87"/>
        <v>Mar</v>
      </c>
      <c r="D1884" t="s">
        <v>391</v>
      </c>
      <c r="E1884" t="s">
        <v>19</v>
      </c>
      <c r="F1884" t="s">
        <v>214</v>
      </c>
      <c r="G1884">
        <v>3</v>
      </c>
      <c r="H1884" s="7">
        <v>382.41</v>
      </c>
      <c r="I1884" t="s">
        <v>64</v>
      </c>
      <c r="J1884" t="s">
        <v>22</v>
      </c>
      <c r="K1884">
        <v>15</v>
      </c>
      <c r="L1884" s="7">
        <f t="shared" si="88"/>
        <v>1147.23</v>
      </c>
      <c r="M1884" s="7"/>
      <c r="O1884">
        <f t="shared" si="89"/>
        <v>2</v>
      </c>
      <c r="Q1884" t="s">
        <v>65</v>
      </c>
    </row>
    <row r="1885" spans="1:17" x14ac:dyDescent="0.3">
      <c r="A1885" t="s">
        <v>2903</v>
      </c>
      <c r="B1885" s="6">
        <v>45061</v>
      </c>
      <c r="C1885" s="6" t="str">
        <f t="shared" si="87"/>
        <v>May</v>
      </c>
      <c r="D1885" t="s">
        <v>2904</v>
      </c>
      <c r="E1885" t="s">
        <v>36</v>
      </c>
      <c r="F1885" t="s">
        <v>1851</v>
      </c>
      <c r="G1885">
        <v>4</v>
      </c>
      <c r="H1885" s="7">
        <v>450.65</v>
      </c>
      <c r="I1885" t="s">
        <v>21</v>
      </c>
      <c r="J1885" t="s">
        <v>72</v>
      </c>
      <c r="K1885">
        <v>5</v>
      </c>
      <c r="L1885" s="7">
        <f t="shared" si="88"/>
        <v>1802.6</v>
      </c>
      <c r="M1885" s="7"/>
      <c r="O1885">
        <f t="shared" si="89"/>
        <v>2</v>
      </c>
      <c r="Q1885" t="s">
        <v>23</v>
      </c>
    </row>
    <row r="1886" spans="1:17" x14ac:dyDescent="0.3">
      <c r="A1886" t="s">
        <v>2905</v>
      </c>
      <c r="B1886" s="6">
        <v>45226</v>
      </c>
      <c r="C1886" s="6" t="str">
        <f t="shared" si="87"/>
        <v>Oct</v>
      </c>
      <c r="D1886" t="s">
        <v>1219</v>
      </c>
      <c r="E1886" t="s">
        <v>50</v>
      </c>
      <c r="F1886" t="s">
        <v>353</v>
      </c>
      <c r="G1886">
        <v>7</v>
      </c>
      <c r="H1886" s="7">
        <v>334.08</v>
      </c>
      <c r="I1886" t="s">
        <v>46</v>
      </c>
      <c r="J1886" t="s">
        <v>87</v>
      </c>
      <c r="K1886">
        <v>10</v>
      </c>
      <c r="L1886" s="7">
        <f t="shared" si="88"/>
        <v>2338.56</v>
      </c>
      <c r="M1886" s="7"/>
      <c r="O1886">
        <f t="shared" si="89"/>
        <v>2</v>
      </c>
      <c r="Q1886" t="s">
        <v>47</v>
      </c>
    </row>
    <row r="1887" spans="1:17" x14ac:dyDescent="0.3">
      <c r="A1887" t="s">
        <v>2906</v>
      </c>
      <c r="B1887" s="6">
        <v>45064</v>
      </c>
      <c r="C1887" s="6" t="str">
        <f t="shared" si="87"/>
        <v>May</v>
      </c>
      <c r="D1887" t="s">
        <v>871</v>
      </c>
      <c r="E1887" t="s">
        <v>19</v>
      </c>
      <c r="F1887" t="s">
        <v>1182</v>
      </c>
      <c r="G1887">
        <v>4</v>
      </c>
      <c r="H1887" s="7">
        <v>57.08</v>
      </c>
      <c r="I1887" t="s">
        <v>32</v>
      </c>
      <c r="J1887" t="s">
        <v>87</v>
      </c>
      <c r="K1887">
        <v>5</v>
      </c>
      <c r="L1887" s="7">
        <f t="shared" si="88"/>
        <v>228.32</v>
      </c>
      <c r="M1887" s="7"/>
      <c r="O1887">
        <f t="shared" si="89"/>
        <v>2</v>
      </c>
      <c r="Q1887" t="s">
        <v>33</v>
      </c>
    </row>
    <row r="1888" spans="1:17" x14ac:dyDescent="0.3">
      <c r="A1888" t="s">
        <v>2907</v>
      </c>
      <c r="B1888" s="6">
        <v>45014</v>
      </c>
      <c r="C1888" s="6" t="str">
        <f t="shared" si="87"/>
        <v>Mar</v>
      </c>
      <c r="D1888" t="s">
        <v>388</v>
      </c>
      <c r="E1888" t="s">
        <v>19</v>
      </c>
      <c r="F1888" t="s">
        <v>322</v>
      </c>
      <c r="G1888">
        <v>2</v>
      </c>
      <c r="H1888" s="7">
        <v>337.65</v>
      </c>
      <c r="I1888" t="s">
        <v>19</v>
      </c>
      <c r="J1888" t="s">
        <v>72</v>
      </c>
      <c r="K1888">
        <v>0</v>
      </c>
      <c r="L1888" s="7">
        <f t="shared" si="88"/>
        <v>675.3</v>
      </c>
      <c r="M1888" s="7"/>
      <c r="O1888">
        <f t="shared" si="89"/>
        <v>2</v>
      </c>
      <c r="Q1888" t="s">
        <v>19</v>
      </c>
    </row>
    <row r="1889" spans="1:17" x14ac:dyDescent="0.3">
      <c r="A1889" t="s">
        <v>2908</v>
      </c>
      <c r="B1889" s="6">
        <v>45292</v>
      </c>
      <c r="C1889" s="6" t="str">
        <f t="shared" si="87"/>
        <v>Jan</v>
      </c>
      <c r="D1889" t="s">
        <v>581</v>
      </c>
      <c r="E1889" t="s">
        <v>62</v>
      </c>
      <c r="F1889" t="s">
        <v>242</v>
      </c>
      <c r="G1889">
        <v>7</v>
      </c>
      <c r="H1889" s="7">
        <v>319.54000000000002</v>
      </c>
      <c r="I1889" t="s">
        <v>64</v>
      </c>
      <c r="J1889" t="s">
        <v>19</v>
      </c>
      <c r="K1889">
        <v>5</v>
      </c>
      <c r="L1889" s="7">
        <f t="shared" si="88"/>
        <v>2236.7800000000002</v>
      </c>
      <c r="M1889" s="7"/>
      <c r="O1889">
        <f t="shared" si="89"/>
        <v>2</v>
      </c>
      <c r="Q1889" t="s">
        <v>65</v>
      </c>
    </row>
    <row r="1890" spans="1:17" x14ac:dyDescent="0.3">
      <c r="A1890" t="s">
        <v>2909</v>
      </c>
      <c r="B1890" s="6">
        <v>45099</v>
      </c>
      <c r="C1890" s="6" t="str">
        <f t="shared" si="87"/>
        <v>Jun</v>
      </c>
      <c r="D1890" t="s">
        <v>98</v>
      </c>
      <c r="E1890" t="s">
        <v>31</v>
      </c>
      <c r="F1890" t="s">
        <v>549</v>
      </c>
      <c r="G1890">
        <v>6</v>
      </c>
      <c r="H1890" s="7">
        <v>403.85</v>
      </c>
      <c r="I1890" t="s">
        <v>103</v>
      </c>
      <c r="J1890" t="s">
        <v>19</v>
      </c>
      <c r="K1890">
        <v>20</v>
      </c>
      <c r="L1890" s="7">
        <f t="shared" si="88"/>
        <v>2423.1000000000004</v>
      </c>
      <c r="M1890" s="7"/>
      <c r="O1890">
        <f t="shared" si="89"/>
        <v>2</v>
      </c>
      <c r="Q1890" t="s">
        <v>104</v>
      </c>
    </row>
    <row r="1891" spans="1:17" x14ac:dyDescent="0.3">
      <c r="A1891" t="s">
        <v>2910</v>
      </c>
      <c r="B1891" s="6">
        <v>45018</v>
      </c>
      <c r="C1891" s="6" t="str">
        <f t="shared" si="87"/>
        <v>Apr</v>
      </c>
      <c r="D1891" t="s">
        <v>682</v>
      </c>
      <c r="E1891" t="s">
        <v>31</v>
      </c>
      <c r="F1891" t="s">
        <v>415</v>
      </c>
      <c r="G1891">
        <v>3</v>
      </c>
      <c r="H1891" s="7">
        <v>413.5</v>
      </c>
      <c r="I1891" t="s">
        <v>21</v>
      </c>
      <c r="J1891" t="s">
        <v>72</v>
      </c>
      <c r="K1891">
        <v>15</v>
      </c>
      <c r="L1891" s="7">
        <f t="shared" si="88"/>
        <v>1240.5</v>
      </c>
      <c r="M1891" s="7"/>
      <c r="O1891">
        <f t="shared" si="89"/>
        <v>2</v>
      </c>
      <c r="Q1891" t="s">
        <v>23</v>
      </c>
    </row>
    <row r="1892" spans="1:17" x14ac:dyDescent="0.3">
      <c r="A1892" t="s">
        <v>2911</v>
      </c>
      <c r="B1892" s="6">
        <v>44931</v>
      </c>
      <c r="C1892" s="6" t="str">
        <f t="shared" si="87"/>
        <v>Jan</v>
      </c>
      <c r="D1892" t="s">
        <v>2912</v>
      </c>
      <c r="E1892" t="s">
        <v>19</v>
      </c>
      <c r="F1892" t="s">
        <v>128</v>
      </c>
      <c r="G1892">
        <v>6</v>
      </c>
      <c r="H1892" s="7">
        <v>434.76</v>
      </c>
      <c r="I1892" t="s">
        <v>46</v>
      </c>
      <c r="J1892" t="s">
        <v>42</v>
      </c>
      <c r="K1892">
        <v>5</v>
      </c>
      <c r="L1892" s="7">
        <f t="shared" si="88"/>
        <v>2608.56</v>
      </c>
      <c r="M1892" s="7"/>
      <c r="O1892">
        <f t="shared" si="89"/>
        <v>3</v>
      </c>
      <c r="Q1892" t="s">
        <v>47</v>
      </c>
    </row>
    <row r="1893" spans="1:17" x14ac:dyDescent="0.3">
      <c r="A1893" t="s">
        <v>2913</v>
      </c>
      <c r="B1893" s="6">
        <v>45116</v>
      </c>
      <c r="C1893" s="6" t="str">
        <f t="shared" si="87"/>
        <v>Jul</v>
      </c>
      <c r="D1893" t="s">
        <v>1795</v>
      </c>
      <c r="E1893" t="s">
        <v>50</v>
      </c>
      <c r="F1893" t="s">
        <v>341</v>
      </c>
      <c r="G1893">
        <v>6</v>
      </c>
      <c r="H1893" s="7">
        <v>210</v>
      </c>
      <c r="I1893" t="s">
        <v>21</v>
      </c>
      <c r="J1893" t="s">
        <v>28</v>
      </c>
      <c r="K1893">
        <v>5</v>
      </c>
      <c r="L1893" s="7">
        <f t="shared" si="88"/>
        <v>1260</v>
      </c>
      <c r="M1893" s="7"/>
      <c r="O1893">
        <f t="shared" si="89"/>
        <v>2</v>
      </c>
      <c r="Q1893" t="s">
        <v>23</v>
      </c>
    </row>
    <row r="1894" spans="1:17" x14ac:dyDescent="0.3">
      <c r="A1894" t="s">
        <v>2914</v>
      </c>
      <c r="B1894" s="6">
        <v>45176</v>
      </c>
      <c r="C1894" s="6" t="str">
        <f t="shared" si="87"/>
        <v>Sep</v>
      </c>
      <c r="D1894" t="s">
        <v>2915</v>
      </c>
      <c r="E1894" t="s">
        <v>40</v>
      </c>
      <c r="F1894" t="s">
        <v>248</v>
      </c>
      <c r="G1894">
        <v>5</v>
      </c>
      <c r="H1894" s="7">
        <v>350.44</v>
      </c>
      <c r="I1894" t="s">
        <v>19</v>
      </c>
      <c r="J1894" t="s">
        <v>42</v>
      </c>
      <c r="K1894">
        <v>10</v>
      </c>
      <c r="L1894" s="7">
        <f t="shared" si="88"/>
        <v>1752.2</v>
      </c>
      <c r="M1894" s="7"/>
      <c r="O1894">
        <f t="shared" si="89"/>
        <v>2</v>
      </c>
      <c r="Q1894" t="s">
        <v>19</v>
      </c>
    </row>
    <row r="1895" spans="1:17" x14ac:dyDescent="0.3">
      <c r="A1895" t="s">
        <v>2916</v>
      </c>
      <c r="B1895" s="6">
        <v>44967</v>
      </c>
      <c r="C1895" s="6" t="str">
        <f t="shared" si="87"/>
        <v>Feb</v>
      </c>
      <c r="D1895" t="s">
        <v>2342</v>
      </c>
      <c r="E1895" t="s">
        <v>26</v>
      </c>
      <c r="F1895" t="s">
        <v>224</v>
      </c>
      <c r="G1895">
        <v>4</v>
      </c>
      <c r="H1895" s="7">
        <v>137.78</v>
      </c>
      <c r="I1895" t="s">
        <v>64</v>
      </c>
      <c r="J1895" t="s">
        <v>22</v>
      </c>
      <c r="K1895">
        <v>5</v>
      </c>
      <c r="L1895" s="7">
        <f t="shared" si="88"/>
        <v>551.12</v>
      </c>
      <c r="M1895" s="7"/>
      <c r="O1895">
        <f t="shared" si="89"/>
        <v>2</v>
      </c>
      <c r="Q1895" t="s">
        <v>65</v>
      </c>
    </row>
    <row r="1896" spans="1:17" x14ac:dyDescent="0.3">
      <c r="A1896" t="s">
        <v>2917</v>
      </c>
      <c r="B1896" s="6">
        <v>45006</v>
      </c>
      <c r="C1896" s="6" t="str">
        <f t="shared" si="87"/>
        <v>Mar</v>
      </c>
      <c r="D1896" t="s">
        <v>1525</v>
      </c>
      <c r="E1896" t="s">
        <v>31</v>
      </c>
      <c r="F1896" t="s">
        <v>1180</v>
      </c>
      <c r="G1896">
        <v>1</v>
      </c>
      <c r="H1896" s="7">
        <v>499.67</v>
      </c>
      <c r="I1896" t="s">
        <v>32</v>
      </c>
      <c r="J1896" t="s">
        <v>72</v>
      </c>
      <c r="K1896">
        <v>20</v>
      </c>
      <c r="L1896" s="7">
        <f t="shared" si="88"/>
        <v>499.67</v>
      </c>
      <c r="M1896" s="7"/>
      <c r="O1896">
        <f t="shared" si="89"/>
        <v>2</v>
      </c>
      <c r="Q1896" t="s">
        <v>33</v>
      </c>
    </row>
    <row r="1897" spans="1:17" x14ac:dyDescent="0.3">
      <c r="A1897" t="s">
        <v>2918</v>
      </c>
      <c r="B1897" s="6">
        <v>45214</v>
      </c>
      <c r="C1897" s="6" t="str">
        <f t="shared" si="87"/>
        <v>Oct</v>
      </c>
      <c r="D1897" t="s">
        <v>1558</v>
      </c>
      <c r="E1897" t="s">
        <v>62</v>
      </c>
      <c r="F1897" t="s">
        <v>1182</v>
      </c>
      <c r="G1897">
        <v>6</v>
      </c>
      <c r="H1897" s="7">
        <v>91.79</v>
      </c>
      <c r="I1897" t="s">
        <v>64</v>
      </c>
      <c r="J1897" t="s">
        <v>42</v>
      </c>
      <c r="K1897">
        <v>15</v>
      </c>
      <c r="L1897" s="7">
        <f t="shared" si="88"/>
        <v>550.74</v>
      </c>
      <c r="M1897" s="7"/>
      <c r="O1897">
        <f t="shared" si="89"/>
        <v>2</v>
      </c>
      <c r="Q1897" t="s">
        <v>65</v>
      </c>
    </row>
    <row r="1898" spans="1:17" x14ac:dyDescent="0.3">
      <c r="A1898" t="s">
        <v>2919</v>
      </c>
      <c r="B1898" s="6">
        <v>45231</v>
      </c>
      <c r="C1898" s="6" t="str">
        <f t="shared" si="87"/>
        <v>Nov</v>
      </c>
      <c r="D1898" t="s">
        <v>2920</v>
      </c>
      <c r="E1898" t="s">
        <v>19</v>
      </c>
      <c r="F1898" t="s">
        <v>359</v>
      </c>
      <c r="G1898">
        <v>2</v>
      </c>
      <c r="H1898" s="7">
        <v>252.16</v>
      </c>
      <c r="I1898" t="s">
        <v>32</v>
      </c>
      <c r="J1898" t="s">
        <v>22</v>
      </c>
      <c r="K1898">
        <v>10</v>
      </c>
      <c r="L1898" s="7">
        <f t="shared" si="88"/>
        <v>504.32</v>
      </c>
      <c r="M1898" s="7"/>
      <c r="O1898">
        <f t="shared" si="89"/>
        <v>2</v>
      </c>
      <c r="Q1898" t="s">
        <v>33</v>
      </c>
    </row>
    <row r="1899" spans="1:17" x14ac:dyDescent="0.3">
      <c r="A1899" t="s">
        <v>2921</v>
      </c>
      <c r="B1899" s="6">
        <v>45100</v>
      </c>
      <c r="C1899" s="6" t="str">
        <f t="shared" si="87"/>
        <v>Jun</v>
      </c>
      <c r="D1899" t="s">
        <v>1296</v>
      </c>
      <c r="E1899" t="s">
        <v>26</v>
      </c>
      <c r="F1899" t="s">
        <v>347</v>
      </c>
      <c r="G1899">
        <v>3</v>
      </c>
      <c r="H1899" s="7">
        <v>78.66</v>
      </c>
      <c r="I1899" t="s">
        <v>64</v>
      </c>
      <c r="J1899" t="s">
        <v>72</v>
      </c>
      <c r="K1899">
        <v>0</v>
      </c>
      <c r="L1899" s="7">
        <f t="shared" si="88"/>
        <v>235.98</v>
      </c>
      <c r="M1899" s="7"/>
      <c r="O1899">
        <f t="shared" si="89"/>
        <v>2</v>
      </c>
      <c r="Q1899" t="s">
        <v>65</v>
      </c>
    </row>
    <row r="1900" spans="1:17" x14ac:dyDescent="0.3">
      <c r="A1900" t="s">
        <v>2922</v>
      </c>
      <c r="B1900" s="6">
        <v>44933</v>
      </c>
      <c r="C1900" s="6" t="str">
        <f t="shared" si="87"/>
        <v>Jan</v>
      </c>
      <c r="D1900" t="s">
        <v>402</v>
      </c>
      <c r="E1900" t="s">
        <v>50</v>
      </c>
      <c r="F1900" t="s">
        <v>160</v>
      </c>
      <c r="G1900">
        <v>8</v>
      </c>
      <c r="H1900" s="7">
        <v>389.06</v>
      </c>
      <c r="I1900" t="s">
        <v>46</v>
      </c>
      <c r="J1900" t="s">
        <v>42</v>
      </c>
      <c r="K1900">
        <v>0</v>
      </c>
      <c r="L1900" s="7">
        <f t="shared" si="88"/>
        <v>3112.48</v>
      </c>
      <c r="M1900" s="7"/>
      <c r="O1900">
        <f t="shared" si="89"/>
        <v>4</v>
      </c>
      <c r="Q1900" t="s">
        <v>47</v>
      </c>
    </row>
    <row r="1901" spans="1:17" x14ac:dyDescent="0.3">
      <c r="A1901" t="s">
        <v>2923</v>
      </c>
      <c r="B1901" s="6">
        <v>44986</v>
      </c>
      <c r="C1901" s="6" t="str">
        <f t="shared" si="87"/>
        <v>Mar</v>
      </c>
      <c r="D1901" t="s">
        <v>830</v>
      </c>
      <c r="E1901" t="s">
        <v>19</v>
      </c>
      <c r="F1901" t="s">
        <v>119</v>
      </c>
      <c r="G1901">
        <v>6</v>
      </c>
      <c r="H1901" s="7">
        <v>226.16</v>
      </c>
      <c r="I1901" t="s">
        <v>21</v>
      </c>
      <c r="J1901" t="s">
        <v>28</v>
      </c>
      <c r="K1901">
        <v>15</v>
      </c>
      <c r="L1901" s="7">
        <f t="shared" si="88"/>
        <v>1356.96</v>
      </c>
      <c r="M1901" s="7"/>
      <c r="O1901">
        <f t="shared" si="89"/>
        <v>2</v>
      </c>
      <c r="Q1901" t="s">
        <v>23</v>
      </c>
    </row>
    <row r="1902" spans="1:17" x14ac:dyDescent="0.3">
      <c r="A1902" t="s">
        <v>2924</v>
      </c>
      <c r="B1902" s="6">
        <v>44949</v>
      </c>
      <c r="C1902" s="6" t="str">
        <f t="shared" si="87"/>
        <v>Jan</v>
      </c>
      <c r="D1902" t="s">
        <v>594</v>
      </c>
      <c r="E1902" t="s">
        <v>36</v>
      </c>
      <c r="F1902" t="s">
        <v>900</v>
      </c>
      <c r="G1902">
        <v>3</v>
      </c>
      <c r="H1902" s="7">
        <v>226.51</v>
      </c>
      <c r="I1902" t="s">
        <v>21</v>
      </c>
      <c r="J1902" t="s">
        <v>28</v>
      </c>
      <c r="K1902">
        <v>0</v>
      </c>
      <c r="L1902" s="7">
        <f t="shared" si="88"/>
        <v>679.53</v>
      </c>
      <c r="M1902" s="7"/>
      <c r="O1902">
        <f t="shared" si="89"/>
        <v>2</v>
      </c>
      <c r="Q1902" t="s">
        <v>23</v>
      </c>
    </row>
    <row r="1903" spans="1:17" x14ac:dyDescent="0.3">
      <c r="A1903" t="s">
        <v>2925</v>
      </c>
      <c r="B1903" s="6">
        <v>45157</v>
      </c>
      <c r="C1903" s="6" t="str">
        <f t="shared" si="87"/>
        <v>Aug</v>
      </c>
      <c r="D1903" t="s">
        <v>1216</v>
      </c>
      <c r="E1903" t="s">
        <v>50</v>
      </c>
      <c r="F1903" t="s">
        <v>913</v>
      </c>
      <c r="G1903">
        <v>7</v>
      </c>
      <c r="H1903" s="7">
        <v>477.74</v>
      </c>
      <c r="I1903" t="s">
        <v>19</v>
      </c>
      <c r="J1903" t="s">
        <v>87</v>
      </c>
      <c r="K1903">
        <v>20</v>
      </c>
      <c r="L1903" s="7">
        <f t="shared" si="88"/>
        <v>3344.1800000000003</v>
      </c>
      <c r="M1903" s="7"/>
      <c r="O1903">
        <f t="shared" si="89"/>
        <v>4</v>
      </c>
      <c r="Q1903" t="s">
        <v>19</v>
      </c>
    </row>
    <row r="1904" spans="1:17" x14ac:dyDescent="0.3">
      <c r="A1904" t="s">
        <v>2926</v>
      </c>
      <c r="B1904" s="6">
        <v>45083</v>
      </c>
      <c r="C1904" s="6" t="str">
        <f t="shared" si="87"/>
        <v>Jun</v>
      </c>
      <c r="D1904" t="s">
        <v>2904</v>
      </c>
      <c r="E1904" t="s">
        <v>26</v>
      </c>
      <c r="F1904" t="s">
        <v>1180</v>
      </c>
      <c r="G1904">
        <v>4</v>
      </c>
      <c r="H1904" s="7">
        <v>460.22</v>
      </c>
      <c r="I1904" t="s">
        <v>46</v>
      </c>
      <c r="J1904" t="s">
        <v>22</v>
      </c>
      <c r="K1904">
        <v>5</v>
      </c>
      <c r="L1904" s="7">
        <f t="shared" si="88"/>
        <v>1840.88</v>
      </c>
      <c r="M1904" s="7"/>
      <c r="O1904">
        <f t="shared" si="89"/>
        <v>2</v>
      </c>
      <c r="Q1904" t="s">
        <v>47</v>
      </c>
    </row>
    <row r="1905" spans="1:17" x14ac:dyDescent="0.3">
      <c r="A1905" t="s">
        <v>2927</v>
      </c>
      <c r="B1905" s="6">
        <v>45050</v>
      </c>
      <c r="C1905" s="6" t="str">
        <f t="shared" si="87"/>
        <v>May</v>
      </c>
      <c r="D1905" t="s">
        <v>633</v>
      </c>
      <c r="E1905" t="s">
        <v>26</v>
      </c>
      <c r="F1905" t="s">
        <v>445</v>
      </c>
      <c r="G1905">
        <v>9</v>
      </c>
      <c r="H1905" s="7">
        <v>159.04</v>
      </c>
      <c r="I1905" t="s">
        <v>21</v>
      </c>
      <c r="J1905" t="s">
        <v>42</v>
      </c>
      <c r="K1905">
        <v>15</v>
      </c>
      <c r="L1905" s="7">
        <f t="shared" si="88"/>
        <v>1431.36</v>
      </c>
      <c r="M1905" s="7"/>
      <c r="O1905">
        <f t="shared" si="89"/>
        <v>2</v>
      </c>
      <c r="Q1905" t="s">
        <v>23</v>
      </c>
    </row>
    <row r="1906" spans="1:17" x14ac:dyDescent="0.3">
      <c r="A1906" t="s">
        <v>2928</v>
      </c>
      <c r="B1906" s="6">
        <v>45246</v>
      </c>
      <c r="C1906" s="6" t="str">
        <f t="shared" si="87"/>
        <v>Nov</v>
      </c>
      <c r="D1906" t="s">
        <v>1480</v>
      </c>
      <c r="E1906" t="s">
        <v>40</v>
      </c>
      <c r="F1906" t="s">
        <v>185</v>
      </c>
      <c r="G1906">
        <v>5</v>
      </c>
      <c r="H1906" s="7">
        <v>108.48</v>
      </c>
      <c r="I1906" t="s">
        <v>21</v>
      </c>
      <c r="J1906" t="s">
        <v>87</v>
      </c>
      <c r="K1906">
        <v>10</v>
      </c>
      <c r="L1906" s="7">
        <f t="shared" si="88"/>
        <v>542.4</v>
      </c>
      <c r="M1906" s="7"/>
      <c r="O1906">
        <f t="shared" si="89"/>
        <v>2</v>
      </c>
      <c r="Q1906" t="s">
        <v>23</v>
      </c>
    </row>
    <row r="1907" spans="1:17" x14ac:dyDescent="0.3">
      <c r="A1907" t="s">
        <v>2929</v>
      </c>
      <c r="B1907" s="6">
        <v>45288</v>
      </c>
      <c r="C1907" s="6" t="str">
        <f t="shared" si="87"/>
        <v>Dec</v>
      </c>
      <c r="D1907" t="s">
        <v>1362</v>
      </c>
      <c r="E1907" t="s">
        <v>19</v>
      </c>
      <c r="F1907" t="s">
        <v>975</v>
      </c>
      <c r="G1907">
        <v>3</v>
      </c>
      <c r="H1907" s="7">
        <v>425</v>
      </c>
      <c r="I1907" t="s">
        <v>19</v>
      </c>
      <c r="J1907" t="s">
        <v>87</v>
      </c>
      <c r="K1907">
        <v>5</v>
      </c>
      <c r="L1907" s="7">
        <f t="shared" si="88"/>
        <v>1275</v>
      </c>
      <c r="M1907" s="7"/>
      <c r="O1907">
        <f t="shared" si="89"/>
        <v>2</v>
      </c>
      <c r="Q1907" t="s">
        <v>19</v>
      </c>
    </row>
    <row r="1908" spans="1:17" x14ac:dyDescent="0.3">
      <c r="A1908" t="s">
        <v>2930</v>
      </c>
      <c r="B1908" s="6">
        <v>45196</v>
      </c>
      <c r="C1908" s="6" t="str">
        <f t="shared" si="87"/>
        <v>Sep</v>
      </c>
      <c r="D1908" t="s">
        <v>616</v>
      </c>
      <c r="E1908" t="s">
        <v>31</v>
      </c>
      <c r="F1908" t="s">
        <v>322</v>
      </c>
      <c r="G1908">
        <v>2</v>
      </c>
      <c r="H1908" s="7">
        <v>453.48</v>
      </c>
      <c r="I1908" t="s">
        <v>19</v>
      </c>
      <c r="J1908" t="s">
        <v>19</v>
      </c>
      <c r="K1908">
        <v>0</v>
      </c>
      <c r="L1908" s="7">
        <f t="shared" si="88"/>
        <v>906.96</v>
      </c>
      <c r="M1908" s="7"/>
      <c r="O1908">
        <f t="shared" si="89"/>
        <v>2</v>
      </c>
      <c r="Q1908" t="s">
        <v>19</v>
      </c>
    </row>
    <row r="1909" spans="1:17" x14ac:dyDescent="0.3">
      <c r="A1909" t="s">
        <v>2931</v>
      </c>
      <c r="B1909" s="6">
        <v>45275</v>
      </c>
      <c r="C1909" s="6" t="str">
        <f t="shared" si="87"/>
        <v>Dec</v>
      </c>
      <c r="D1909" t="s">
        <v>1022</v>
      </c>
      <c r="E1909" t="s">
        <v>31</v>
      </c>
      <c r="F1909" t="s">
        <v>90</v>
      </c>
      <c r="G1909">
        <v>2</v>
      </c>
      <c r="H1909" s="7">
        <v>273.08999999999997</v>
      </c>
      <c r="I1909" t="s">
        <v>46</v>
      </c>
      <c r="J1909" t="s">
        <v>22</v>
      </c>
      <c r="K1909">
        <v>0</v>
      </c>
      <c r="L1909" s="7">
        <f t="shared" si="88"/>
        <v>546.17999999999995</v>
      </c>
      <c r="M1909" s="7"/>
      <c r="O1909">
        <f t="shared" si="89"/>
        <v>2</v>
      </c>
      <c r="Q1909" t="s">
        <v>47</v>
      </c>
    </row>
    <row r="1910" spans="1:17" x14ac:dyDescent="0.3">
      <c r="A1910" t="s">
        <v>2932</v>
      </c>
      <c r="B1910" s="6">
        <v>44927</v>
      </c>
      <c r="C1910" s="6" t="str">
        <f t="shared" si="87"/>
        <v>Jan</v>
      </c>
      <c r="D1910" t="s">
        <v>1127</v>
      </c>
      <c r="E1910" t="s">
        <v>50</v>
      </c>
      <c r="F1910" t="s">
        <v>54</v>
      </c>
      <c r="G1910">
        <v>5</v>
      </c>
      <c r="H1910" s="7">
        <v>316.56</v>
      </c>
      <c r="I1910" t="s">
        <v>21</v>
      </c>
      <c r="J1910" t="s">
        <v>72</v>
      </c>
      <c r="K1910">
        <v>10</v>
      </c>
      <c r="L1910" s="7">
        <f t="shared" si="88"/>
        <v>1582.8</v>
      </c>
      <c r="M1910" s="7"/>
      <c r="O1910">
        <f t="shared" si="89"/>
        <v>2</v>
      </c>
      <c r="Q1910" t="s">
        <v>23</v>
      </c>
    </row>
    <row r="1911" spans="1:17" x14ac:dyDescent="0.3">
      <c r="A1911" t="s">
        <v>2933</v>
      </c>
      <c r="B1911" s="6">
        <v>45146</v>
      </c>
      <c r="C1911" s="6" t="str">
        <f t="shared" si="87"/>
        <v>Aug</v>
      </c>
      <c r="D1911" t="s">
        <v>579</v>
      </c>
      <c r="E1911" t="s">
        <v>50</v>
      </c>
      <c r="F1911" t="s">
        <v>586</v>
      </c>
      <c r="G1911">
        <v>2</v>
      </c>
      <c r="H1911" s="7">
        <v>132.16999999999999</v>
      </c>
      <c r="I1911" t="s">
        <v>21</v>
      </c>
      <c r="J1911" t="s">
        <v>28</v>
      </c>
      <c r="K1911">
        <v>20</v>
      </c>
      <c r="L1911" s="7">
        <f t="shared" si="88"/>
        <v>264.33999999999997</v>
      </c>
      <c r="M1911" s="7"/>
      <c r="O1911">
        <f t="shared" si="89"/>
        <v>2</v>
      </c>
      <c r="Q1911" t="s">
        <v>23</v>
      </c>
    </row>
    <row r="1912" spans="1:17" x14ac:dyDescent="0.3">
      <c r="A1912" t="s">
        <v>2934</v>
      </c>
      <c r="B1912" s="6">
        <v>45088</v>
      </c>
      <c r="C1912" s="6" t="str">
        <f t="shared" si="87"/>
        <v>Jun</v>
      </c>
      <c r="D1912" t="s">
        <v>1779</v>
      </c>
      <c r="E1912" t="s">
        <v>31</v>
      </c>
      <c r="F1912" t="s">
        <v>887</v>
      </c>
      <c r="G1912">
        <v>4</v>
      </c>
      <c r="H1912" s="7">
        <v>401.4</v>
      </c>
      <c r="I1912" t="s">
        <v>103</v>
      </c>
      <c r="J1912" t="s">
        <v>72</v>
      </c>
      <c r="K1912">
        <v>10</v>
      </c>
      <c r="L1912" s="7">
        <f t="shared" si="88"/>
        <v>1605.6</v>
      </c>
      <c r="M1912" s="7"/>
      <c r="O1912">
        <f t="shared" si="89"/>
        <v>2</v>
      </c>
      <c r="Q1912" t="s">
        <v>104</v>
      </c>
    </row>
    <row r="1913" spans="1:17" x14ac:dyDescent="0.3">
      <c r="A1913" t="s">
        <v>2935</v>
      </c>
      <c r="B1913" s="6">
        <v>45024</v>
      </c>
      <c r="C1913" s="6" t="str">
        <f t="shared" si="87"/>
        <v>Apr</v>
      </c>
      <c r="D1913" t="s">
        <v>300</v>
      </c>
      <c r="E1913" t="s">
        <v>19</v>
      </c>
      <c r="F1913" t="s">
        <v>298</v>
      </c>
      <c r="G1913">
        <v>2</v>
      </c>
      <c r="H1913" s="7">
        <v>317.89999999999998</v>
      </c>
      <c r="I1913" t="s">
        <v>103</v>
      </c>
      <c r="J1913" t="s">
        <v>87</v>
      </c>
      <c r="K1913">
        <v>15</v>
      </c>
      <c r="L1913" s="7">
        <f t="shared" si="88"/>
        <v>635.79999999999995</v>
      </c>
      <c r="M1913" s="7"/>
      <c r="O1913">
        <f t="shared" si="89"/>
        <v>2</v>
      </c>
      <c r="Q1913" t="s">
        <v>104</v>
      </c>
    </row>
    <row r="1914" spans="1:17" x14ac:dyDescent="0.3">
      <c r="A1914" t="s">
        <v>2936</v>
      </c>
      <c r="B1914" s="6">
        <v>45133</v>
      </c>
      <c r="C1914" s="6" t="str">
        <f t="shared" si="87"/>
        <v>Jul</v>
      </c>
      <c r="D1914" t="s">
        <v>1533</v>
      </c>
      <c r="E1914" t="s">
        <v>50</v>
      </c>
      <c r="F1914" t="s">
        <v>1374</v>
      </c>
      <c r="G1914">
        <v>9</v>
      </c>
      <c r="H1914" s="7">
        <v>254.24</v>
      </c>
      <c r="I1914" t="s">
        <v>21</v>
      </c>
      <c r="J1914" t="s">
        <v>42</v>
      </c>
      <c r="K1914">
        <v>10</v>
      </c>
      <c r="L1914" s="7">
        <f t="shared" si="88"/>
        <v>2288.16</v>
      </c>
      <c r="M1914" s="7"/>
      <c r="O1914">
        <f t="shared" si="89"/>
        <v>2</v>
      </c>
      <c r="Q1914" t="s">
        <v>23</v>
      </c>
    </row>
    <row r="1915" spans="1:17" x14ac:dyDescent="0.3">
      <c r="A1915" t="s">
        <v>2937</v>
      </c>
      <c r="B1915" s="6">
        <v>45105</v>
      </c>
      <c r="C1915" s="6" t="str">
        <f t="shared" si="87"/>
        <v>Jun</v>
      </c>
      <c r="D1915" t="s">
        <v>56</v>
      </c>
      <c r="E1915" t="s">
        <v>62</v>
      </c>
      <c r="F1915" t="s">
        <v>1693</v>
      </c>
      <c r="G1915">
        <v>2</v>
      </c>
      <c r="H1915" s="7">
        <v>34.75</v>
      </c>
      <c r="I1915" t="s">
        <v>19</v>
      </c>
      <c r="J1915" t="s">
        <v>87</v>
      </c>
      <c r="K1915">
        <v>0</v>
      </c>
      <c r="L1915" s="7">
        <f t="shared" si="88"/>
        <v>69.5</v>
      </c>
      <c r="M1915" s="7"/>
      <c r="O1915">
        <f t="shared" si="89"/>
        <v>2</v>
      </c>
      <c r="Q1915" t="s">
        <v>19</v>
      </c>
    </row>
    <row r="1916" spans="1:17" x14ac:dyDescent="0.3">
      <c r="A1916" t="s">
        <v>2938</v>
      </c>
      <c r="B1916" s="6">
        <v>45069</v>
      </c>
      <c r="C1916" s="6" t="str">
        <f t="shared" si="87"/>
        <v>May</v>
      </c>
      <c r="D1916" t="s">
        <v>476</v>
      </c>
      <c r="E1916" t="s">
        <v>36</v>
      </c>
      <c r="F1916" t="s">
        <v>372</v>
      </c>
      <c r="G1916">
        <v>9</v>
      </c>
      <c r="H1916" s="7">
        <v>458.39</v>
      </c>
      <c r="I1916" t="s">
        <v>46</v>
      </c>
      <c r="J1916" t="s">
        <v>28</v>
      </c>
      <c r="K1916">
        <v>20</v>
      </c>
      <c r="L1916" s="7">
        <f t="shared" si="88"/>
        <v>4125.51</v>
      </c>
      <c r="M1916" s="7"/>
      <c r="O1916">
        <f t="shared" si="89"/>
        <v>5</v>
      </c>
      <c r="Q1916" t="s">
        <v>47</v>
      </c>
    </row>
    <row r="1917" spans="1:17" x14ac:dyDescent="0.3">
      <c r="A1917" t="s">
        <v>2939</v>
      </c>
      <c r="B1917" s="6">
        <v>45110</v>
      </c>
      <c r="C1917" s="6" t="str">
        <f t="shared" si="87"/>
        <v>Jul</v>
      </c>
      <c r="D1917" t="s">
        <v>1006</v>
      </c>
      <c r="E1917" t="s">
        <v>19</v>
      </c>
      <c r="F1917" t="s">
        <v>480</v>
      </c>
      <c r="G1917">
        <v>6</v>
      </c>
      <c r="H1917" s="7">
        <v>309.64999999999998</v>
      </c>
      <c r="I1917" t="s">
        <v>46</v>
      </c>
      <c r="J1917" t="s">
        <v>72</v>
      </c>
      <c r="K1917">
        <v>20</v>
      </c>
      <c r="L1917" s="7">
        <f t="shared" si="88"/>
        <v>1857.8999999999999</v>
      </c>
      <c r="M1917" s="7"/>
      <c r="O1917">
        <f t="shared" si="89"/>
        <v>2</v>
      </c>
      <c r="Q1917" t="s">
        <v>47</v>
      </c>
    </row>
    <row r="1918" spans="1:17" x14ac:dyDescent="0.3">
      <c r="A1918" t="s">
        <v>2940</v>
      </c>
      <c r="B1918" s="6">
        <v>44943</v>
      </c>
      <c r="C1918" s="6" t="str">
        <f t="shared" si="87"/>
        <v>Jan</v>
      </c>
      <c r="D1918" t="s">
        <v>112</v>
      </c>
      <c r="E1918" t="s">
        <v>36</v>
      </c>
      <c r="F1918" t="s">
        <v>1023</v>
      </c>
      <c r="G1918">
        <v>1</v>
      </c>
      <c r="H1918" s="7">
        <v>100.38</v>
      </c>
      <c r="I1918" t="s">
        <v>19</v>
      </c>
      <c r="J1918" t="s">
        <v>87</v>
      </c>
      <c r="K1918">
        <v>10</v>
      </c>
      <c r="L1918" s="7">
        <f t="shared" si="88"/>
        <v>100.38</v>
      </c>
      <c r="M1918" s="7"/>
      <c r="O1918">
        <f t="shared" si="89"/>
        <v>2</v>
      </c>
      <c r="Q1918" t="s">
        <v>19</v>
      </c>
    </row>
    <row r="1919" spans="1:17" x14ac:dyDescent="0.3">
      <c r="A1919" t="s">
        <v>2941</v>
      </c>
      <c r="B1919" s="6">
        <v>44964</v>
      </c>
      <c r="C1919" s="6" t="str">
        <f t="shared" si="87"/>
        <v>Feb</v>
      </c>
      <c r="D1919" t="s">
        <v>843</v>
      </c>
      <c r="E1919" t="s">
        <v>40</v>
      </c>
      <c r="F1919" t="s">
        <v>344</v>
      </c>
      <c r="G1919">
        <v>4</v>
      </c>
      <c r="H1919" s="7">
        <v>305.16000000000003</v>
      </c>
      <c r="I1919" t="s">
        <v>21</v>
      </c>
      <c r="J1919" t="s">
        <v>19</v>
      </c>
      <c r="K1919">
        <v>10</v>
      </c>
      <c r="L1919" s="7">
        <f t="shared" si="88"/>
        <v>1220.6400000000001</v>
      </c>
      <c r="M1919" s="7"/>
      <c r="O1919">
        <f t="shared" si="89"/>
        <v>2</v>
      </c>
      <c r="Q1919" t="s">
        <v>23</v>
      </c>
    </row>
    <row r="1920" spans="1:17" x14ac:dyDescent="0.3">
      <c r="A1920" t="s">
        <v>2942</v>
      </c>
      <c r="B1920" s="6">
        <v>45037</v>
      </c>
      <c r="C1920" s="6" t="str">
        <f t="shared" si="87"/>
        <v>Apr</v>
      </c>
      <c r="D1920" t="s">
        <v>2887</v>
      </c>
      <c r="E1920" t="s">
        <v>19</v>
      </c>
      <c r="F1920" t="s">
        <v>732</v>
      </c>
      <c r="G1920">
        <v>1</v>
      </c>
      <c r="H1920" s="7">
        <v>340.34</v>
      </c>
      <c r="I1920" t="s">
        <v>21</v>
      </c>
      <c r="J1920" t="s">
        <v>19</v>
      </c>
      <c r="K1920">
        <v>15</v>
      </c>
      <c r="L1920" s="7">
        <f t="shared" si="88"/>
        <v>340.34</v>
      </c>
      <c r="M1920" s="7"/>
      <c r="O1920">
        <f t="shared" si="89"/>
        <v>2</v>
      </c>
      <c r="Q1920" t="s">
        <v>23</v>
      </c>
    </row>
    <row r="1921" spans="1:17" x14ac:dyDescent="0.3">
      <c r="A1921" t="s">
        <v>2943</v>
      </c>
      <c r="B1921" s="6">
        <v>45134</v>
      </c>
      <c r="C1921" s="6" t="str">
        <f t="shared" si="87"/>
        <v>Jul</v>
      </c>
      <c r="D1921" t="s">
        <v>614</v>
      </c>
      <c r="E1921" t="s">
        <v>36</v>
      </c>
      <c r="F1921" t="s">
        <v>833</v>
      </c>
      <c r="G1921">
        <v>6</v>
      </c>
      <c r="H1921" s="7">
        <v>265.26</v>
      </c>
      <c r="I1921" t="s">
        <v>103</v>
      </c>
      <c r="J1921" t="s">
        <v>42</v>
      </c>
      <c r="K1921">
        <v>0</v>
      </c>
      <c r="L1921" s="7">
        <f t="shared" si="88"/>
        <v>1591.56</v>
      </c>
      <c r="M1921" s="7"/>
      <c r="O1921">
        <f t="shared" si="89"/>
        <v>2</v>
      </c>
      <c r="Q1921" t="s">
        <v>104</v>
      </c>
    </row>
    <row r="1922" spans="1:17" x14ac:dyDescent="0.3">
      <c r="A1922" t="s">
        <v>2944</v>
      </c>
      <c r="B1922" s="6">
        <v>45054</v>
      </c>
      <c r="C1922" s="6" t="str">
        <f t="shared" si="87"/>
        <v>May</v>
      </c>
      <c r="D1922" t="s">
        <v>1533</v>
      </c>
      <c r="E1922" t="s">
        <v>31</v>
      </c>
      <c r="F1922" t="s">
        <v>1328</v>
      </c>
      <c r="G1922">
        <v>4</v>
      </c>
      <c r="H1922" s="7">
        <v>360.46</v>
      </c>
      <c r="I1922" t="s">
        <v>32</v>
      </c>
      <c r="J1922" t="s">
        <v>87</v>
      </c>
      <c r="K1922">
        <v>5</v>
      </c>
      <c r="L1922" s="7">
        <f t="shared" si="88"/>
        <v>1441.84</v>
      </c>
      <c r="M1922" s="7"/>
      <c r="O1922">
        <f t="shared" si="89"/>
        <v>2</v>
      </c>
      <c r="Q1922" t="s">
        <v>33</v>
      </c>
    </row>
    <row r="1923" spans="1:17" x14ac:dyDescent="0.3">
      <c r="A1923" t="s">
        <v>2945</v>
      </c>
      <c r="B1923" s="6">
        <v>45189</v>
      </c>
      <c r="C1923" s="6" t="str">
        <f t="shared" ref="C1923:C1986" si="90">TEXT(B1923,"MMM")</f>
        <v>Sep</v>
      </c>
      <c r="D1923" t="s">
        <v>1922</v>
      </c>
      <c r="E1923" t="s">
        <v>36</v>
      </c>
      <c r="F1923" t="s">
        <v>170</v>
      </c>
      <c r="G1923">
        <v>3</v>
      </c>
      <c r="H1923" s="7">
        <v>292.82</v>
      </c>
      <c r="I1923" t="s">
        <v>64</v>
      </c>
      <c r="J1923" t="s">
        <v>28</v>
      </c>
      <c r="K1923">
        <v>20</v>
      </c>
      <c r="L1923" s="7">
        <f t="shared" ref="L1923:L1986" si="91">G1923*H1923</f>
        <v>878.46</v>
      </c>
      <c r="M1923" s="7"/>
      <c r="O1923">
        <f t="shared" si="89"/>
        <v>2</v>
      </c>
      <c r="Q1923" t="s">
        <v>65</v>
      </c>
    </row>
    <row r="1924" spans="1:17" x14ac:dyDescent="0.3">
      <c r="A1924" t="s">
        <v>2946</v>
      </c>
      <c r="B1924" s="6">
        <v>45284</v>
      </c>
      <c r="C1924" s="6" t="str">
        <f t="shared" si="90"/>
        <v>Dec</v>
      </c>
      <c r="D1924" t="s">
        <v>1056</v>
      </c>
      <c r="E1924" t="s">
        <v>50</v>
      </c>
      <c r="F1924" t="s">
        <v>412</v>
      </c>
      <c r="G1924">
        <v>3</v>
      </c>
      <c r="H1924" s="7">
        <v>474.15</v>
      </c>
      <c r="I1924" t="s">
        <v>19</v>
      </c>
      <c r="J1924" t="s">
        <v>72</v>
      </c>
      <c r="K1924">
        <v>10</v>
      </c>
      <c r="L1924" s="7">
        <f t="shared" si="91"/>
        <v>1422.4499999999998</v>
      </c>
      <c r="M1924" s="7"/>
      <c r="O1924">
        <f t="shared" ref="O1924:O1987" si="92">IF(L1924&gt;3500,5,IF(L1924&gt;3000,4,IF(L1924&gt;2500,3,IF(L1924&gt;2000,2,IF(L1924&gt;1000,2,2)))))</f>
        <v>2</v>
      </c>
      <c r="Q1924" t="s">
        <v>19</v>
      </c>
    </row>
    <row r="1925" spans="1:17" x14ac:dyDescent="0.3">
      <c r="A1925" t="s">
        <v>2947</v>
      </c>
      <c r="B1925" s="6">
        <v>45146</v>
      </c>
      <c r="C1925" s="6" t="str">
        <f t="shared" si="90"/>
        <v>Aug</v>
      </c>
      <c r="D1925" t="s">
        <v>1737</v>
      </c>
      <c r="E1925" t="s">
        <v>26</v>
      </c>
      <c r="F1925" t="s">
        <v>693</v>
      </c>
      <c r="G1925">
        <v>9</v>
      </c>
      <c r="H1925" s="7">
        <v>31.58</v>
      </c>
      <c r="I1925" t="s">
        <v>19</v>
      </c>
      <c r="J1925" t="s">
        <v>22</v>
      </c>
      <c r="K1925">
        <v>10</v>
      </c>
      <c r="L1925" s="7">
        <f t="shared" si="91"/>
        <v>284.21999999999997</v>
      </c>
      <c r="M1925" s="7"/>
      <c r="O1925">
        <f t="shared" si="92"/>
        <v>2</v>
      </c>
      <c r="Q1925" t="s">
        <v>19</v>
      </c>
    </row>
    <row r="1926" spans="1:17" x14ac:dyDescent="0.3">
      <c r="A1926" t="s">
        <v>2948</v>
      </c>
      <c r="B1926" s="6">
        <v>45069</v>
      </c>
      <c r="C1926" s="6" t="str">
        <f t="shared" si="90"/>
        <v>May</v>
      </c>
      <c r="D1926" t="s">
        <v>753</v>
      </c>
      <c r="E1926" t="s">
        <v>19</v>
      </c>
      <c r="F1926" t="s">
        <v>75</v>
      </c>
      <c r="G1926">
        <v>6</v>
      </c>
      <c r="H1926" s="7">
        <v>57.59</v>
      </c>
      <c r="I1926" t="s">
        <v>19</v>
      </c>
      <c r="J1926" t="s">
        <v>22</v>
      </c>
      <c r="K1926">
        <v>15</v>
      </c>
      <c r="L1926" s="7">
        <f t="shared" si="91"/>
        <v>345.54</v>
      </c>
      <c r="M1926" s="7"/>
      <c r="O1926">
        <f t="shared" si="92"/>
        <v>2</v>
      </c>
      <c r="Q1926" t="s">
        <v>19</v>
      </c>
    </row>
    <row r="1927" spans="1:17" x14ac:dyDescent="0.3">
      <c r="A1927" t="s">
        <v>2949</v>
      </c>
      <c r="B1927" s="6">
        <v>44964</v>
      </c>
      <c r="C1927" s="6" t="str">
        <f t="shared" si="90"/>
        <v>Feb</v>
      </c>
      <c r="D1927" t="s">
        <v>336</v>
      </c>
      <c r="E1927" t="s">
        <v>40</v>
      </c>
      <c r="F1927" t="s">
        <v>322</v>
      </c>
      <c r="G1927">
        <v>9</v>
      </c>
      <c r="H1927" s="7">
        <v>90.97</v>
      </c>
      <c r="I1927" t="s">
        <v>64</v>
      </c>
      <c r="J1927" t="s">
        <v>22</v>
      </c>
      <c r="K1927">
        <v>15</v>
      </c>
      <c r="L1927" s="7">
        <f t="shared" si="91"/>
        <v>818.73</v>
      </c>
      <c r="M1927" s="7"/>
      <c r="O1927">
        <f t="shared" si="92"/>
        <v>2</v>
      </c>
      <c r="Q1927" t="s">
        <v>65</v>
      </c>
    </row>
    <row r="1928" spans="1:17" x14ac:dyDescent="0.3">
      <c r="A1928" t="s">
        <v>2950</v>
      </c>
      <c r="B1928" s="6">
        <v>45036</v>
      </c>
      <c r="C1928" s="6" t="str">
        <f t="shared" si="90"/>
        <v>Apr</v>
      </c>
      <c r="D1928" t="s">
        <v>402</v>
      </c>
      <c r="E1928" t="s">
        <v>26</v>
      </c>
      <c r="F1928" t="s">
        <v>1180</v>
      </c>
      <c r="G1928">
        <v>5</v>
      </c>
      <c r="H1928" s="7">
        <v>346.63</v>
      </c>
      <c r="I1928" t="s">
        <v>64</v>
      </c>
      <c r="J1928" t="s">
        <v>19</v>
      </c>
      <c r="K1928">
        <v>0</v>
      </c>
      <c r="L1928" s="7">
        <f t="shared" si="91"/>
        <v>1733.15</v>
      </c>
      <c r="M1928" s="7"/>
      <c r="O1928">
        <f t="shared" si="92"/>
        <v>2</v>
      </c>
      <c r="Q1928" t="s">
        <v>65</v>
      </c>
    </row>
    <row r="1929" spans="1:17" x14ac:dyDescent="0.3">
      <c r="A1929" t="s">
        <v>2951</v>
      </c>
      <c r="B1929" s="6">
        <v>44939</v>
      </c>
      <c r="C1929" s="6" t="str">
        <f t="shared" si="90"/>
        <v>Jan</v>
      </c>
      <c r="D1929" t="s">
        <v>1028</v>
      </c>
      <c r="E1929" t="s">
        <v>19</v>
      </c>
      <c r="F1929" t="s">
        <v>598</v>
      </c>
      <c r="G1929">
        <v>2</v>
      </c>
      <c r="H1929" s="7">
        <v>324.57</v>
      </c>
      <c r="I1929" t="s">
        <v>21</v>
      </c>
      <c r="J1929" t="s">
        <v>42</v>
      </c>
      <c r="K1929">
        <v>20</v>
      </c>
      <c r="L1929" s="7">
        <f t="shared" si="91"/>
        <v>649.14</v>
      </c>
      <c r="M1929" s="7"/>
      <c r="O1929">
        <f t="shared" si="92"/>
        <v>2</v>
      </c>
      <c r="Q1929" t="s">
        <v>23</v>
      </c>
    </row>
    <row r="1930" spans="1:17" x14ac:dyDescent="0.3">
      <c r="A1930" t="s">
        <v>2952</v>
      </c>
      <c r="B1930" s="6">
        <v>45098</v>
      </c>
      <c r="C1930" s="6" t="str">
        <f t="shared" si="90"/>
        <v>Jun</v>
      </c>
      <c r="D1930" t="s">
        <v>516</v>
      </c>
      <c r="E1930" t="s">
        <v>31</v>
      </c>
      <c r="F1930" t="s">
        <v>292</v>
      </c>
      <c r="G1930">
        <v>8</v>
      </c>
      <c r="H1930" s="7">
        <v>446.57</v>
      </c>
      <c r="I1930" t="s">
        <v>103</v>
      </c>
      <c r="J1930" t="s">
        <v>87</v>
      </c>
      <c r="K1930">
        <v>0</v>
      </c>
      <c r="L1930" s="7">
        <f t="shared" si="91"/>
        <v>3572.56</v>
      </c>
      <c r="M1930" s="7"/>
      <c r="O1930">
        <f t="shared" si="92"/>
        <v>5</v>
      </c>
      <c r="Q1930" t="s">
        <v>104</v>
      </c>
    </row>
    <row r="1931" spans="1:17" x14ac:dyDescent="0.3">
      <c r="A1931" t="s">
        <v>2953</v>
      </c>
      <c r="B1931" s="6">
        <v>45064</v>
      </c>
      <c r="C1931" s="6" t="str">
        <f t="shared" si="90"/>
        <v>May</v>
      </c>
      <c r="D1931" t="s">
        <v>2954</v>
      </c>
      <c r="E1931" t="s">
        <v>50</v>
      </c>
      <c r="F1931" t="s">
        <v>59</v>
      </c>
      <c r="G1931">
        <v>5</v>
      </c>
      <c r="H1931" s="7">
        <v>367.77</v>
      </c>
      <c r="I1931" t="s">
        <v>64</v>
      </c>
      <c r="J1931" t="s">
        <v>22</v>
      </c>
      <c r="K1931">
        <v>10</v>
      </c>
      <c r="L1931" s="7">
        <f t="shared" si="91"/>
        <v>1838.85</v>
      </c>
      <c r="M1931" s="7"/>
      <c r="O1931">
        <f t="shared" si="92"/>
        <v>2</v>
      </c>
      <c r="Q1931" t="s">
        <v>65</v>
      </c>
    </row>
    <row r="1932" spans="1:17" x14ac:dyDescent="0.3">
      <c r="A1932" t="s">
        <v>2955</v>
      </c>
      <c r="B1932" s="6">
        <v>45116</v>
      </c>
      <c r="C1932" s="6" t="str">
        <f t="shared" si="90"/>
        <v>Jul</v>
      </c>
      <c r="D1932" t="s">
        <v>1129</v>
      </c>
      <c r="E1932" t="s">
        <v>40</v>
      </c>
      <c r="F1932" t="s">
        <v>81</v>
      </c>
      <c r="G1932">
        <v>2</v>
      </c>
      <c r="H1932" s="7">
        <v>256.64</v>
      </c>
      <c r="I1932" t="s">
        <v>103</v>
      </c>
      <c r="J1932" t="s">
        <v>22</v>
      </c>
      <c r="K1932">
        <v>5</v>
      </c>
      <c r="L1932" s="7">
        <f t="shared" si="91"/>
        <v>513.28</v>
      </c>
      <c r="M1932" s="7"/>
      <c r="O1932">
        <f t="shared" si="92"/>
        <v>2</v>
      </c>
      <c r="Q1932" t="s">
        <v>104</v>
      </c>
    </row>
    <row r="1933" spans="1:17" x14ac:dyDescent="0.3">
      <c r="A1933" t="s">
        <v>2956</v>
      </c>
      <c r="B1933" s="6">
        <v>45158</v>
      </c>
      <c r="C1933" s="6" t="str">
        <f t="shared" si="90"/>
        <v>Aug</v>
      </c>
      <c r="D1933" t="s">
        <v>2957</v>
      </c>
      <c r="E1933" t="s">
        <v>40</v>
      </c>
      <c r="F1933" t="s">
        <v>231</v>
      </c>
      <c r="G1933">
        <v>4</v>
      </c>
      <c r="H1933" s="7">
        <v>495.96</v>
      </c>
      <c r="I1933" t="s">
        <v>19</v>
      </c>
      <c r="J1933" t="s">
        <v>19</v>
      </c>
      <c r="K1933">
        <v>5</v>
      </c>
      <c r="L1933" s="7">
        <f t="shared" si="91"/>
        <v>1983.84</v>
      </c>
      <c r="M1933" s="7"/>
      <c r="O1933">
        <f t="shared" si="92"/>
        <v>2</v>
      </c>
      <c r="Q1933" t="s">
        <v>19</v>
      </c>
    </row>
    <row r="1934" spans="1:17" x14ac:dyDescent="0.3">
      <c r="A1934" t="s">
        <v>2958</v>
      </c>
      <c r="B1934" s="6">
        <v>45164</v>
      </c>
      <c r="C1934" s="6" t="str">
        <f t="shared" si="90"/>
        <v>Aug</v>
      </c>
      <c r="D1934" t="s">
        <v>1414</v>
      </c>
      <c r="E1934" t="s">
        <v>40</v>
      </c>
      <c r="F1934" t="s">
        <v>303</v>
      </c>
      <c r="G1934">
        <v>9</v>
      </c>
      <c r="H1934" s="7">
        <v>136.72</v>
      </c>
      <c r="I1934" t="s">
        <v>32</v>
      </c>
      <c r="J1934" t="s">
        <v>28</v>
      </c>
      <c r="K1934">
        <v>5</v>
      </c>
      <c r="L1934" s="7">
        <f t="shared" si="91"/>
        <v>1230.48</v>
      </c>
      <c r="M1934" s="7"/>
      <c r="O1934">
        <f t="shared" si="92"/>
        <v>2</v>
      </c>
      <c r="Q1934" t="s">
        <v>33</v>
      </c>
    </row>
    <row r="1935" spans="1:17" x14ac:dyDescent="0.3">
      <c r="A1935" t="s">
        <v>2959</v>
      </c>
      <c r="B1935" s="6">
        <v>45000</v>
      </c>
      <c r="C1935" s="6" t="str">
        <f t="shared" si="90"/>
        <v>Mar</v>
      </c>
      <c r="D1935" t="s">
        <v>169</v>
      </c>
      <c r="E1935" t="s">
        <v>19</v>
      </c>
      <c r="F1935" t="s">
        <v>242</v>
      </c>
      <c r="G1935">
        <v>4</v>
      </c>
      <c r="H1935" s="7">
        <v>417.43</v>
      </c>
      <c r="I1935" t="s">
        <v>19</v>
      </c>
      <c r="J1935" t="s">
        <v>87</v>
      </c>
      <c r="K1935">
        <v>15</v>
      </c>
      <c r="L1935" s="7">
        <f t="shared" si="91"/>
        <v>1669.72</v>
      </c>
      <c r="M1935" s="7"/>
      <c r="O1935">
        <f t="shared" si="92"/>
        <v>2</v>
      </c>
      <c r="Q1935" t="s">
        <v>19</v>
      </c>
    </row>
    <row r="1936" spans="1:17" x14ac:dyDescent="0.3">
      <c r="A1936" t="s">
        <v>2960</v>
      </c>
      <c r="B1936" s="6">
        <v>45283</v>
      </c>
      <c r="C1936" s="6" t="str">
        <f t="shared" si="90"/>
        <v>Dec</v>
      </c>
      <c r="D1936" t="s">
        <v>917</v>
      </c>
      <c r="E1936" t="s">
        <v>62</v>
      </c>
      <c r="F1936" t="s">
        <v>94</v>
      </c>
      <c r="G1936">
        <v>4</v>
      </c>
      <c r="H1936" s="7">
        <v>216.26</v>
      </c>
      <c r="I1936" t="s">
        <v>32</v>
      </c>
      <c r="J1936" t="s">
        <v>42</v>
      </c>
      <c r="K1936">
        <v>20</v>
      </c>
      <c r="L1936" s="7">
        <f t="shared" si="91"/>
        <v>865.04</v>
      </c>
      <c r="M1936" s="7"/>
      <c r="O1936">
        <f t="shared" si="92"/>
        <v>2</v>
      </c>
      <c r="Q1936" t="s">
        <v>33</v>
      </c>
    </row>
    <row r="1937" spans="1:17" x14ac:dyDescent="0.3">
      <c r="A1937" t="s">
        <v>2961</v>
      </c>
      <c r="B1937" s="6">
        <v>45116</v>
      </c>
      <c r="C1937" s="6" t="str">
        <f t="shared" si="90"/>
        <v>Jul</v>
      </c>
      <c r="D1937" t="s">
        <v>262</v>
      </c>
      <c r="E1937" t="s">
        <v>36</v>
      </c>
      <c r="F1937" t="s">
        <v>386</v>
      </c>
      <c r="G1937">
        <v>2</v>
      </c>
      <c r="H1937" s="7">
        <v>326.12</v>
      </c>
      <c r="I1937" t="s">
        <v>19</v>
      </c>
      <c r="J1937" t="s">
        <v>42</v>
      </c>
      <c r="K1937">
        <v>0</v>
      </c>
      <c r="L1937" s="7">
        <f t="shared" si="91"/>
        <v>652.24</v>
      </c>
      <c r="M1937" s="7"/>
      <c r="O1937">
        <f t="shared" si="92"/>
        <v>2</v>
      </c>
      <c r="Q1937" t="s">
        <v>19</v>
      </c>
    </row>
    <row r="1938" spans="1:17" x14ac:dyDescent="0.3">
      <c r="A1938" t="s">
        <v>2962</v>
      </c>
      <c r="B1938" s="6">
        <v>45055</v>
      </c>
      <c r="C1938" s="6" t="str">
        <f t="shared" si="90"/>
        <v>May</v>
      </c>
      <c r="D1938" t="s">
        <v>1129</v>
      </c>
      <c r="E1938" t="s">
        <v>40</v>
      </c>
      <c r="F1938" t="s">
        <v>151</v>
      </c>
      <c r="G1938">
        <v>6</v>
      </c>
      <c r="H1938" s="7">
        <v>365</v>
      </c>
      <c r="I1938" t="s">
        <v>46</v>
      </c>
      <c r="J1938" t="s">
        <v>28</v>
      </c>
      <c r="K1938">
        <v>0</v>
      </c>
      <c r="L1938" s="7">
        <f t="shared" si="91"/>
        <v>2190</v>
      </c>
      <c r="M1938" s="7"/>
      <c r="O1938">
        <f t="shared" si="92"/>
        <v>2</v>
      </c>
      <c r="Q1938" t="s">
        <v>47</v>
      </c>
    </row>
    <row r="1939" spans="1:17" x14ac:dyDescent="0.3">
      <c r="A1939" t="s">
        <v>2963</v>
      </c>
      <c r="B1939" s="6">
        <v>45136</v>
      </c>
      <c r="C1939" s="6" t="str">
        <f t="shared" si="90"/>
        <v>Jul</v>
      </c>
      <c r="D1939" t="s">
        <v>2032</v>
      </c>
      <c r="E1939" t="s">
        <v>19</v>
      </c>
      <c r="F1939" t="s">
        <v>231</v>
      </c>
      <c r="G1939">
        <v>2</v>
      </c>
      <c r="H1939" s="7">
        <v>318.70999999999998</v>
      </c>
      <c r="I1939" t="s">
        <v>19</v>
      </c>
      <c r="J1939" t="s">
        <v>28</v>
      </c>
      <c r="K1939">
        <v>10</v>
      </c>
      <c r="L1939" s="7">
        <f t="shared" si="91"/>
        <v>637.41999999999996</v>
      </c>
      <c r="M1939" s="7"/>
      <c r="O1939">
        <f t="shared" si="92"/>
        <v>2</v>
      </c>
      <c r="Q1939" t="s">
        <v>19</v>
      </c>
    </row>
    <row r="1940" spans="1:17" x14ac:dyDescent="0.3">
      <c r="A1940" t="s">
        <v>2964</v>
      </c>
      <c r="B1940" s="6">
        <v>45081</v>
      </c>
      <c r="C1940" s="6" t="str">
        <f t="shared" si="90"/>
        <v>Jun</v>
      </c>
      <c r="D1940" t="s">
        <v>1144</v>
      </c>
      <c r="E1940" t="s">
        <v>31</v>
      </c>
      <c r="F1940" t="s">
        <v>406</v>
      </c>
      <c r="G1940">
        <v>7</v>
      </c>
      <c r="H1940" s="7">
        <v>74.55</v>
      </c>
      <c r="I1940" t="s">
        <v>32</v>
      </c>
      <c r="J1940" t="s">
        <v>22</v>
      </c>
      <c r="K1940">
        <v>5</v>
      </c>
      <c r="L1940" s="7">
        <f t="shared" si="91"/>
        <v>521.85</v>
      </c>
      <c r="M1940" s="7"/>
      <c r="O1940">
        <f t="shared" si="92"/>
        <v>2</v>
      </c>
      <c r="Q1940" t="s">
        <v>33</v>
      </c>
    </row>
    <row r="1941" spans="1:17" x14ac:dyDescent="0.3">
      <c r="A1941" t="s">
        <v>2965</v>
      </c>
      <c r="B1941" s="6">
        <v>45172</v>
      </c>
      <c r="C1941" s="6" t="str">
        <f t="shared" si="90"/>
        <v>Sep</v>
      </c>
      <c r="D1941" t="s">
        <v>2026</v>
      </c>
      <c r="E1941" t="s">
        <v>62</v>
      </c>
      <c r="F1941" t="s">
        <v>160</v>
      </c>
      <c r="G1941">
        <v>3</v>
      </c>
      <c r="H1941" s="7">
        <v>224.26</v>
      </c>
      <c r="I1941" t="s">
        <v>64</v>
      </c>
      <c r="J1941" t="s">
        <v>87</v>
      </c>
      <c r="K1941">
        <v>20</v>
      </c>
      <c r="L1941" s="7">
        <f t="shared" si="91"/>
        <v>672.78</v>
      </c>
      <c r="M1941" s="7"/>
      <c r="O1941">
        <f t="shared" si="92"/>
        <v>2</v>
      </c>
      <c r="Q1941" t="s">
        <v>65</v>
      </c>
    </row>
    <row r="1942" spans="1:17" x14ac:dyDescent="0.3">
      <c r="A1942" t="s">
        <v>2966</v>
      </c>
      <c r="B1942" s="6">
        <v>45121</v>
      </c>
      <c r="C1942" s="6" t="str">
        <f t="shared" si="90"/>
        <v>Jul</v>
      </c>
      <c r="D1942" t="s">
        <v>195</v>
      </c>
      <c r="E1942" t="s">
        <v>31</v>
      </c>
      <c r="F1942" t="s">
        <v>1618</v>
      </c>
      <c r="G1942">
        <v>3</v>
      </c>
      <c r="H1942" s="7">
        <v>282.91000000000003</v>
      </c>
      <c r="I1942" t="s">
        <v>46</v>
      </c>
      <c r="J1942" t="s">
        <v>22</v>
      </c>
      <c r="K1942">
        <v>20</v>
      </c>
      <c r="L1942" s="7">
        <f t="shared" si="91"/>
        <v>848.73</v>
      </c>
      <c r="M1942" s="7"/>
      <c r="O1942">
        <f t="shared" si="92"/>
        <v>2</v>
      </c>
      <c r="Q1942" t="s">
        <v>47</v>
      </c>
    </row>
    <row r="1943" spans="1:17" x14ac:dyDescent="0.3">
      <c r="A1943" t="s">
        <v>2967</v>
      </c>
      <c r="B1943" s="6">
        <v>44929</v>
      </c>
      <c r="C1943" s="6" t="str">
        <f t="shared" si="90"/>
        <v>Jan</v>
      </c>
      <c r="D1943" t="s">
        <v>2968</v>
      </c>
      <c r="E1943" t="s">
        <v>26</v>
      </c>
      <c r="F1943" t="s">
        <v>1851</v>
      </c>
      <c r="G1943">
        <v>5</v>
      </c>
      <c r="H1943" s="7">
        <v>425.28</v>
      </c>
      <c r="I1943" t="s">
        <v>19</v>
      </c>
      <c r="J1943" t="s">
        <v>72</v>
      </c>
      <c r="K1943">
        <v>10</v>
      </c>
      <c r="L1943" s="7">
        <f t="shared" si="91"/>
        <v>2126.3999999999996</v>
      </c>
      <c r="M1943" s="7"/>
      <c r="O1943">
        <f t="shared" si="92"/>
        <v>2</v>
      </c>
      <c r="Q1943" t="s">
        <v>19</v>
      </c>
    </row>
    <row r="1944" spans="1:17" x14ac:dyDescent="0.3">
      <c r="A1944" t="s">
        <v>2969</v>
      </c>
      <c r="B1944" s="6">
        <v>44947</v>
      </c>
      <c r="C1944" s="6" t="str">
        <f t="shared" si="90"/>
        <v>Jan</v>
      </c>
      <c r="D1944" t="s">
        <v>297</v>
      </c>
      <c r="E1944" t="s">
        <v>50</v>
      </c>
      <c r="F1944" t="s">
        <v>983</v>
      </c>
      <c r="G1944">
        <v>3</v>
      </c>
      <c r="H1944" s="7">
        <v>224.6</v>
      </c>
      <c r="I1944" t="s">
        <v>46</v>
      </c>
      <c r="J1944" t="s">
        <v>72</v>
      </c>
      <c r="K1944">
        <v>10</v>
      </c>
      <c r="L1944" s="7">
        <f t="shared" si="91"/>
        <v>673.8</v>
      </c>
      <c r="M1944" s="7"/>
      <c r="O1944">
        <f t="shared" si="92"/>
        <v>2</v>
      </c>
      <c r="Q1944" t="s">
        <v>47</v>
      </c>
    </row>
    <row r="1945" spans="1:17" x14ac:dyDescent="0.3">
      <c r="A1945" t="s">
        <v>2970</v>
      </c>
      <c r="B1945" s="6">
        <v>45063</v>
      </c>
      <c r="C1945" s="6" t="str">
        <f t="shared" si="90"/>
        <v>May</v>
      </c>
      <c r="D1945" t="s">
        <v>1824</v>
      </c>
      <c r="E1945" t="s">
        <v>40</v>
      </c>
      <c r="F1945" t="s">
        <v>1374</v>
      </c>
      <c r="G1945">
        <v>2</v>
      </c>
      <c r="H1945" s="7">
        <v>459.78</v>
      </c>
      <c r="I1945" t="s">
        <v>19</v>
      </c>
      <c r="J1945" t="s">
        <v>28</v>
      </c>
      <c r="K1945">
        <v>20</v>
      </c>
      <c r="L1945" s="7">
        <f t="shared" si="91"/>
        <v>919.56</v>
      </c>
      <c r="M1945" s="7"/>
      <c r="O1945">
        <f t="shared" si="92"/>
        <v>2</v>
      </c>
      <c r="Q1945" t="s">
        <v>19</v>
      </c>
    </row>
    <row r="1946" spans="1:17" x14ac:dyDescent="0.3">
      <c r="A1946" t="s">
        <v>2971</v>
      </c>
      <c r="B1946" s="6">
        <v>45281</v>
      </c>
      <c r="C1946" s="6" t="str">
        <f t="shared" si="90"/>
        <v>Dec</v>
      </c>
      <c r="D1946" t="s">
        <v>1818</v>
      </c>
      <c r="E1946" t="s">
        <v>31</v>
      </c>
      <c r="F1946" t="s">
        <v>41</v>
      </c>
      <c r="G1946">
        <v>9</v>
      </c>
      <c r="H1946" s="7">
        <v>222.99</v>
      </c>
      <c r="I1946" t="s">
        <v>21</v>
      </c>
      <c r="J1946" t="s">
        <v>28</v>
      </c>
      <c r="K1946">
        <v>20</v>
      </c>
      <c r="L1946" s="7">
        <f t="shared" si="91"/>
        <v>2006.91</v>
      </c>
      <c r="M1946" s="7"/>
      <c r="O1946">
        <f t="shared" si="92"/>
        <v>2</v>
      </c>
      <c r="Q1946" t="s">
        <v>23</v>
      </c>
    </row>
    <row r="1947" spans="1:17" x14ac:dyDescent="0.3">
      <c r="A1947" t="s">
        <v>2972</v>
      </c>
      <c r="B1947" s="6">
        <v>44945</v>
      </c>
      <c r="C1947" s="6" t="str">
        <f t="shared" si="90"/>
        <v>Jan</v>
      </c>
      <c r="D1947" t="s">
        <v>1101</v>
      </c>
      <c r="E1947" t="s">
        <v>19</v>
      </c>
      <c r="F1947" t="s">
        <v>538</v>
      </c>
      <c r="G1947">
        <v>2</v>
      </c>
      <c r="H1947" s="7">
        <v>276.64999999999998</v>
      </c>
      <c r="I1947" t="s">
        <v>21</v>
      </c>
      <c r="J1947" t="s">
        <v>42</v>
      </c>
      <c r="K1947">
        <v>0</v>
      </c>
      <c r="L1947" s="7">
        <f t="shared" si="91"/>
        <v>553.29999999999995</v>
      </c>
      <c r="M1947" s="7"/>
      <c r="O1947">
        <f t="shared" si="92"/>
        <v>2</v>
      </c>
      <c r="Q1947" t="s">
        <v>23</v>
      </c>
    </row>
    <row r="1948" spans="1:17" x14ac:dyDescent="0.3">
      <c r="A1948" t="s">
        <v>2973</v>
      </c>
      <c r="B1948" s="6">
        <v>45024</v>
      </c>
      <c r="C1948" s="6" t="str">
        <f t="shared" si="90"/>
        <v>Apr</v>
      </c>
      <c r="D1948" t="s">
        <v>1718</v>
      </c>
      <c r="E1948" t="s">
        <v>19</v>
      </c>
      <c r="F1948" t="s">
        <v>698</v>
      </c>
      <c r="G1948">
        <v>2</v>
      </c>
      <c r="H1948" s="7">
        <v>399.16</v>
      </c>
      <c r="I1948" t="s">
        <v>21</v>
      </c>
      <c r="J1948" t="s">
        <v>87</v>
      </c>
      <c r="K1948">
        <v>10</v>
      </c>
      <c r="L1948" s="7">
        <f t="shared" si="91"/>
        <v>798.32</v>
      </c>
      <c r="M1948" s="7"/>
      <c r="O1948">
        <f t="shared" si="92"/>
        <v>2</v>
      </c>
      <c r="Q1948" t="s">
        <v>23</v>
      </c>
    </row>
    <row r="1949" spans="1:17" x14ac:dyDescent="0.3">
      <c r="A1949" t="s">
        <v>2974</v>
      </c>
      <c r="B1949" s="6">
        <v>45033</v>
      </c>
      <c r="C1949" s="6" t="str">
        <f t="shared" si="90"/>
        <v>Apr</v>
      </c>
      <c r="D1949" t="s">
        <v>1083</v>
      </c>
      <c r="E1949" t="s">
        <v>26</v>
      </c>
      <c r="F1949" t="s">
        <v>646</v>
      </c>
      <c r="G1949">
        <v>5</v>
      </c>
      <c r="H1949" s="7">
        <v>293.62</v>
      </c>
      <c r="I1949" t="s">
        <v>103</v>
      </c>
      <c r="J1949" t="s">
        <v>42</v>
      </c>
      <c r="K1949">
        <v>20</v>
      </c>
      <c r="L1949" s="7">
        <f t="shared" si="91"/>
        <v>1468.1</v>
      </c>
      <c r="M1949" s="7"/>
      <c r="O1949">
        <f t="shared" si="92"/>
        <v>2</v>
      </c>
      <c r="Q1949" t="s">
        <v>104</v>
      </c>
    </row>
    <row r="1950" spans="1:17" x14ac:dyDescent="0.3">
      <c r="A1950" t="s">
        <v>2975</v>
      </c>
      <c r="B1950" s="6">
        <v>45105</v>
      </c>
      <c r="C1950" s="6" t="str">
        <f t="shared" si="90"/>
        <v>Jun</v>
      </c>
      <c r="D1950" t="s">
        <v>553</v>
      </c>
      <c r="E1950" t="s">
        <v>36</v>
      </c>
      <c r="F1950" t="s">
        <v>549</v>
      </c>
      <c r="G1950">
        <v>9</v>
      </c>
      <c r="H1950" s="7">
        <v>480.31</v>
      </c>
      <c r="I1950" t="s">
        <v>103</v>
      </c>
      <c r="J1950" t="s">
        <v>87</v>
      </c>
      <c r="K1950">
        <v>20</v>
      </c>
      <c r="L1950" s="7">
        <f t="shared" si="91"/>
        <v>4322.79</v>
      </c>
      <c r="M1950" s="7"/>
      <c r="O1950">
        <f t="shared" si="92"/>
        <v>5</v>
      </c>
      <c r="Q1950" t="s">
        <v>104</v>
      </c>
    </row>
    <row r="1951" spans="1:17" x14ac:dyDescent="0.3">
      <c r="A1951" t="s">
        <v>2976</v>
      </c>
      <c r="B1951" s="6">
        <v>44992</v>
      </c>
      <c r="C1951" s="6" t="str">
        <f t="shared" si="90"/>
        <v>Mar</v>
      </c>
      <c r="D1951" t="s">
        <v>321</v>
      </c>
      <c r="E1951" t="s">
        <v>19</v>
      </c>
      <c r="F1951" t="s">
        <v>575</v>
      </c>
      <c r="G1951">
        <v>7</v>
      </c>
      <c r="H1951" s="7">
        <v>331.87</v>
      </c>
      <c r="I1951" t="s">
        <v>19</v>
      </c>
      <c r="J1951" t="s">
        <v>72</v>
      </c>
      <c r="K1951">
        <v>0</v>
      </c>
      <c r="L1951" s="7">
        <f t="shared" si="91"/>
        <v>2323.09</v>
      </c>
      <c r="M1951" s="7"/>
      <c r="O1951">
        <f t="shared" si="92"/>
        <v>2</v>
      </c>
      <c r="Q1951" t="s">
        <v>19</v>
      </c>
    </row>
    <row r="1952" spans="1:17" x14ac:dyDescent="0.3">
      <c r="A1952" t="s">
        <v>2977</v>
      </c>
      <c r="B1952" s="6">
        <v>44964</v>
      </c>
      <c r="C1952" s="6" t="str">
        <f t="shared" si="90"/>
        <v>Feb</v>
      </c>
      <c r="D1952" t="s">
        <v>1518</v>
      </c>
      <c r="E1952" t="s">
        <v>36</v>
      </c>
      <c r="F1952" t="s">
        <v>78</v>
      </c>
      <c r="G1952">
        <v>3</v>
      </c>
      <c r="H1952" s="7">
        <v>263.74</v>
      </c>
      <c r="I1952" t="s">
        <v>103</v>
      </c>
      <c r="J1952" t="s">
        <v>28</v>
      </c>
      <c r="K1952">
        <v>20</v>
      </c>
      <c r="L1952" s="7">
        <f t="shared" si="91"/>
        <v>791.22</v>
      </c>
      <c r="M1952" s="7"/>
      <c r="O1952">
        <f t="shared" si="92"/>
        <v>2</v>
      </c>
      <c r="Q1952" t="s">
        <v>104</v>
      </c>
    </row>
    <row r="1953" spans="1:17" x14ac:dyDescent="0.3">
      <c r="A1953" t="s">
        <v>2978</v>
      </c>
      <c r="B1953" s="6">
        <v>45289</v>
      </c>
      <c r="C1953" s="6" t="str">
        <f t="shared" si="90"/>
        <v>Dec</v>
      </c>
      <c r="D1953" t="s">
        <v>2420</v>
      </c>
      <c r="E1953" t="s">
        <v>36</v>
      </c>
      <c r="F1953" t="s">
        <v>102</v>
      </c>
      <c r="G1953">
        <v>9</v>
      </c>
      <c r="H1953" s="7">
        <v>16.68</v>
      </c>
      <c r="I1953" t="s">
        <v>64</v>
      </c>
      <c r="J1953" t="s">
        <v>28</v>
      </c>
      <c r="K1953">
        <v>0</v>
      </c>
      <c r="L1953" s="7">
        <f t="shared" si="91"/>
        <v>150.12</v>
      </c>
      <c r="M1953" s="7"/>
      <c r="O1953">
        <f t="shared" si="92"/>
        <v>2</v>
      </c>
      <c r="Q1953" t="s">
        <v>65</v>
      </c>
    </row>
    <row r="1954" spans="1:17" x14ac:dyDescent="0.3">
      <c r="A1954" t="s">
        <v>2979</v>
      </c>
      <c r="B1954" s="6">
        <v>45043</v>
      </c>
      <c r="C1954" s="6" t="str">
        <f t="shared" si="90"/>
        <v>Apr</v>
      </c>
      <c r="D1954" t="s">
        <v>343</v>
      </c>
      <c r="E1954" t="s">
        <v>31</v>
      </c>
      <c r="F1954" t="s">
        <v>131</v>
      </c>
      <c r="G1954">
        <v>3</v>
      </c>
      <c r="H1954" s="7">
        <v>209.8</v>
      </c>
      <c r="I1954" t="s">
        <v>32</v>
      </c>
      <c r="J1954" t="s">
        <v>87</v>
      </c>
      <c r="K1954">
        <v>10</v>
      </c>
      <c r="L1954" s="7">
        <f t="shared" si="91"/>
        <v>629.40000000000009</v>
      </c>
      <c r="M1954" s="7"/>
      <c r="O1954">
        <f t="shared" si="92"/>
        <v>2</v>
      </c>
      <c r="Q1954" t="s">
        <v>33</v>
      </c>
    </row>
    <row r="1955" spans="1:17" x14ac:dyDescent="0.3">
      <c r="A1955" t="s">
        <v>2980</v>
      </c>
      <c r="B1955" s="6">
        <v>44929</v>
      </c>
      <c r="C1955" s="6" t="str">
        <f t="shared" si="90"/>
        <v>Jan</v>
      </c>
      <c r="D1955" t="s">
        <v>2420</v>
      </c>
      <c r="E1955" t="s">
        <v>36</v>
      </c>
      <c r="F1955" t="s">
        <v>722</v>
      </c>
      <c r="G1955">
        <v>5</v>
      </c>
      <c r="H1955" s="7">
        <v>153.13</v>
      </c>
      <c r="I1955" t="s">
        <v>46</v>
      </c>
      <c r="J1955" t="s">
        <v>19</v>
      </c>
      <c r="K1955">
        <v>15</v>
      </c>
      <c r="L1955" s="7">
        <f t="shared" si="91"/>
        <v>765.65</v>
      </c>
      <c r="M1955" s="7"/>
      <c r="O1955">
        <f t="shared" si="92"/>
        <v>2</v>
      </c>
      <c r="Q1955" t="s">
        <v>47</v>
      </c>
    </row>
    <row r="1956" spans="1:17" x14ac:dyDescent="0.3">
      <c r="A1956" t="s">
        <v>2981</v>
      </c>
      <c r="B1956" s="6">
        <v>45104</v>
      </c>
      <c r="C1956" s="6" t="str">
        <f t="shared" si="90"/>
        <v>Jun</v>
      </c>
      <c r="D1956" t="s">
        <v>1513</v>
      </c>
      <c r="E1956" t="s">
        <v>40</v>
      </c>
      <c r="F1956" t="s">
        <v>165</v>
      </c>
      <c r="G1956">
        <v>9</v>
      </c>
      <c r="H1956" s="7">
        <v>375.31</v>
      </c>
      <c r="I1956" t="s">
        <v>21</v>
      </c>
      <c r="J1956" t="s">
        <v>87</v>
      </c>
      <c r="K1956">
        <v>0</v>
      </c>
      <c r="L1956" s="7">
        <f t="shared" si="91"/>
        <v>3377.79</v>
      </c>
      <c r="M1956" s="7"/>
      <c r="O1956">
        <f t="shared" si="92"/>
        <v>4</v>
      </c>
      <c r="Q1956" t="s">
        <v>23</v>
      </c>
    </row>
    <row r="1957" spans="1:17" x14ac:dyDescent="0.3">
      <c r="A1957" t="s">
        <v>2982</v>
      </c>
      <c r="B1957" s="6">
        <v>45097</v>
      </c>
      <c r="C1957" s="6" t="str">
        <f t="shared" si="90"/>
        <v>Jun</v>
      </c>
      <c r="D1957" t="s">
        <v>2184</v>
      </c>
      <c r="E1957" t="s">
        <v>19</v>
      </c>
      <c r="F1957" t="s">
        <v>263</v>
      </c>
      <c r="G1957">
        <v>3</v>
      </c>
      <c r="H1957" s="7">
        <v>108.1</v>
      </c>
      <c r="I1957" t="s">
        <v>103</v>
      </c>
      <c r="J1957" t="s">
        <v>28</v>
      </c>
      <c r="K1957">
        <v>0</v>
      </c>
      <c r="L1957" s="7">
        <f t="shared" si="91"/>
        <v>324.29999999999995</v>
      </c>
      <c r="M1957" s="7"/>
      <c r="O1957">
        <f t="shared" si="92"/>
        <v>2</v>
      </c>
      <c r="Q1957" t="s">
        <v>104</v>
      </c>
    </row>
    <row r="1958" spans="1:17" x14ac:dyDescent="0.3">
      <c r="A1958" t="s">
        <v>2983</v>
      </c>
      <c r="B1958" s="6">
        <v>45224</v>
      </c>
      <c r="C1958" s="6" t="str">
        <f t="shared" si="90"/>
        <v>Oct</v>
      </c>
      <c r="D1958" t="s">
        <v>645</v>
      </c>
      <c r="E1958" t="s">
        <v>19</v>
      </c>
      <c r="F1958" t="s">
        <v>856</v>
      </c>
      <c r="G1958">
        <v>7</v>
      </c>
      <c r="H1958" s="7">
        <v>106.58</v>
      </c>
      <c r="I1958" t="s">
        <v>64</v>
      </c>
      <c r="J1958" t="s">
        <v>72</v>
      </c>
      <c r="K1958">
        <v>20</v>
      </c>
      <c r="L1958" s="7">
        <f t="shared" si="91"/>
        <v>746.06</v>
      </c>
      <c r="M1958" s="7"/>
      <c r="O1958">
        <f t="shared" si="92"/>
        <v>2</v>
      </c>
      <c r="Q1958" t="s">
        <v>65</v>
      </c>
    </row>
    <row r="1959" spans="1:17" x14ac:dyDescent="0.3">
      <c r="A1959" t="s">
        <v>2984</v>
      </c>
      <c r="B1959" s="6">
        <v>45058</v>
      </c>
      <c r="C1959" s="6" t="str">
        <f t="shared" si="90"/>
        <v>May</v>
      </c>
      <c r="D1959" t="s">
        <v>476</v>
      </c>
      <c r="E1959" t="s">
        <v>62</v>
      </c>
      <c r="F1959" t="s">
        <v>713</v>
      </c>
      <c r="G1959">
        <v>1</v>
      </c>
      <c r="H1959" s="7">
        <v>98.81</v>
      </c>
      <c r="I1959" t="s">
        <v>19</v>
      </c>
      <c r="J1959" t="s">
        <v>87</v>
      </c>
      <c r="K1959">
        <v>0</v>
      </c>
      <c r="L1959" s="7">
        <f t="shared" si="91"/>
        <v>98.81</v>
      </c>
      <c r="M1959" s="7"/>
      <c r="O1959">
        <f t="shared" si="92"/>
        <v>2</v>
      </c>
      <c r="Q1959" t="s">
        <v>19</v>
      </c>
    </row>
    <row r="1960" spans="1:17" x14ac:dyDescent="0.3">
      <c r="A1960" t="s">
        <v>2985</v>
      </c>
      <c r="B1960" s="6">
        <v>45187</v>
      </c>
      <c r="C1960" s="6" t="str">
        <f t="shared" si="90"/>
        <v>Sep</v>
      </c>
      <c r="D1960" t="s">
        <v>2233</v>
      </c>
      <c r="E1960" t="s">
        <v>19</v>
      </c>
      <c r="F1960" t="s">
        <v>222</v>
      </c>
      <c r="G1960">
        <v>4</v>
      </c>
      <c r="H1960" s="7">
        <v>67.180000000000007</v>
      </c>
      <c r="I1960" t="s">
        <v>46</v>
      </c>
      <c r="J1960" t="s">
        <v>22</v>
      </c>
      <c r="K1960">
        <v>10</v>
      </c>
      <c r="L1960" s="7">
        <f t="shared" si="91"/>
        <v>268.72000000000003</v>
      </c>
      <c r="M1960" s="7"/>
      <c r="O1960">
        <f t="shared" si="92"/>
        <v>2</v>
      </c>
      <c r="Q1960" t="s">
        <v>47</v>
      </c>
    </row>
    <row r="1961" spans="1:17" x14ac:dyDescent="0.3">
      <c r="A1961" t="s">
        <v>2986</v>
      </c>
      <c r="B1961" s="6">
        <v>45104</v>
      </c>
      <c r="C1961" s="6" t="str">
        <f t="shared" si="90"/>
        <v>Jun</v>
      </c>
      <c r="D1961" t="s">
        <v>112</v>
      </c>
      <c r="E1961" t="s">
        <v>40</v>
      </c>
      <c r="F1961" t="s">
        <v>303</v>
      </c>
      <c r="G1961">
        <v>4</v>
      </c>
      <c r="H1961" s="7">
        <v>158.94999999999999</v>
      </c>
      <c r="I1961" t="s">
        <v>32</v>
      </c>
      <c r="J1961" t="s">
        <v>42</v>
      </c>
      <c r="K1961">
        <v>5</v>
      </c>
      <c r="L1961" s="7">
        <f t="shared" si="91"/>
        <v>635.79999999999995</v>
      </c>
      <c r="M1961" s="7"/>
      <c r="O1961">
        <f t="shared" si="92"/>
        <v>2</v>
      </c>
      <c r="Q1961" t="s">
        <v>33</v>
      </c>
    </row>
    <row r="1962" spans="1:17" x14ac:dyDescent="0.3">
      <c r="A1962" t="s">
        <v>2987</v>
      </c>
      <c r="B1962" s="6">
        <v>45119</v>
      </c>
      <c r="C1962" s="6" t="str">
        <f t="shared" si="90"/>
        <v>Jul</v>
      </c>
      <c r="D1962" t="s">
        <v>1673</v>
      </c>
      <c r="E1962" t="s">
        <v>26</v>
      </c>
      <c r="F1962" t="s">
        <v>1282</v>
      </c>
      <c r="G1962">
        <v>7</v>
      </c>
      <c r="H1962" s="7">
        <v>443.53</v>
      </c>
      <c r="I1962" t="s">
        <v>21</v>
      </c>
      <c r="J1962" t="s">
        <v>22</v>
      </c>
      <c r="K1962">
        <v>5</v>
      </c>
      <c r="L1962" s="7">
        <f t="shared" si="91"/>
        <v>3104.71</v>
      </c>
      <c r="M1962" s="7"/>
      <c r="O1962">
        <f t="shared" si="92"/>
        <v>4</v>
      </c>
      <c r="Q1962" t="s">
        <v>23</v>
      </c>
    </row>
    <row r="1963" spans="1:17" x14ac:dyDescent="0.3">
      <c r="A1963" t="s">
        <v>2988</v>
      </c>
      <c r="B1963" s="6">
        <v>45248</v>
      </c>
      <c r="C1963" s="6" t="str">
        <f t="shared" si="90"/>
        <v>Nov</v>
      </c>
      <c r="D1963" t="s">
        <v>1315</v>
      </c>
      <c r="E1963" t="s">
        <v>31</v>
      </c>
      <c r="F1963" t="s">
        <v>344</v>
      </c>
      <c r="G1963">
        <v>8</v>
      </c>
      <c r="H1963" s="7">
        <v>388.59</v>
      </c>
      <c r="I1963" t="s">
        <v>21</v>
      </c>
      <c r="J1963" t="s">
        <v>19</v>
      </c>
      <c r="K1963">
        <v>10</v>
      </c>
      <c r="L1963" s="7">
        <f t="shared" si="91"/>
        <v>3108.72</v>
      </c>
      <c r="M1963" s="7"/>
      <c r="O1963">
        <f t="shared" si="92"/>
        <v>4</v>
      </c>
      <c r="Q1963" t="s">
        <v>23</v>
      </c>
    </row>
    <row r="1964" spans="1:17" x14ac:dyDescent="0.3">
      <c r="A1964" t="s">
        <v>2989</v>
      </c>
      <c r="B1964" s="6">
        <v>45248</v>
      </c>
      <c r="C1964" s="6" t="str">
        <f t="shared" si="90"/>
        <v>Nov</v>
      </c>
      <c r="D1964" t="s">
        <v>1430</v>
      </c>
      <c r="E1964" t="s">
        <v>50</v>
      </c>
      <c r="F1964" t="s">
        <v>208</v>
      </c>
      <c r="G1964">
        <v>1</v>
      </c>
      <c r="H1964" s="7">
        <v>368.95</v>
      </c>
      <c r="I1964" t="s">
        <v>21</v>
      </c>
      <c r="J1964" t="s">
        <v>22</v>
      </c>
      <c r="K1964">
        <v>0</v>
      </c>
      <c r="L1964" s="7">
        <f t="shared" si="91"/>
        <v>368.95</v>
      </c>
      <c r="M1964" s="7"/>
      <c r="O1964">
        <f t="shared" si="92"/>
        <v>2</v>
      </c>
      <c r="Q1964" t="s">
        <v>23</v>
      </c>
    </row>
    <row r="1965" spans="1:17" x14ac:dyDescent="0.3">
      <c r="A1965" t="s">
        <v>2990</v>
      </c>
      <c r="B1965" s="6">
        <v>45271</v>
      </c>
      <c r="C1965" s="6" t="str">
        <f t="shared" si="90"/>
        <v>Dec</v>
      </c>
      <c r="D1965" t="s">
        <v>1846</v>
      </c>
      <c r="E1965" t="s">
        <v>26</v>
      </c>
      <c r="F1965" t="s">
        <v>434</v>
      </c>
      <c r="G1965">
        <v>5</v>
      </c>
      <c r="H1965" s="7">
        <v>399.68</v>
      </c>
      <c r="I1965" t="s">
        <v>64</v>
      </c>
      <c r="J1965" t="s">
        <v>42</v>
      </c>
      <c r="K1965">
        <v>10</v>
      </c>
      <c r="L1965" s="7">
        <f t="shared" si="91"/>
        <v>1998.4</v>
      </c>
      <c r="M1965" s="7"/>
      <c r="O1965">
        <f t="shared" si="92"/>
        <v>2</v>
      </c>
      <c r="Q1965" t="s">
        <v>65</v>
      </c>
    </row>
    <row r="1966" spans="1:17" x14ac:dyDescent="0.3">
      <c r="A1966" t="s">
        <v>2991</v>
      </c>
      <c r="B1966" s="6">
        <v>44997</v>
      </c>
      <c r="C1966" s="6" t="str">
        <f t="shared" si="90"/>
        <v>Mar</v>
      </c>
      <c r="D1966" t="s">
        <v>408</v>
      </c>
      <c r="E1966" t="s">
        <v>26</v>
      </c>
      <c r="F1966" t="s">
        <v>722</v>
      </c>
      <c r="G1966">
        <v>7</v>
      </c>
      <c r="H1966" s="7">
        <v>138.36000000000001</v>
      </c>
      <c r="I1966" t="s">
        <v>32</v>
      </c>
      <c r="J1966" t="s">
        <v>87</v>
      </c>
      <c r="K1966">
        <v>20</v>
      </c>
      <c r="L1966" s="7">
        <f t="shared" si="91"/>
        <v>968.5200000000001</v>
      </c>
      <c r="M1966" s="7"/>
      <c r="O1966">
        <f t="shared" si="92"/>
        <v>2</v>
      </c>
      <c r="Q1966" t="s">
        <v>33</v>
      </c>
    </row>
    <row r="1967" spans="1:17" x14ac:dyDescent="0.3">
      <c r="A1967" t="s">
        <v>2992</v>
      </c>
      <c r="B1967" s="6">
        <v>45222</v>
      </c>
      <c r="C1967" s="6" t="str">
        <f t="shared" si="90"/>
        <v>Oct</v>
      </c>
      <c r="D1967" t="s">
        <v>1309</v>
      </c>
      <c r="E1967" t="s">
        <v>26</v>
      </c>
      <c r="F1967" t="s">
        <v>856</v>
      </c>
      <c r="G1967">
        <v>4</v>
      </c>
      <c r="H1967" s="7">
        <v>444.28</v>
      </c>
      <c r="I1967" t="s">
        <v>46</v>
      </c>
      <c r="J1967" t="s">
        <v>72</v>
      </c>
      <c r="K1967">
        <v>20</v>
      </c>
      <c r="L1967" s="7">
        <f t="shared" si="91"/>
        <v>1777.12</v>
      </c>
      <c r="M1967" s="7"/>
      <c r="O1967">
        <f t="shared" si="92"/>
        <v>2</v>
      </c>
      <c r="Q1967" t="s">
        <v>47</v>
      </c>
    </row>
    <row r="1968" spans="1:17" x14ac:dyDescent="0.3">
      <c r="A1968" t="s">
        <v>2993</v>
      </c>
      <c r="B1968" s="6">
        <v>45234</v>
      </c>
      <c r="C1968" s="6" t="str">
        <f t="shared" si="90"/>
        <v>Nov</v>
      </c>
      <c r="D1968" t="s">
        <v>2314</v>
      </c>
      <c r="E1968" t="s">
        <v>31</v>
      </c>
      <c r="F1968" t="s">
        <v>861</v>
      </c>
      <c r="G1968">
        <v>4</v>
      </c>
      <c r="H1968" s="7">
        <v>72.97</v>
      </c>
      <c r="I1968" t="s">
        <v>64</v>
      </c>
      <c r="J1968" t="s">
        <v>19</v>
      </c>
      <c r="K1968">
        <v>15</v>
      </c>
      <c r="L1968" s="7">
        <f t="shared" si="91"/>
        <v>291.88</v>
      </c>
      <c r="M1968" s="7"/>
      <c r="O1968">
        <f t="shared" si="92"/>
        <v>2</v>
      </c>
      <c r="Q1968" t="s">
        <v>65</v>
      </c>
    </row>
    <row r="1969" spans="1:17" x14ac:dyDescent="0.3">
      <c r="A1969" t="s">
        <v>2994</v>
      </c>
      <c r="B1969" s="6">
        <v>45028</v>
      </c>
      <c r="C1969" s="6" t="str">
        <f t="shared" si="90"/>
        <v>Apr</v>
      </c>
      <c r="D1969" t="s">
        <v>1451</v>
      </c>
      <c r="E1969" t="s">
        <v>40</v>
      </c>
      <c r="F1969" t="s">
        <v>642</v>
      </c>
      <c r="G1969">
        <v>4</v>
      </c>
      <c r="H1969" s="7">
        <v>171.49</v>
      </c>
      <c r="I1969" t="s">
        <v>64</v>
      </c>
      <c r="J1969" t="s">
        <v>19</v>
      </c>
      <c r="K1969">
        <v>10</v>
      </c>
      <c r="L1969" s="7">
        <f t="shared" si="91"/>
        <v>685.96</v>
      </c>
      <c r="M1969" s="7"/>
      <c r="O1969">
        <f t="shared" si="92"/>
        <v>2</v>
      </c>
      <c r="Q1969" t="s">
        <v>65</v>
      </c>
    </row>
    <row r="1970" spans="1:17" x14ac:dyDescent="0.3">
      <c r="A1970" t="s">
        <v>2995</v>
      </c>
      <c r="B1970" s="6">
        <v>45023</v>
      </c>
      <c r="C1970" s="6" t="str">
        <f t="shared" si="90"/>
        <v>Apr</v>
      </c>
      <c r="D1970" t="s">
        <v>2996</v>
      </c>
      <c r="E1970" t="s">
        <v>31</v>
      </c>
      <c r="F1970" t="s">
        <v>257</v>
      </c>
      <c r="G1970">
        <v>6</v>
      </c>
      <c r="H1970" s="7">
        <v>295.44</v>
      </c>
      <c r="I1970" t="s">
        <v>21</v>
      </c>
      <c r="J1970" t="s">
        <v>42</v>
      </c>
      <c r="K1970">
        <v>10</v>
      </c>
      <c r="L1970" s="7">
        <f t="shared" si="91"/>
        <v>1772.6399999999999</v>
      </c>
      <c r="M1970" s="7"/>
      <c r="O1970">
        <f t="shared" si="92"/>
        <v>2</v>
      </c>
      <c r="Q1970" t="s">
        <v>23</v>
      </c>
    </row>
    <row r="1971" spans="1:17" x14ac:dyDescent="0.3">
      <c r="A1971" t="s">
        <v>2997</v>
      </c>
      <c r="B1971" s="6">
        <v>45216</v>
      </c>
      <c r="C1971" s="6" t="str">
        <f t="shared" si="90"/>
        <v>Oct</v>
      </c>
      <c r="D1971" t="s">
        <v>664</v>
      </c>
      <c r="E1971" t="s">
        <v>19</v>
      </c>
      <c r="F1971" t="s">
        <v>450</v>
      </c>
      <c r="G1971">
        <v>7</v>
      </c>
      <c r="H1971" s="7">
        <v>55.94</v>
      </c>
      <c r="I1971" t="s">
        <v>103</v>
      </c>
      <c r="J1971" t="s">
        <v>22</v>
      </c>
      <c r="K1971">
        <v>10</v>
      </c>
      <c r="L1971" s="7">
        <f t="shared" si="91"/>
        <v>391.58</v>
      </c>
      <c r="M1971" s="7"/>
      <c r="O1971">
        <f t="shared" si="92"/>
        <v>2</v>
      </c>
      <c r="Q1971" t="s">
        <v>104</v>
      </c>
    </row>
    <row r="1972" spans="1:17" x14ac:dyDescent="0.3">
      <c r="A1972" t="s">
        <v>2998</v>
      </c>
      <c r="B1972" s="6">
        <v>45281</v>
      </c>
      <c r="C1972" s="6" t="str">
        <f t="shared" si="90"/>
        <v>Dec</v>
      </c>
      <c r="D1972" t="s">
        <v>1513</v>
      </c>
      <c r="E1972" t="s">
        <v>62</v>
      </c>
      <c r="F1972" t="s">
        <v>75</v>
      </c>
      <c r="G1972">
        <v>2</v>
      </c>
      <c r="H1972" s="7">
        <v>366.41</v>
      </c>
      <c r="I1972" t="s">
        <v>21</v>
      </c>
      <c r="J1972" t="s">
        <v>72</v>
      </c>
      <c r="K1972">
        <v>20</v>
      </c>
      <c r="L1972" s="7">
        <f t="shared" si="91"/>
        <v>732.82</v>
      </c>
      <c r="M1972" s="7"/>
      <c r="O1972">
        <f t="shared" si="92"/>
        <v>2</v>
      </c>
      <c r="Q1972" t="s">
        <v>23</v>
      </c>
    </row>
    <row r="1973" spans="1:17" x14ac:dyDescent="0.3">
      <c r="A1973" t="s">
        <v>2999</v>
      </c>
      <c r="B1973" s="6">
        <v>45092</v>
      </c>
      <c r="C1973" s="6" t="str">
        <f t="shared" si="90"/>
        <v>Jun</v>
      </c>
      <c r="D1973" t="s">
        <v>1242</v>
      </c>
      <c r="E1973" t="s">
        <v>26</v>
      </c>
      <c r="F1973" t="s">
        <v>913</v>
      </c>
      <c r="G1973">
        <v>5</v>
      </c>
      <c r="H1973" s="7">
        <v>252.16</v>
      </c>
      <c r="I1973" t="s">
        <v>64</v>
      </c>
      <c r="J1973" t="s">
        <v>19</v>
      </c>
      <c r="K1973">
        <v>15</v>
      </c>
      <c r="L1973" s="7">
        <f t="shared" si="91"/>
        <v>1260.8</v>
      </c>
      <c r="M1973" s="7"/>
      <c r="O1973">
        <f t="shared" si="92"/>
        <v>2</v>
      </c>
      <c r="Q1973" t="s">
        <v>65</v>
      </c>
    </row>
    <row r="1974" spans="1:17" x14ac:dyDescent="0.3">
      <c r="A1974" t="s">
        <v>3000</v>
      </c>
      <c r="B1974" s="6">
        <v>45083</v>
      </c>
      <c r="C1974" s="6" t="str">
        <f t="shared" si="90"/>
        <v>Jun</v>
      </c>
      <c r="D1974" t="s">
        <v>548</v>
      </c>
      <c r="E1974" t="s">
        <v>19</v>
      </c>
      <c r="F1974" t="s">
        <v>303</v>
      </c>
      <c r="G1974">
        <v>4</v>
      </c>
      <c r="H1974" s="7">
        <v>393.28</v>
      </c>
      <c r="I1974" t="s">
        <v>103</v>
      </c>
      <c r="J1974" t="s">
        <v>72</v>
      </c>
      <c r="K1974">
        <v>20</v>
      </c>
      <c r="L1974" s="7">
        <f t="shared" si="91"/>
        <v>1573.12</v>
      </c>
      <c r="M1974" s="7"/>
      <c r="O1974">
        <f t="shared" si="92"/>
        <v>2</v>
      </c>
      <c r="Q1974" t="s">
        <v>104</v>
      </c>
    </row>
    <row r="1975" spans="1:17" x14ac:dyDescent="0.3">
      <c r="A1975" t="s">
        <v>3001</v>
      </c>
      <c r="B1975" s="6">
        <v>45264</v>
      </c>
      <c r="C1975" s="6" t="str">
        <f t="shared" si="90"/>
        <v>Dec</v>
      </c>
      <c r="D1975" t="s">
        <v>727</v>
      </c>
      <c r="E1975" t="s">
        <v>62</v>
      </c>
      <c r="F1975" t="s">
        <v>1325</v>
      </c>
      <c r="G1975">
        <v>3</v>
      </c>
      <c r="H1975" s="7">
        <v>248.98</v>
      </c>
      <c r="I1975" t="s">
        <v>64</v>
      </c>
      <c r="J1975" t="s">
        <v>28</v>
      </c>
      <c r="K1975">
        <v>15</v>
      </c>
      <c r="L1975" s="7">
        <f t="shared" si="91"/>
        <v>746.93999999999994</v>
      </c>
      <c r="M1975" s="7"/>
      <c r="O1975">
        <f t="shared" si="92"/>
        <v>2</v>
      </c>
      <c r="Q1975" t="s">
        <v>65</v>
      </c>
    </row>
    <row r="1976" spans="1:17" x14ac:dyDescent="0.3">
      <c r="A1976" t="s">
        <v>3002</v>
      </c>
      <c r="B1976" s="6">
        <v>45275</v>
      </c>
      <c r="C1976" s="6" t="str">
        <f t="shared" si="90"/>
        <v>Dec</v>
      </c>
      <c r="D1976" t="s">
        <v>799</v>
      </c>
      <c r="E1976" t="s">
        <v>36</v>
      </c>
      <c r="F1976" t="s">
        <v>160</v>
      </c>
      <c r="G1976">
        <v>7</v>
      </c>
      <c r="H1976" s="7">
        <v>94.53</v>
      </c>
      <c r="I1976" t="s">
        <v>46</v>
      </c>
      <c r="J1976" t="s">
        <v>72</v>
      </c>
      <c r="K1976">
        <v>5</v>
      </c>
      <c r="L1976" s="7">
        <f t="shared" si="91"/>
        <v>661.71</v>
      </c>
      <c r="M1976" s="7"/>
      <c r="O1976">
        <f t="shared" si="92"/>
        <v>2</v>
      </c>
      <c r="Q1976" t="s">
        <v>47</v>
      </c>
    </row>
    <row r="1977" spans="1:17" x14ac:dyDescent="0.3">
      <c r="A1977" t="s">
        <v>3003</v>
      </c>
      <c r="B1977" s="6">
        <v>45113</v>
      </c>
      <c r="C1977" s="6" t="str">
        <f t="shared" si="90"/>
        <v>Jul</v>
      </c>
      <c r="D1977" t="s">
        <v>522</v>
      </c>
      <c r="E1977" t="s">
        <v>62</v>
      </c>
      <c r="F1977" t="s">
        <v>84</v>
      </c>
      <c r="G1977">
        <v>6</v>
      </c>
      <c r="H1977" s="7">
        <v>368.71</v>
      </c>
      <c r="I1977" t="s">
        <v>46</v>
      </c>
      <c r="J1977" t="s">
        <v>87</v>
      </c>
      <c r="K1977">
        <v>10</v>
      </c>
      <c r="L1977" s="7">
        <f t="shared" si="91"/>
        <v>2212.2599999999998</v>
      </c>
      <c r="M1977" s="7"/>
      <c r="O1977">
        <f t="shared" si="92"/>
        <v>2</v>
      </c>
      <c r="Q1977" t="s">
        <v>47</v>
      </c>
    </row>
    <row r="1978" spans="1:17" x14ac:dyDescent="0.3">
      <c r="A1978" t="s">
        <v>3004</v>
      </c>
      <c r="B1978" s="6">
        <v>45084</v>
      </c>
      <c r="C1978" s="6" t="str">
        <f t="shared" si="90"/>
        <v>Jun</v>
      </c>
      <c r="D1978" t="s">
        <v>2081</v>
      </c>
      <c r="E1978" t="s">
        <v>50</v>
      </c>
      <c r="F1978" t="s">
        <v>273</v>
      </c>
      <c r="G1978">
        <v>7</v>
      </c>
      <c r="H1978" s="7">
        <v>129.81</v>
      </c>
      <c r="I1978" t="s">
        <v>32</v>
      </c>
      <c r="J1978" t="s">
        <v>72</v>
      </c>
      <c r="K1978">
        <v>5</v>
      </c>
      <c r="L1978" s="7">
        <f t="shared" si="91"/>
        <v>908.67000000000007</v>
      </c>
      <c r="M1978" s="7"/>
      <c r="O1978">
        <f t="shared" si="92"/>
        <v>2</v>
      </c>
      <c r="Q1978" t="s">
        <v>33</v>
      </c>
    </row>
    <row r="1979" spans="1:17" x14ac:dyDescent="0.3">
      <c r="A1979" t="s">
        <v>3005</v>
      </c>
      <c r="B1979" s="6">
        <v>44935</v>
      </c>
      <c r="C1979" s="6" t="str">
        <f t="shared" si="90"/>
        <v>Jan</v>
      </c>
      <c r="D1979" t="s">
        <v>2691</v>
      </c>
      <c r="E1979" t="s">
        <v>36</v>
      </c>
      <c r="F1979" t="s">
        <v>131</v>
      </c>
      <c r="G1979">
        <v>5</v>
      </c>
      <c r="H1979" s="7">
        <v>247.95</v>
      </c>
      <c r="I1979" t="s">
        <v>103</v>
      </c>
      <c r="J1979" t="s">
        <v>42</v>
      </c>
      <c r="K1979">
        <v>20</v>
      </c>
      <c r="L1979" s="7">
        <f t="shared" si="91"/>
        <v>1239.75</v>
      </c>
      <c r="M1979" s="7"/>
      <c r="O1979">
        <f t="shared" si="92"/>
        <v>2</v>
      </c>
      <c r="Q1979" t="s">
        <v>104</v>
      </c>
    </row>
    <row r="1980" spans="1:17" x14ac:dyDescent="0.3">
      <c r="A1980" t="s">
        <v>3006</v>
      </c>
      <c r="B1980" s="6">
        <v>45200</v>
      </c>
      <c r="C1980" s="6" t="str">
        <f t="shared" si="90"/>
        <v>Oct</v>
      </c>
      <c r="D1980" t="s">
        <v>1266</v>
      </c>
      <c r="E1980" t="s">
        <v>40</v>
      </c>
      <c r="F1980" t="s">
        <v>81</v>
      </c>
      <c r="G1980">
        <v>6</v>
      </c>
      <c r="H1980" s="7">
        <v>42.39</v>
      </c>
      <c r="I1980" t="s">
        <v>21</v>
      </c>
      <c r="J1980" t="s">
        <v>28</v>
      </c>
      <c r="K1980">
        <v>10</v>
      </c>
      <c r="L1980" s="7">
        <f t="shared" si="91"/>
        <v>254.34</v>
      </c>
      <c r="M1980" s="7"/>
      <c r="O1980">
        <f t="shared" si="92"/>
        <v>2</v>
      </c>
      <c r="Q1980" t="s">
        <v>23</v>
      </c>
    </row>
    <row r="1981" spans="1:17" x14ac:dyDescent="0.3">
      <c r="A1981" t="s">
        <v>3007</v>
      </c>
      <c r="B1981" s="6">
        <v>45155</v>
      </c>
      <c r="C1981" s="6" t="str">
        <f t="shared" si="90"/>
        <v>Aug</v>
      </c>
      <c r="D1981" t="s">
        <v>2400</v>
      </c>
      <c r="E1981" t="s">
        <v>31</v>
      </c>
      <c r="F1981" t="s">
        <v>450</v>
      </c>
      <c r="G1981">
        <v>5</v>
      </c>
      <c r="H1981" s="7">
        <v>310.83999999999997</v>
      </c>
      <c r="I1981" t="s">
        <v>64</v>
      </c>
      <c r="J1981" t="s">
        <v>87</v>
      </c>
      <c r="K1981">
        <v>0</v>
      </c>
      <c r="L1981" s="7">
        <f t="shared" si="91"/>
        <v>1554.1999999999998</v>
      </c>
      <c r="M1981" s="7"/>
      <c r="O1981">
        <f t="shared" si="92"/>
        <v>2</v>
      </c>
      <c r="Q1981" t="s">
        <v>65</v>
      </c>
    </row>
    <row r="1982" spans="1:17" x14ac:dyDescent="0.3">
      <c r="A1982" t="s">
        <v>3008</v>
      </c>
      <c r="B1982" s="6">
        <v>44976</v>
      </c>
      <c r="C1982" s="6" t="str">
        <f t="shared" si="90"/>
        <v>Feb</v>
      </c>
      <c r="D1982" t="s">
        <v>3009</v>
      </c>
      <c r="E1982" t="s">
        <v>40</v>
      </c>
      <c r="F1982" t="s">
        <v>1038</v>
      </c>
      <c r="G1982">
        <v>7</v>
      </c>
      <c r="H1982" s="7">
        <v>334.6</v>
      </c>
      <c r="I1982" t="s">
        <v>46</v>
      </c>
      <c r="J1982" t="s">
        <v>87</v>
      </c>
      <c r="K1982">
        <v>10</v>
      </c>
      <c r="L1982" s="7">
        <f t="shared" si="91"/>
        <v>2342.2000000000003</v>
      </c>
      <c r="M1982" s="7"/>
      <c r="O1982">
        <f t="shared" si="92"/>
        <v>2</v>
      </c>
      <c r="Q1982" t="s">
        <v>47</v>
      </c>
    </row>
    <row r="1983" spans="1:17" x14ac:dyDescent="0.3">
      <c r="A1983" t="s">
        <v>3010</v>
      </c>
      <c r="B1983" s="6">
        <v>45282</v>
      </c>
      <c r="C1983" s="6" t="str">
        <f t="shared" si="90"/>
        <v>Dec</v>
      </c>
      <c r="D1983" t="s">
        <v>2400</v>
      </c>
      <c r="E1983" t="s">
        <v>40</v>
      </c>
      <c r="F1983" t="s">
        <v>313</v>
      </c>
      <c r="G1983">
        <v>2</v>
      </c>
      <c r="H1983" s="7">
        <v>192.44</v>
      </c>
      <c r="I1983" t="s">
        <v>32</v>
      </c>
      <c r="J1983" t="s">
        <v>42</v>
      </c>
      <c r="K1983">
        <v>10</v>
      </c>
      <c r="L1983" s="7">
        <f t="shared" si="91"/>
        <v>384.88</v>
      </c>
      <c r="M1983" s="7"/>
      <c r="O1983">
        <f t="shared" si="92"/>
        <v>2</v>
      </c>
      <c r="Q1983" t="s">
        <v>33</v>
      </c>
    </row>
    <row r="1984" spans="1:17" x14ac:dyDescent="0.3">
      <c r="A1984" t="s">
        <v>3011</v>
      </c>
      <c r="B1984" s="6">
        <v>45103</v>
      </c>
      <c r="C1984" s="6" t="str">
        <f t="shared" si="90"/>
        <v>Jun</v>
      </c>
      <c r="D1984" t="s">
        <v>863</v>
      </c>
      <c r="E1984" t="s">
        <v>62</v>
      </c>
      <c r="F1984" t="s">
        <v>523</v>
      </c>
      <c r="G1984">
        <v>5</v>
      </c>
      <c r="H1984" s="7">
        <v>477.44</v>
      </c>
      <c r="I1984" t="s">
        <v>46</v>
      </c>
      <c r="J1984" t="s">
        <v>87</v>
      </c>
      <c r="K1984">
        <v>0</v>
      </c>
      <c r="L1984" s="7">
        <f t="shared" si="91"/>
        <v>2387.1999999999998</v>
      </c>
      <c r="M1984" s="7"/>
      <c r="O1984">
        <f t="shared" si="92"/>
        <v>2</v>
      </c>
      <c r="Q1984" t="s">
        <v>47</v>
      </c>
    </row>
    <row r="1985" spans="1:17" x14ac:dyDescent="0.3">
      <c r="A1985" t="s">
        <v>3012</v>
      </c>
      <c r="B1985" s="6">
        <v>45108</v>
      </c>
      <c r="C1985" s="6" t="str">
        <f t="shared" si="90"/>
        <v>Jul</v>
      </c>
      <c r="D1985" t="s">
        <v>3013</v>
      </c>
      <c r="E1985" t="s">
        <v>19</v>
      </c>
      <c r="F1985" t="s">
        <v>800</v>
      </c>
      <c r="G1985">
        <v>6</v>
      </c>
      <c r="H1985" s="7">
        <v>437.71</v>
      </c>
      <c r="I1985" t="s">
        <v>32</v>
      </c>
      <c r="J1985" t="s">
        <v>19</v>
      </c>
      <c r="K1985">
        <v>10</v>
      </c>
      <c r="L1985" s="7">
        <f t="shared" si="91"/>
        <v>2626.2599999999998</v>
      </c>
      <c r="M1985" s="7"/>
      <c r="O1985">
        <f t="shared" si="92"/>
        <v>3</v>
      </c>
      <c r="Q1985" t="s">
        <v>33</v>
      </c>
    </row>
    <row r="1986" spans="1:17" x14ac:dyDescent="0.3">
      <c r="A1986" t="s">
        <v>3014</v>
      </c>
      <c r="B1986" s="6">
        <v>44939</v>
      </c>
      <c r="C1986" s="6" t="str">
        <f t="shared" si="90"/>
        <v>Jan</v>
      </c>
      <c r="D1986" t="s">
        <v>2036</v>
      </c>
      <c r="E1986" t="s">
        <v>31</v>
      </c>
      <c r="F1986" t="s">
        <v>99</v>
      </c>
      <c r="G1986">
        <v>6</v>
      </c>
      <c r="H1986" s="7">
        <v>355.43</v>
      </c>
      <c r="I1986" t="s">
        <v>46</v>
      </c>
      <c r="J1986" t="s">
        <v>28</v>
      </c>
      <c r="K1986">
        <v>5</v>
      </c>
      <c r="L1986" s="7">
        <f t="shared" si="91"/>
        <v>2132.58</v>
      </c>
      <c r="M1986" s="7"/>
      <c r="O1986">
        <f t="shared" si="92"/>
        <v>2</v>
      </c>
      <c r="Q1986" t="s">
        <v>47</v>
      </c>
    </row>
    <row r="1987" spans="1:17" x14ac:dyDescent="0.3">
      <c r="A1987" t="s">
        <v>3015</v>
      </c>
      <c r="B1987" s="6">
        <v>45213</v>
      </c>
      <c r="C1987" s="6" t="str">
        <f t="shared" ref="C1987:C2050" si="93">TEXT(B1987,"MMM")</f>
        <v>Oct</v>
      </c>
      <c r="D1987" t="s">
        <v>1154</v>
      </c>
      <c r="E1987" t="s">
        <v>62</v>
      </c>
      <c r="F1987" t="s">
        <v>356</v>
      </c>
      <c r="G1987">
        <v>5</v>
      </c>
      <c r="H1987" s="7">
        <v>358.26</v>
      </c>
      <c r="I1987" t="s">
        <v>32</v>
      </c>
      <c r="J1987" t="s">
        <v>22</v>
      </c>
      <c r="K1987">
        <v>5</v>
      </c>
      <c r="L1987" s="7">
        <f t="shared" ref="L1987:L2050" si="94">G1987*H1987</f>
        <v>1791.3</v>
      </c>
      <c r="M1987" s="7"/>
      <c r="O1987">
        <f t="shared" si="92"/>
        <v>2</v>
      </c>
      <c r="Q1987" t="s">
        <v>33</v>
      </c>
    </row>
    <row r="1988" spans="1:17" x14ac:dyDescent="0.3">
      <c r="A1988" t="s">
        <v>3016</v>
      </c>
      <c r="B1988" s="6">
        <v>45137</v>
      </c>
      <c r="C1988" s="6" t="str">
        <f t="shared" si="93"/>
        <v>Jul</v>
      </c>
      <c r="D1988" t="s">
        <v>1271</v>
      </c>
      <c r="E1988" t="s">
        <v>19</v>
      </c>
      <c r="F1988" t="s">
        <v>1251</v>
      </c>
      <c r="G1988">
        <v>7</v>
      </c>
      <c r="H1988" s="7">
        <v>252.16</v>
      </c>
      <c r="I1988" t="s">
        <v>46</v>
      </c>
      <c r="J1988" t="s">
        <v>28</v>
      </c>
      <c r="K1988">
        <v>10</v>
      </c>
      <c r="L1988" s="7">
        <f t="shared" si="94"/>
        <v>1765.12</v>
      </c>
      <c r="M1988" s="7"/>
      <c r="O1988">
        <f t="shared" ref="O1988:O2051" si="95">IF(L1988&gt;3500,5,IF(L1988&gt;3000,4,IF(L1988&gt;2500,3,IF(L1988&gt;2000,2,IF(L1988&gt;1000,2,2)))))</f>
        <v>2</v>
      </c>
      <c r="Q1988" t="s">
        <v>47</v>
      </c>
    </row>
    <row r="1989" spans="1:17" x14ac:dyDescent="0.3">
      <c r="A1989" t="s">
        <v>3017</v>
      </c>
      <c r="B1989" s="6">
        <v>45085</v>
      </c>
      <c r="C1989" s="6" t="str">
        <f t="shared" si="93"/>
        <v>Jun</v>
      </c>
      <c r="D1989" t="s">
        <v>1997</v>
      </c>
      <c r="E1989" t="s">
        <v>31</v>
      </c>
      <c r="F1989" t="s">
        <v>988</v>
      </c>
      <c r="G1989">
        <v>8</v>
      </c>
      <c r="H1989" s="7">
        <v>330.12</v>
      </c>
      <c r="I1989" t="s">
        <v>32</v>
      </c>
      <c r="J1989" t="s">
        <v>42</v>
      </c>
      <c r="K1989">
        <v>0</v>
      </c>
      <c r="L1989" s="7">
        <f t="shared" si="94"/>
        <v>2640.96</v>
      </c>
      <c r="M1989" s="7"/>
      <c r="O1989">
        <f t="shared" si="95"/>
        <v>3</v>
      </c>
      <c r="Q1989" t="s">
        <v>33</v>
      </c>
    </row>
    <row r="1990" spans="1:17" x14ac:dyDescent="0.3">
      <c r="A1990" t="s">
        <v>3018</v>
      </c>
      <c r="B1990" s="6">
        <v>44927</v>
      </c>
      <c r="C1990" s="6" t="str">
        <f t="shared" si="93"/>
        <v>Jan</v>
      </c>
      <c r="D1990" t="s">
        <v>1567</v>
      </c>
      <c r="E1990" t="s">
        <v>36</v>
      </c>
      <c r="F1990" t="s">
        <v>450</v>
      </c>
      <c r="G1990">
        <v>7</v>
      </c>
      <c r="H1990" s="7">
        <v>103.11</v>
      </c>
      <c r="I1990" t="s">
        <v>32</v>
      </c>
      <c r="J1990" t="s">
        <v>28</v>
      </c>
      <c r="K1990">
        <v>15</v>
      </c>
      <c r="L1990" s="7">
        <f t="shared" si="94"/>
        <v>721.77</v>
      </c>
      <c r="M1990" s="7"/>
      <c r="O1990">
        <f t="shared" si="95"/>
        <v>2</v>
      </c>
      <c r="Q1990" t="s">
        <v>33</v>
      </c>
    </row>
    <row r="1991" spans="1:17" x14ac:dyDescent="0.3">
      <c r="A1991" t="s">
        <v>3019</v>
      </c>
      <c r="B1991" s="6">
        <v>45075</v>
      </c>
      <c r="C1991" s="6" t="str">
        <f t="shared" si="93"/>
        <v>May</v>
      </c>
      <c r="D1991" t="s">
        <v>893</v>
      </c>
      <c r="E1991" t="s">
        <v>19</v>
      </c>
      <c r="F1991" t="s">
        <v>619</v>
      </c>
      <c r="G1991">
        <v>5</v>
      </c>
      <c r="H1991" s="7">
        <v>76.28</v>
      </c>
      <c r="I1991" t="s">
        <v>103</v>
      </c>
      <c r="J1991" t="s">
        <v>22</v>
      </c>
      <c r="K1991">
        <v>10</v>
      </c>
      <c r="L1991" s="7">
        <f t="shared" si="94"/>
        <v>381.4</v>
      </c>
      <c r="M1991" s="7"/>
      <c r="O1991">
        <f t="shared" si="95"/>
        <v>2</v>
      </c>
      <c r="Q1991" t="s">
        <v>104</v>
      </c>
    </row>
    <row r="1992" spans="1:17" x14ac:dyDescent="0.3">
      <c r="A1992" t="s">
        <v>3020</v>
      </c>
      <c r="B1992" s="6">
        <v>45168</v>
      </c>
      <c r="C1992" s="6" t="str">
        <f t="shared" si="93"/>
        <v>Aug</v>
      </c>
      <c r="D1992" t="s">
        <v>912</v>
      </c>
      <c r="E1992" t="s">
        <v>19</v>
      </c>
      <c r="F1992" t="s">
        <v>722</v>
      </c>
      <c r="G1992">
        <v>1</v>
      </c>
      <c r="H1992" s="7">
        <v>499.74</v>
      </c>
      <c r="I1992" t="s">
        <v>19</v>
      </c>
      <c r="J1992" t="s">
        <v>42</v>
      </c>
      <c r="K1992">
        <v>20</v>
      </c>
      <c r="L1992" s="7">
        <f t="shared" si="94"/>
        <v>499.74</v>
      </c>
      <c r="M1992" s="7"/>
      <c r="O1992">
        <f t="shared" si="95"/>
        <v>2</v>
      </c>
      <c r="Q1992" t="s">
        <v>19</v>
      </c>
    </row>
    <row r="1993" spans="1:17" x14ac:dyDescent="0.3">
      <c r="A1993" t="s">
        <v>3021</v>
      </c>
      <c r="B1993" s="6">
        <v>44943</v>
      </c>
      <c r="C1993" s="6" t="str">
        <f t="shared" si="93"/>
        <v>Jan</v>
      </c>
      <c r="D1993" t="s">
        <v>1664</v>
      </c>
      <c r="E1993" t="s">
        <v>62</v>
      </c>
      <c r="F1993" t="s">
        <v>347</v>
      </c>
      <c r="G1993">
        <v>5</v>
      </c>
      <c r="H1993" s="7">
        <v>313.08</v>
      </c>
      <c r="I1993" t="s">
        <v>103</v>
      </c>
      <c r="J1993" t="s">
        <v>72</v>
      </c>
      <c r="K1993">
        <v>5</v>
      </c>
      <c r="L1993" s="7">
        <f t="shared" si="94"/>
        <v>1565.3999999999999</v>
      </c>
      <c r="M1993" s="7"/>
      <c r="O1993">
        <f t="shared" si="95"/>
        <v>2</v>
      </c>
      <c r="Q1993" t="s">
        <v>104</v>
      </c>
    </row>
    <row r="1994" spans="1:17" x14ac:dyDescent="0.3">
      <c r="A1994" t="s">
        <v>3022</v>
      </c>
      <c r="B1994" s="6">
        <v>44970</v>
      </c>
      <c r="C1994" s="6" t="str">
        <f t="shared" si="93"/>
        <v>Feb</v>
      </c>
      <c r="D1994" t="s">
        <v>2346</v>
      </c>
      <c r="E1994" t="s">
        <v>31</v>
      </c>
      <c r="F1994" t="s">
        <v>222</v>
      </c>
      <c r="G1994">
        <v>2</v>
      </c>
      <c r="H1994" s="7">
        <v>218.34</v>
      </c>
      <c r="I1994" t="s">
        <v>19</v>
      </c>
      <c r="J1994" t="s">
        <v>28</v>
      </c>
      <c r="K1994">
        <v>10</v>
      </c>
      <c r="L1994" s="7">
        <f t="shared" si="94"/>
        <v>436.68</v>
      </c>
      <c r="M1994" s="7"/>
      <c r="O1994">
        <f t="shared" si="95"/>
        <v>2</v>
      </c>
      <c r="Q1994" t="s">
        <v>19</v>
      </c>
    </row>
    <row r="1995" spans="1:17" x14ac:dyDescent="0.3">
      <c r="A1995" t="s">
        <v>3023</v>
      </c>
      <c r="B1995" s="6">
        <v>45006</v>
      </c>
      <c r="C1995" s="6" t="str">
        <f t="shared" si="93"/>
        <v>Mar</v>
      </c>
      <c r="D1995" t="s">
        <v>124</v>
      </c>
      <c r="E1995" t="s">
        <v>36</v>
      </c>
      <c r="F1995" t="s">
        <v>78</v>
      </c>
      <c r="G1995">
        <v>5</v>
      </c>
      <c r="H1995" s="7">
        <v>147.63999999999999</v>
      </c>
      <c r="I1995" t="s">
        <v>64</v>
      </c>
      <c r="J1995" t="s">
        <v>72</v>
      </c>
      <c r="K1995">
        <v>20</v>
      </c>
      <c r="L1995" s="7">
        <f t="shared" si="94"/>
        <v>738.19999999999993</v>
      </c>
      <c r="M1995" s="7"/>
      <c r="O1995">
        <f t="shared" si="95"/>
        <v>2</v>
      </c>
      <c r="Q1995" t="s">
        <v>65</v>
      </c>
    </row>
    <row r="1996" spans="1:17" x14ac:dyDescent="0.3">
      <c r="A1996" t="s">
        <v>3024</v>
      </c>
      <c r="B1996" s="6">
        <v>45000</v>
      </c>
      <c r="C1996" s="6" t="str">
        <f t="shared" si="93"/>
        <v>Mar</v>
      </c>
      <c r="D1996" t="s">
        <v>1309</v>
      </c>
      <c r="E1996" t="s">
        <v>19</v>
      </c>
      <c r="F1996" t="s">
        <v>517</v>
      </c>
      <c r="G1996">
        <v>5</v>
      </c>
      <c r="H1996" s="7">
        <v>303.94</v>
      </c>
      <c r="I1996" t="s">
        <v>32</v>
      </c>
      <c r="J1996" t="s">
        <v>22</v>
      </c>
      <c r="K1996">
        <v>0</v>
      </c>
      <c r="L1996" s="7">
        <f t="shared" si="94"/>
        <v>1519.7</v>
      </c>
      <c r="M1996" s="7"/>
      <c r="O1996">
        <f t="shared" si="95"/>
        <v>2</v>
      </c>
      <c r="Q1996" t="s">
        <v>33</v>
      </c>
    </row>
    <row r="1997" spans="1:17" x14ac:dyDescent="0.3">
      <c r="A1997" t="s">
        <v>3025</v>
      </c>
      <c r="B1997" s="6">
        <v>45206</v>
      </c>
      <c r="C1997" s="6" t="str">
        <f t="shared" si="93"/>
        <v>Oct</v>
      </c>
      <c r="D1997" t="s">
        <v>365</v>
      </c>
      <c r="E1997" t="s">
        <v>40</v>
      </c>
      <c r="F1997" t="s">
        <v>1085</v>
      </c>
      <c r="G1997">
        <v>2</v>
      </c>
      <c r="H1997" s="7">
        <v>29.55</v>
      </c>
      <c r="I1997" t="s">
        <v>103</v>
      </c>
      <c r="J1997" t="s">
        <v>22</v>
      </c>
      <c r="K1997">
        <v>20</v>
      </c>
      <c r="L1997" s="7">
        <f t="shared" si="94"/>
        <v>59.1</v>
      </c>
      <c r="M1997" s="7"/>
      <c r="O1997">
        <f t="shared" si="95"/>
        <v>2</v>
      </c>
      <c r="Q1997" t="s">
        <v>104</v>
      </c>
    </row>
    <row r="1998" spans="1:17" x14ac:dyDescent="0.3">
      <c r="A1998" t="s">
        <v>3026</v>
      </c>
      <c r="B1998" s="6">
        <v>45007</v>
      </c>
      <c r="C1998" s="6" t="str">
        <f t="shared" si="93"/>
        <v>Mar</v>
      </c>
      <c r="D1998" t="s">
        <v>77</v>
      </c>
      <c r="E1998" t="s">
        <v>50</v>
      </c>
      <c r="F1998" t="s">
        <v>420</v>
      </c>
      <c r="G1998">
        <v>5</v>
      </c>
      <c r="H1998" s="7">
        <v>51.87</v>
      </c>
      <c r="I1998" t="s">
        <v>103</v>
      </c>
      <c r="J1998" t="s">
        <v>22</v>
      </c>
      <c r="K1998">
        <v>20</v>
      </c>
      <c r="L1998" s="7">
        <f t="shared" si="94"/>
        <v>259.34999999999997</v>
      </c>
      <c r="M1998" s="7"/>
      <c r="O1998">
        <f t="shared" si="95"/>
        <v>2</v>
      </c>
      <c r="Q1998" t="s">
        <v>104</v>
      </c>
    </row>
    <row r="1999" spans="1:17" x14ac:dyDescent="0.3">
      <c r="A1999" t="s">
        <v>3027</v>
      </c>
      <c r="B1999" s="6">
        <v>44953</v>
      </c>
      <c r="C1999" s="6" t="str">
        <f t="shared" si="93"/>
        <v>Jan</v>
      </c>
      <c r="D1999" t="s">
        <v>496</v>
      </c>
      <c r="E1999" t="s">
        <v>50</v>
      </c>
      <c r="F1999" t="s">
        <v>205</v>
      </c>
      <c r="G1999">
        <v>4</v>
      </c>
      <c r="H1999" s="7">
        <v>21.26</v>
      </c>
      <c r="I1999" t="s">
        <v>46</v>
      </c>
      <c r="J1999" t="s">
        <v>87</v>
      </c>
      <c r="K1999">
        <v>10</v>
      </c>
      <c r="L1999" s="7">
        <f t="shared" si="94"/>
        <v>85.04</v>
      </c>
      <c r="M1999" s="7"/>
      <c r="O1999">
        <f t="shared" si="95"/>
        <v>2</v>
      </c>
      <c r="Q1999" t="s">
        <v>47</v>
      </c>
    </row>
    <row r="2000" spans="1:17" x14ac:dyDescent="0.3">
      <c r="A2000" t="s">
        <v>3028</v>
      </c>
      <c r="B2000" s="6">
        <v>44962</v>
      </c>
      <c r="C2000" s="6" t="str">
        <f t="shared" si="93"/>
        <v>Feb</v>
      </c>
      <c r="D2000" t="s">
        <v>228</v>
      </c>
      <c r="E2000" t="s">
        <v>26</v>
      </c>
      <c r="F2000" t="s">
        <v>148</v>
      </c>
      <c r="G2000">
        <v>1</v>
      </c>
      <c r="H2000" s="7">
        <v>252.09</v>
      </c>
      <c r="I2000" t="s">
        <v>19</v>
      </c>
      <c r="J2000" t="s">
        <v>19</v>
      </c>
      <c r="K2000">
        <v>0</v>
      </c>
      <c r="L2000" s="7">
        <f t="shared" si="94"/>
        <v>252.09</v>
      </c>
      <c r="M2000" s="7"/>
      <c r="O2000">
        <f t="shared" si="95"/>
        <v>2</v>
      </c>
      <c r="Q2000" t="s">
        <v>19</v>
      </c>
    </row>
    <row r="2001" spans="1:17" x14ac:dyDescent="0.3">
      <c r="A2001" t="s">
        <v>3029</v>
      </c>
      <c r="B2001" s="6">
        <v>45176</v>
      </c>
      <c r="C2001" s="6" t="str">
        <f t="shared" si="93"/>
        <v>Sep</v>
      </c>
      <c r="D2001" t="s">
        <v>785</v>
      </c>
      <c r="E2001" t="s">
        <v>31</v>
      </c>
      <c r="F2001" t="s">
        <v>909</v>
      </c>
      <c r="G2001">
        <v>3</v>
      </c>
      <c r="H2001" s="7">
        <v>302.3</v>
      </c>
      <c r="I2001" t="s">
        <v>103</v>
      </c>
      <c r="J2001" t="s">
        <v>19</v>
      </c>
      <c r="K2001">
        <v>20</v>
      </c>
      <c r="L2001" s="7">
        <f t="shared" si="94"/>
        <v>906.90000000000009</v>
      </c>
      <c r="M2001" s="7"/>
      <c r="O2001">
        <f t="shared" si="95"/>
        <v>2</v>
      </c>
      <c r="Q2001" t="s">
        <v>104</v>
      </c>
    </row>
    <row r="2002" spans="1:17" x14ac:dyDescent="0.3">
      <c r="A2002" t="s">
        <v>3030</v>
      </c>
      <c r="B2002" s="6">
        <v>45072</v>
      </c>
      <c r="C2002" s="6" t="str">
        <f t="shared" si="93"/>
        <v>May</v>
      </c>
      <c r="D2002" t="s">
        <v>560</v>
      </c>
      <c r="E2002" t="s">
        <v>36</v>
      </c>
      <c r="F2002" t="s">
        <v>110</v>
      </c>
      <c r="G2002">
        <v>1</v>
      </c>
      <c r="H2002" s="7">
        <v>35.93</v>
      </c>
      <c r="I2002" t="s">
        <v>103</v>
      </c>
      <c r="J2002" t="s">
        <v>87</v>
      </c>
      <c r="K2002">
        <v>5</v>
      </c>
      <c r="L2002" s="7">
        <f t="shared" si="94"/>
        <v>35.93</v>
      </c>
      <c r="M2002" s="7"/>
      <c r="O2002">
        <f t="shared" si="95"/>
        <v>2</v>
      </c>
      <c r="Q2002" t="s">
        <v>104</v>
      </c>
    </row>
    <row r="2003" spans="1:17" x14ac:dyDescent="0.3">
      <c r="A2003" t="s">
        <v>3031</v>
      </c>
      <c r="B2003" s="6">
        <v>45120</v>
      </c>
      <c r="C2003" s="6" t="str">
        <f t="shared" si="93"/>
        <v>Jul</v>
      </c>
      <c r="D2003" t="s">
        <v>425</v>
      </c>
      <c r="E2003" t="s">
        <v>36</v>
      </c>
      <c r="F2003" t="s">
        <v>1302</v>
      </c>
      <c r="G2003">
        <v>5</v>
      </c>
      <c r="H2003" s="7">
        <v>362.01</v>
      </c>
      <c r="I2003" t="s">
        <v>19</v>
      </c>
      <c r="J2003" t="s">
        <v>72</v>
      </c>
      <c r="K2003">
        <v>0</v>
      </c>
      <c r="L2003" s="7">
        <f t="shared" si="94"/>
        <v>1810.05</v>
      </c>
      <c r="M2003" s="7"/>
      <c r="O2003">
        <f t="shared" si="95"/>
        <v>2</v>
      </c>
      <c r="Q2003" t="s">
        <v>19</v>
      </c>
    </row>
    <row r="2004" spans="1:17" x14ac:dyDescent="0.3">
      <c r="A2004" t="s">
        <v>3032</v>
      </c>
      <c r="B2004" s="6">
        <v>44976</v>
      </c>
      <c r="C2004" s="6" t="str">
        <f t="shared" si="93"/>
        <v>Feb</v>
      </c>
      <c r="D2004" t="s">
        <v>3033</v>
      </c>
      <c r="E2004" t="s">
        <v>19</v>
      </c>
      <c r="F2004" t="s">
        <v>1206</v>
      </c>
      <c r="G2004">
        <v>4</v>
      </c>
      <c r="H2004" s="7">
        <v>119.05</v>
      </c>
      <c r="I2004" t="s">
        <v>21</v>
      </c>
      <c r="J2004" t="s">
        <v>87</v>
      </c>
      <c r="K2004">
        <v>5</v>
      </c>
      <c r="L2004" s="7">
        <f t="shared" si="94"/>
        <v>476.2</v>
      </c>
      <c r="M2004" s="7"/>
      <c r="O2004">
        <f t="shared" si="95"/>
        <v>2</v>
      </c>
      <c r="Q2004" t="s">
        <v>23</v>
      </c>
    </row>
    <row r="2005" spans="1:17" x14ac:dyDescent="0.3">
      <c r="A2005" t="s">
        <v>3034</v>
      </c>
      <c r="B2005" s="6">
        <v>45074</v>
      </c>
      <c r="C2005" s="6" t="str">
        <f t="shared" si="93"/>
        <v>May</v>
      </c>
      <c r="D2005" t="s">
        <v>760</v>
      </c>
      <c r="E2005" t="s">
        <v>36</v>
      </c>
      <c r="F2005" t="s">
        <v>432</v>
      </c>
      <c r="G2005">
        <v>7</v>
      </c>
      <c r="H2005" s="7">
        <v>344.17</v>
      </c>
      <c r="I2005" t="s">
        <v>103</v>
      </c>
      <c r="J2005" t="s">
        <v>28</v>
      </c>
      <c r="K2005">
        <v>10</v>
      </c>
      <c r="L2005" s="7">
        <f t="shared" si="94"/>
        <v>2409.19</v>
      </c>
      <c r="M2005" s="7"/>
      <c r="O2005">
        <f t="shared" si="95"/>
        <v>2</v>
      </c>
      <c r="Q2005" t="s">
        <v>104</v>
      </c>
    </row>
    <row r="2006" spans="1:17" x14ac:dyDescent="0.3">
      <c r="A2006" t="s">
        <v>3035</v>
      </c>
      <c r="B2006" s="6">
        <v>44934</v>
      </c>
      <c r="C2006" s="6" t="str">
        <f t="shared" si="93"/>
        <v>Jan</v>
      </c>
      <c r="D2006" t="s">
        <v>3036</v>
      </c>
      <c r="E2006" t="s">
        <v>31</v>
      </c>
      <c r="F2006" t="s">
        <v>436</v>
      </c>
      <c r="G2006">
        <v>5</v>
      </c>
      <c r="H2006" s="7">
        <v>491.04</v>
      </c>
      <c r="I2006" t="s">
        <v>64</v>
      </c>
      <c r="J2006" t="s">
        <v>22</v>
      </c>
      <c r="K2006">
        <v>10</v>
      </c>
      <c r="L2006" s="7">
        <f t="shared" si="94"/>
        <v>2455.2000000000003</v>
      </c>
      <c r="M2006" s="7"/>
      <c r="O2006">
        <f t="shared" si="95"/>
        <v>2</v>
      </c>
      <c r="Q2006" t="s">
        <v>65</v>
      </c>
    </row>
    <row r="2007" spans="1:17" x14ac:dyDescent="0.3">
      <c r="A2007" t="s">
        <v>3037</v>
      </c>
      <c r="B2007" s="6">
        <v>45066</v>
      </c>
      <c r="C2007" s="6" t="str">
        <f t="shared" si="93"/>
        <v>May</v>
      </c>
      <c r="D2007" t="s">
        <v>1877</v>
      </c>
      <c r="E2007" t="s">
        <v>31</v>
      </c>
      <c r="F2007" t="s">
        <v>436</v>
      </c>
      <c r="G2007">
        <v>4</v>
      </c>
      <c r="H2007" s="7">
        <v>347.1</v>
      </c>
      <c r="I2007" t="s">
        <v>64</v>
      </c>
      <c r="J2007" t="s">
        <v>19</v>
      </c>
      <c r="K2007">
        <v>15</v>
      </c>
      <c r="L2007" s="7">
        <f t="shared" si="94"/>
        <v>1388.4</v>
      </c>
      <c r="M2007" s="7"/>
      <c r="O2007">
        <f t="shared" si="95"/>
        <v>2</v>
      </c>
      <c r="Q2007" t="s">
        <v>65</v>
      </c>
    </row>
    <row r="2008" spans="1:17" x14ac:dyDescent="0.3">
      <c r="A2008" t="s">
        <v>3038</v>
      </c>
      <c r="B2008" s="6">
        <v>45273</v>
      </c>
      <c r="C2008" s="6" t="str">
        <f t="shared" si="93"/>
        <v>Dec</v>
      </c>
      <c r="D2008" t="s">
        <v>3039</v>
      </c>
      <c r="E2008" t="s">
        <v>19</v>
      </c>
      <c r="F2008" t="s">
        <v>1142</v>
      </c>
      <c r="G2008">
        <v>2</v>
      </c>
      <c r="H2008" s="7">
        <v>442.18</v>
      </c>
      <c r="I2008" t="s">
        <v>103</v>
      </c>
      <c r="J2008" t="s">
        <v>28</v>
      </c>
      <c r="K2008">
        <v>10</v>
      </c>
      <c r="L2008" s="7">
        <f t="shared" si="94"/>
        <v>884.36</v>
      </c>
      <c r="M2008" s="7"/>
      <c r="O2008">
        <f t="shared" si="95"/>
        <v>2</v>
      </c>
      <c r="Q2008" t="s">
        <v>104</v>
      </c>
    </row>
    <row r="2009" spans="1:17" x14ac:dyDescent="0.3">
      <c r="A2009" t="s">
        <v>3040</v>
      </c>
      <c r="B2009" s="6">
        <v>45138</v>
      </c>
      <c r="C2009" s="6" t="str">
        <f t="shared" si="93"/>
        <v>Jul</v>
      </c>
      <c r="D2009" t="s">
        <v>2076</v>
      </c>
      <c r="E2009" t="s">
        <v>31</v>
      </c>
      <c r="F2009" t="s">
        <v>1618</v>
      </c>
      <c r="G2009">
        <v>4</v>
      </c>
      <c r="H2009" s="7">
        <v>474.36</v>
      </c>
      <c r="I2009" t="s">
        <v>32</v>
      </c>
      <c r="J2009" t="s">
        <v>28</v>
      </c>
      <c r="K2009">
        <v>20</v>
      </c>
      <c r="L2009" s="7">
        <f t="shared" si="94"/>
        <v>1897.44</v>
      </c>
      <c r="M2009" s="7"/>
      <c r="O2009">
        <f t="shared" si="95"/>
        <v>2</v>
      </c>
      <c r="Q2009" t="s">
        <v>33</v>
      </c>
    </row>
    <row r="2010" spans="1:17" x14ac:dyDescent="0.3">
      <c r="A2010" t="s">
        <v>3041</v>
      </c>
      <c r="B2010" s="6">
        <v>45028</v>
      </c>
      <c r="C2010" s="6" t="str">
        <f t="shared" si="93"/>
        <v>Apr</v>
      </c>
      <c r="D2010" t="s">
        <v>574</v>
      </c>
      <c r="E2010" t="s">
        <v>50</v>
      </c>
      <c r="F2010" t="s">
        <v>284</v>
      </c>
      <c r="G2010">
        <v>2</v>
      </c>
      <c r="H2010" s="7">
        <v>245.94</v>
      </c>
      <c r="I2010" t="s">
        <v>32</v>
      </c>
      <c r="J2010" t="s">
        <v>87</v>
      </c>
      <c r="K2010">
        <v>0</v>
      </c>
      <c r="L2010" s="7">
        <f t="shared" si="94"/>
        <v>491.88</v>
      </c>
      <c r="M2010" s="7"/>
      <c r="O2010">
        <f t="shared" si="95"/>
        <v>2</v>
      </c>
      <c r="Q2010" t="s">
        <v>33</v>
      </c>
    </row>
    <row r="2011" spans="1:17" x14ac:dyDescent="0.3">
      <c r="A2011" t="s">
        <v>3042</v>
      </c>
      <c r="B2011" s="6">
        <v>45086</v>
      </c>
      <c r="C2011" s="6" t="str">
        <f t="shared" si="93"/>
        <v>Jun</v>
      </c>
      <c r="D2011" t="s">
        <v>832</v>
      </c>
      <c r="E2011" t="s">
        <v>19</v>
      </c>
      <c r="F2011" t="s">
        <v>1237</v>
      </c>
      <c r="G2011">
        <v>8</v>
      </c>
      <c r="H2011" s="7">
        <v>352.65</v>
      </c>
      <c r="I2011" t="s">
        <v>19</v>
      </c>
      <c r="J2011" t="s">
        <v>22</v>
      </c>
      <c r="K2011">
        <v>10</v>
      </c>
      <c r="L2011" s="7">
        <f t="shared" si="94"/>
        <v>2821.2</v>
      </c>
      <c r="M2011" s="7"/>
      <c r="O2011">
        <f t="shared" si="95"/>
        <v>3</v>
      </c>
      <c r="Q2011" t="s">
        <v>19</v>
      </c>
    </row>
    <row r="2012" spans="1:17" x14ac:dyDescent="0.3">
      <c r="A2012" t="s">
        <v>3043</v>
      </c>
      <c r="B2012" s="6">
        <v>45035</v>
      </c>
      <c r="C2012" s="6" t="str">
        <f t="shared" si="93"/>
        <v>Apr</v>
      </c>
      <c r="D2012" t="s">
        <v>1079</v>
      </c>
      <c r="E2012" t="s">
        <v>19</v>
      </c>
      <c r="F2012" t="s">
        <v>856</v>
      </c>
      <c r="G2012">
        <v>3</v>
      </c>
      <c r="H2012" s="7">
        <v>426.72</v>
      </c>
      <c r="I2012" t="s">
        <v>46</v>
      </c>
      <c r="J2012" t="s">
        <v>72</v>
      </c>
      <c r="K2012">
        <v>5</v>
      </c>
      <c r="L2012" s="7">
        <f t="shared" si="94"/>
        <v>1280.1600000000001</v>
      </c>
      <c r="M2012" s="7"/>
      <c r="O2012">
        <f t="shared" si="95"/>
        <v>2</v>
      </c>
      <c r="Q2012" t="s">
        <v>47</v>
      </c>
    </row>
    <row r="2013" spans="1:17" x14ac:dyDescent="0.3">
      <c r="A2013" t="s">
        <v>3044</v>
      </c>
      <c r="B2013" s="6">
        <v>45287</v>
      </c>
      <c r="C2013" s="6" t="str">
        <f t="shared" si="93"/>
        <v>Dec</v>
      </c>
      <c r="D2013" t="s">
        <v>3045</v>
      </c>
      <c r="E2013" t="s">
        <v>26</v>
      </c>
      <c r="F2013" t="s">
        <v>356</v>
      </c>
      <c r="G2013">
        <v>9</v>
      </c>
      <c r="H2013" s="7">
        <v>181.52</v>
      </c>
      <c r="I2013" t="s">
        <v>19</v>
      </c>
      <c r="J2013" t="s">
        <v>22</v>
      </c>
      <c r="K2013">
        <v>20</v>
      </c>
      <c r="L2013" s="7">
        <f t="shared" si="94"/>
        <v>1633.68</v>
      </c>
      <c r="M2013" s="7"/>
      <c r="O2013">
        <f t="shared" si="95"/>
        <v>2</v>
      </c>
      <c r="Q2013" t="s">
        <v>19</v>
      </c>
    </row>
    <row r="2014" spans="1:17" x14ac:dyDescent="0.3">
      <c r="A2014" t="s">
        <v>3046</v>
      </c>
      <c r="B2014" s="6">
        <v>45022</v>
      </c>
      <c r="C2014" s="6" t="str">
        <f t="shared" si="93"/>
        <v>Apr</v>
      </c>
      <c r="D2014" t="s">
        <v>1886</v>
      </c>
      <c r="E2014" t="s">
        <v>31</v>
      </c>
      <c r="F2014" t="s">
        <v>45</v>
      </c>
      <c r="G2014">
        <v>4</v>
      </c>
      <c r="H2014" s="7">
        <v>134.38999999999999</v>
      </c>
      <c r="I2014" t="s">
        <v>19</v>
      </c>
      <c r="J2014" t="s">
        <v>42</v>
      </c>
      <c r="K2014">
        <v>10</v>
      </c>
      <c r="L2014" s="7">
        <f t="shared" si="94"/>
        <v>537.55999999999995</v>
      </c>
      <c r="M2014" s="7"/>
      <c r="O2014">
        <f t="shared" si="95"/>
        <v>2</v>
      </c>
      <c r="Q2014" t="s">
        <v>19</v>
      </c>
    </row>
    <row r="2015" spans="1:17" x14ac:dyDescent="0.3">
      <c r="A2015" t="s">
        <v>3047</v>
      </c>
      <c r="B2015" s="6">
        <v>45282</v>
      </c>
      <c r="C2015" s="6" t="str">
        <f t="shared" si="93"/>
        <v>Dec</v>
      </c>
      <c r="D2015" t="s">
        <v>1430</v>
      </c>
      <c r="E2015" t="s">
        <v>62</v>
      </c>
      <c r="F2015" t="s">
        <v>51</v>
      </c>
      <c r="G2015">
        <v>6</v>
      </c>
      <c r="H2015" s="7">
        <v>473.57</v>
      </c>
      <c r="I2015" t="s">
        <v>21</v>
      </c>
      <c r="J2015" t="s">
        <v>42</v>
      </c>
      <c r="K2015">
        <v>10</v>
      </c>
      <c r="L2015" s="7">
        <f t="shared" si="94"/>
        <v>2841.42</v>
      </c>
      <c r="M2015" s="7"/>
      <c r="O2015">
        <f t="shared" si="95"/>
        <v>3</v>
      </c>
      <c r="Q2015" t="s">
        <v>23</v>
      </c>
    </row>
    <row r="2016" spans="1:17" x14ac:dyDescent="0.3">
      <c r="A2016" t="s">
        <v>3048</v>
      </c>
      <c r="B2016" s="6">
        <v>44982</v>
      </c>
      <c r="C2016" s="6" t="str">
        <f t="shared" si="93"/>
        <v>Feb</v>
      </c>
      <c r="D2016" t="s">
        <v>3049</v>
      </c>
      <c r="E2016" t="s">
        <v>40</v>
      </c>
      <c r="F2016" t="s">
        <v>1142</v>
      </c>
      <c r="G2016">
        <v>5</v>
      </c>
      <c r="H2016" s="7">
        <v>364.52</v>
      </c>
      <c r="I2016" t="s">
        <v>32</v>
      </c>
      <c r="J2016" t="s">
        <v>87</v>
      </c>
      <c r="K2016">
        <v>5</v>
      </c>
      <c r="L2016" s="7">
        <f t="shared" si="94"/>
        <v>1822.6</v>
      </c>
      <c r="M2016" s="7"/>
      <c r="O2016">
        <f t="shared" si="95"/>
        <v>2</v>
      </c>
      <c r="Q2016" t="s">
        <v>33</v>
      </c>
    </row>
    <row r="2017" spans="1:17" x14ac:dyDescent="0.3">
      <c r="A2017" t="s">
        <v>3050</v>
      </c>
      <c r="B2017" s="6">
        <v>45085</v>
      </c>
      <c r="C2017" s="6" t="str">
        <f t="shared" si="93"/>
        <v>Jun</v>
      </c>
      <c r="D2017" t="s">
        <v>1662</v>
      </c>
      <c r="E2017" t="s">
        <v>36</v>
      </c>
      <c r="F2017" t="s">
        <v>469</v>
      </c>
      <c r="G2017">
        <v>1</v>
      </c>
      <c r="H2017" s="7">
        <v>113.74</v>
      </c>
      <c r="I2017" t="s">
        <v>19</v>
      </c>
      <c r="J2017" t="s">
        <v>19</v>
      </c>
      <c r="K2017">
        <v>5</v>
      </c>
      <c r="L2017" s="7">
        <f t="shared" si="94"/>
        <v>113.74</v>
      </c>
      <c r="M2017" s="7"/>
      <c r="O2017">
        <f t="shared" si="95"/>
        <v>2</v>
      </c>
      <c r="Q2017" t="s">
        <v>19</v>
      </c>
    </row>
    <row r="2018" spans="1:17" x14ac:dyDescent="0.3">
      <c r="A2018" t="s">
        <v>3051</v>
      </c>
      <c r="B2018" s="6">
        <v>45276</v>
      </c>
      <c r="C2018" s="6" t="str">
        <f t="shared" si="93"/>
        <v>Dec</v>
      </c>
      <c r="D2018" t="s">
        <v>262</v>
      </c>
      <c r="E2018" t="s">
        <v>19</v>
      </c>
      <c r="F2018" t="s">
        <v>708</v>
      </c>
      <c r="G2018">
        <v>9</v>
      </c>
      <c r="H2018" s="7">
        <v>227.3</v>
      </c>
      <c r="I2018" t="s">
        <v>21</v>
      </c>
      <c r="J2018" t="s">
        <v>22</v>
      </c>
      <c r="K2018">
        <v>15</v>
      </c>
      <c r="L2018" s="7">
        <f t="shared" si="94"/>
        <v>2045.7</v>
      </c>
      <c r="M2018" s="7"/>
      <c r="O2018">
        <f t="shared" si="95"/>
        <v>2</v>
      </c>
      <c r="Q2018" t="s">
        <v>23</v>
      </c>
    </row>
    <row r="2019" spans="1:17" x14ac:dyDescent="0.3">
      <c r="A2019" t="s">
        <v>3052</v>
      </c>
      <c r="B2019" s="6">
        <v>45240</v>
      </c>
      <c r="C2019" s="6" t="str">
        <f t="shared" si="93"/>
        <v>Nov</v>
      </c>
      <c r="D2019" t="s">
        <v>1662</v>
      </c>
      <c r="E2019" t="s">
        <v>26</v>
      </c>
      <c r="F2019" t="s">
        <v>139</v>
      </c>
      <c r="G2019">
        <v>1</v>
      </c>
      <c r="H2019" s="7">
        <v>399.24</v>
      </c>
      <c r="I2019" t="s">
        <v>103</v>
      </c>
      <c r="J2019" t="s">
        <v>28</v>
      </c>
      <c r="K2019">
        <v>10</v>
      </c>
      <c r="L2019" s="7">
        <f t="shared" si="94"/>
        <v>399.24</v>
      </c>
      <c r="M2019" s="7"/>
      <c r="O2019">
        <f t="shared" si="95"/>
        <v>2</v>
      </c>
      <c r="Q2019" t="s">
        <v>104</v>
      </c>
    </row>
    <row r="2020" spans="1:17" x14ac:dyDescent="0.3">
      <c r="A2020" t="s">
        <v>3053</v>
      </c>
      <c r="B2020" s="6">
        <v>44952</v>
      </c>
      <c r="C2020" s="6" t="str">
        <f t="shared" si="93"/>
        <v>Jan</v>
      </c>
      <c r="D2020" t="s">
        <v>2817</v>
      </c>
      <c r="E2020" t="s">
        <v>19</v>
      </c>
      <c r="F2020" t="s">
        <v>37</v>
      </c>
      <c r="G2020">
        <v>8</v>
      </c>
      <c r="H2020" s="7">
        <v>275.8</v>
      </c>
      <c r="I2020" t="s">
        <v>21</v>
      </c>
      <c r="J2020" t="s">
        <v>28</v>
      </c>
      <c r="K2020">
        <v>15</v>
      </c>
      <c r="L2020" s="7">
        <f t="shared" si="94"/>
        <v>2206.4</v>
      </c>
      <c r="M2020" s="7"/>
      <c r="O2020">
        <f t="shared" si="95"/>
        <v>2</v>
      </c>
      <c r="Q2020" t="s">
        <v>23</v>
      </c>
    </row>
    <row r="2021" spans="1:17" x14ac:dyDescent="0.3">
      <c r="A2021" t="s">
        <v>3054</v>
      </c>
      <c r="B2021" s="6">
        <v>45238</v>
      </c>
      <c r="C2021" s="6" t="str">
        <f t="shared" si="93"/>
        <v>Nov</v>
      </c>
      <c r="D2021" t="s">
        <v>935</v>
      </c>
      <c r="E2021" t="s">
        <v>19</v>
      </c>
      <c r="F2021" t="s">
        <v>1325</v>
      </c>
      <c r="G2021">
        <v>9</v>
      </c>
      <c r="H2021" s="7">
        <v>326.73</v>
      </c>
      <c r="I2021" t="s">
        <v>21</v>
      </c>
      <c r="J2021" t="s">
        <v>28</v>
      </c>
      <c r="K2021">
        <v>10</v>
      </c>
      <c r="L2021" s="7">
        <f t="shared" si="94"/>
        <v>2940.57</v>
      </c>
      <c r="M2021" s="7"/>
      <c r="O2021">
        <f t="shared" si="95"/>
        <v>3</v>
      </c>
      <c r="Q2021" t="s">
        <v>23</v>
      </c>
    </row>
    <row r="2022" spans="1:17" x14ac:dyDescent="0.3">
      <c r="A2022" t="s">
        <v>3055</v>
      </c>
      <c r="B2022" s="6">
        <v>45000</v>
      </c>
      <c r="C2022" s="6" t="str">
        <f t="shared" si="93"/>
        <v>Mar</v>
      </c>
      <c r="D2022" t="s">
        <v>2158</v>
      </c>
      <c r="E2022" t="s">
        <v>31</v>
      </c>
      <c r="F2022" t="s">
        <v>432</v>
      </c>
      <c r="G2022">
        <v>9</v>
      </c>
      <c r="H2022" s="7">
        <v>378.12</v>
      </c>
      <c r="I2022" t="s">
        <v>103</v>
      </c>
      <c r="J2022" t="s">
        <v>28</v>
      </c>
      <c r="K2022">
        <v>10</v>
      </c>
      <c r="L2022" s="7">
        <f t="shared" si="94"/>
        <v>3403.08</v>
      </c>
      <c r="M2022" s="7"/>
      <c r="O2022">
        <f t="shared" si="95"/>
        <v>4</v>
      </c>
      <c r="Q2022" t="s">
        <v>104</v>
      </c>
    </row>
    <row r="2023" spans="1:17" x14ac:dyDescent="0.3">
      <c r="A2023" t="s">
        <v>3056</v>
      </c>
      <c r="B2023" s="6">
        <v>44980</v>
      </c>
      <c r="C2023" s="6" t="str">
        <f t="shared" si="93"/>
        <v>Feb</v>
      </c>
      <c r="D2023" t="s">
        <v>3057</v>
      </c>
      <c r="E2023" t="s">
        <v>19</v>
      </c>
      <c r="F2023" t="s">
        <v>359</v>
      </c>
      <c r="G2023">
        <v>1</v>
      </c>
      <c r="H2023" s="7">
        <v>312.89</v>
      </c>
      <c r="I2023" t="s">
        <v>64</v>
      </c>
      <c r="J2023" t="s">
        <v>19</v>
      </c>
      <c r="K2023">
        <v>5</v>
      </c>
      <c r="L2023" s="7">
        <f t="shared" si="94"/>
        <v>312.89</v>
      </c>
      <c r="M2023" s="7"/>
      <c r="O2023">
        <f t="shared" si="95"/>
        <v>2</v>
      </c>
      <c r="Q2023" t="s">
        <v>65</v>
      </c>
    </row>
    <row r="2024" spans="1:17" x14ac:dyDescent="0.3">
      <c r="A2024" t="s">
        <v>3058</v>
      </c>
      <c r="B2024" s="6">
        <v>45233</v>
      </c>
      <c r="C2024" s="6" t="str">
        <f t="shared" si="93"/>
        <v>Nov</v>
      </c>
      <c r="D2024" t="s">
        <v>3059</v>
      </c>
      <c r="E2024" t="s">
        <v>62</v>
      </c>
      <c r="F2024" t="s">
        <v>511</v>
      </c>
      <c r="G2024">
        <v>2</v>
      </c>
      <c r="H2024" s="7">
        <v>272.33999999999997</v>
      </c>
      <c r="I2024" t="s">
        <v>64</v>
      </c>
      <c r="J2024" t="s">
        <v>87</v>
      </c>
      <c r="K2024">
        <v>15</v>
      </c>
      <c r="L2024" s="7">
        <f t="shared" si="94"/>
        <v>544.67999999999995</v>
      </c>
      <c r="M2024" s="7"/>
      <c r="O2024">
        <f t="shared" si="95"/>
        <v>2</v>
      </c>
      <c r="Q2024" t="s">
        <v>65</v>
      </c>
    </row>
    <row r="2025" spans="1:17" x14ac:dyDescent="0.3">
      <c r="A2025" t="s">
        <v>3060</v>
      </c>
      <c r="B2025" s="6">
        <v>45056</v>
      </c>
      <c r="C2025" s="6" t="str">
        <f t="shared" si="93"/>
        <v>May</v>
      </c>
      <c r="D2025" t="s">
        <v>1464</v>
      </c>
      <c r="E2025" t="s">
        <v>19</v>
      </c>
      <c r="F2025" t="s">
        <v>932</v>
      </c>
      <c r="G2025">
        <v>1</v>
      </c>
      <c r="H2025" s="7">
        <v>376.06</v>
      </c>
      <c r="I2025" t="s">
        <v>21</v>
      </c>
      <c r="J2025" t="s">
        <v>22</v>
      </c>
      <c r="K2025">
        <v>20</v>
      </c>
      <c r="L2025" s="7">
        <f t="shared" si="94"/>
        <v>376.06</v>
      </c>
      <c r="M2025" s="7"/>
      <c r="O2025">
        <f t="shared" si="95"/>
        <v>2</v>
      </c>
      <c r="Q2025" t="s">
        <v>23</v>
      </c>
    </row>
    <row r="2026" spans="1:17" x14ac:dyDescent="0.3">
      <c r="A2026" t="s">
        <v>3061</v>
      </c>
      <c r="B2026" s="6">
        <v>45249</v>
      </c>
      <c r="C2026" s="6" t="str">
        <f t="shared" si="93"/>
        <v>Nov</v>
      </c>
      <c r="D2026" t="s">
        <v>1011</v>
      </c>
      <c r="E2026" t="s">
        <v>26</v>
      </c>
      <c r="F2026" t="s">
        <v>944</v>
      </c>
      <c r="G2026">
        <v>2</v>
      </c>
      <c r="H2026" s="7">
        <v>365.14</v>
      </c>
      <c r="I2026" t="s">
        <v>32</v>
      </c>
      <c r="J2026" t="s">
        <v>42</v>
      </c>
      <c r="K2026">
        <v>10</v>
      </c>
      <c r="L2026" s="7">
        <f t="shared" si="94"/>
        <v>730.28</v>
      </c>
      <c r="M2026" s="7"/>
      <c r="O2026">
        <f t="shared" si="95"/>
        <v>2</v>
      </c>
      <c r="Q2026" t="s">
        <v>33</v>
      </c>
    </row>
    <row r="2027" spans="1:17" x14ac:dyDescent="0.3">
      <c r="A2027" t="s">
        <v>3062</v>
      </c>
      <c r="B2027" s="6">
        <v>45221</v>
      </c>
      <c r="C2027" s="6" t="str">
        <f t="shared" si="93"/>
        <v>Oct</v>
      </c>
      <c r="D2027" t="s">
        <v>1993</v>
      </c>
      <c r="E2027" t="s">
        <v>19</v>
      </c>
      <c r="F2027" t="s">
        <v>190</v>
      </c>
      <c r="G2027">
        <v>8</v>
      </c>
      <c r="H2027" s="7">
        <v>316.79000000000002</v>
      </c>
      <c r="I2027" t="s">
        <v>21</v>
      </c>
      <c r="J2027" t="s">
        <v>87</v>
      </c>
      <c r="K2027">
        <v>5</v>
      </c>
      <c r="L2027" s="7">
        <f t="shared" si="94"/>
        <v>2534.3200000000002</v>
      </c>
      <c r="M2027" s="7"/>
      <c r="O2027">
        <f t="shared" si="95"/>
        <v>3</v>
      </c>
      <c r="Q2027" t="s">
        <v>23</v>
      </c>
    </row>
    <row r="2028" spans="1:17" x14ac:dyDescent="0.3">
      <c r="A2028" t="s">
        <v>3063</v>
      </c>
      <c r="B2028" s="6">
        <v>45243</v>
      </c>
      <c r="C2028" s="6" t="str">
        <f t="shared" si="93"/>
        <v>Nov</v>
      </c>
      <c r="D2028" t="s">
        <v>1386</v>
      </c>
      <c r="E2028" t="s">
        <v>31</v>
      </c>
      <c r="F2028" t="s">
        <v>107</v>
      </c>
      <c r="G2028">
        <v>5</v>
      </c>
      <c r="H2028" s="7">
        <v>183.1</v>
      </c>
      <c r="I2028" t="s">
        <v>19</v>
      </c>
      <c r="J2028" t="s">
        <v>42</v>
      </c>
      <c r="K2028">
        <v>0</v>
      </c>
      <c r="L2028" s="7">
        <f t="shared" si="94"/>
        <v>915.5</v>
      </c>
      <c r="M2028" s="7"/>
      <c r="O2028">
        <f t="shared" si="95"/>
        <v>2</v>
      </c>
      <c r="Q2028" t="s">
        <v>19</v>
      </c>
    </row>
    <row r="2029" spans="1:17" x14ac:dyDescent="0.3">
      <c r="A2029" t="s">
        <v>3064</v>
      </c>
      <c r="B2029" s="6">
        <v>45130</v>
      </c>
      <c r="C2029" s="6" t="str">
        <f t="shared" si="93"/>
        <v>Jul</v>
      </c>
      <c r="D2029" t="s">
        <v>210</v>
      </c>
      <c r="E2029" t="s">
        <v>19</v>
      </c>
      <c r="F2029" t="s">
        <v>504</v>
      </c>
      <c r="G2029">
        <v>7</v>
      </c>
      <c r="H2029" s="7">
        <v>205.88</v>
      </c>
      <c r="I2029" t="s">
        <v>32</v>
      </c>
      <c r="J2029" t="s">
        <v>22</v>
      </c>
      <c r="K2029">
        <v>10</v>
      </c>
      <c r="L2029" s="7">
        <f t="shared" si="94"/>
        <v>1441.1599999999999</v>
      </c>
      <c r="M2029" s="7"/>
      <c r="O2029">
        <f t="shared" si="95"/>
        <v>2</v>
      </c>
      <c r="Q2029" t="s">
        <v>33</v>
      </c>
    </row>
    <row r="2030" spans="1:17" x14ac:dyDescent="0.3">
      <c r="A2030" t="s">
        <v>3065</v>
      </c>
      <c r="B2030" s="6">
        <v>45038</v>
      </c>
      <c r="C2030" s="6" t="str">
        <f t="shared" si="93"/>
        <v>Apr</v>
      </c>
      <c r="D2030" t="s">
        <v>3057</v>
      </c>
      <c r="E2030" t="s">
        <v>26</v>
      </c>
      <c r="F2030" t="s">
        <v>222</v>
      </c>
      <c r="G2030">
        <v>2</v>
      </c>
      <c r="H2030" s="7">
        <v>485.37</v>
      </c>
      <c r="I2030" t="s">
        <v>64</v>
      </c>
      <c r="J2030" t="s">
        <v>87</v>
      </c>
      <c r="K2030">
        <v>10</v>
      </c>
      <c r="L2030" s="7">
        <f t="shared" si="94"/>
        <v>970.74</v>
      </c>
      <c r="M2030" s="7"/>
      <c r="O2030">
        <f t="shared" si="95"/>
        <v>2</v>
      </c>
      <c r="Q2030" t="s">
        <v>65</v>
      </c>
    </row>
    <row r="2031" spans="1:17" x14ac:dyDescent="0.3">
      <c r="A2031" t="s">
        <v>3066</v>
      </c>
      <c r="B2031" s="6">
        <v>45246</v>
      </c>
      <c r="C2031" s="6" t="str">
        <f t="shared" si="93"/>
        <v>Nov</v>
      </c>
      <c r="D2031" t="s">
        <v>96</v>
      </c>
      <c r="E2031" t="s">
        <v>62</v>
      </c>
      <c r="F2031" t="s">
        <v>1325</v>
      </c>
      <c r="G2031">
        <v>8</v>
      </c>
      <c r="H2031" s="7">
        <v>60.63</v>
      </c>
      <c r="I2031" t="s">
        <v>64</v>
      </c>
      <c r="J2031" t="s">
        <v>72</v>
      </c>
      <c r="K2031">
        <v>10</v>
      </c>
      <c r="L2031" s="7">
        <f t="shared" si="94"/>
        <v>485.04</v>
      </c>
      <c r="M2031" s="7"/>
      <c r="O2031">
        <f t="shared" si="95"/>
        <v>2</v>
      </c>
      <c r="Q2031" t="s">
        <v>65</v>
      </c>
    </row>
    <row r="2032" spans="1:17" x14ac:dyDescent="0.3">
      <c r="A2032" t="s">
        <v>3067</v>
      </c>
      <c r="B2032" s="6">
        <v>45165</v>
      </c>
      <c r="C2032" s="6" t="str">
        <f t="shared" si="93"/>
        <v>Aug</v>
      </c>
      <c r="D2032" t="s">
        <v>2671</v>
      </c>
      <c r="E2032" t="s">
        <v>19</v>
      </c>
      <c r="F2032" t="s">
        <v>480</v>
      </c>
      <c r="G2032">
        <v>6</v>
      </c>
      <c r="H2032" s="7">
        <v>137.91</v>
      </c>
      <c r="I2032" t="s">
        <v>21</v>
      </c>
      <c r="J2032" t="s">
        <v>28</v>
      </c>
      <c r="K2032">
        <v>20</v>
      </c>
      <c r="L2032" s="7">
        <f t="shared" si="94"/>
        <v>827.46</v>
      </c>
      <c r="M2032" s="7"/>
      <c r="O2032">
        <f t="shared" si="95"/>
        <v>2</v>
      </c>
      <c r="Q2032" t="s">
        <v>23</v>
      </c>
    </row>
    <row r="2033" spans="1:17" x14ac:dyDescent="0.3">
      <c r="A2033" t="s">
        <v>3068</v>
      </c>
      <c r="B2033" s="6">
        <v>45258</v>
      </c>
      <c r="C2033" s="6" t="str">
        <f t="shared" si="93"/>
        <v>Nov</v>
      </c>
      <c r="D2033" t="s">
        <v>377</v>
      </c>
      <c r="E2033" t="s">
        <v>62</v>
      </c>
      <c r="F2033" t="s">
        <v>90</v>
      </c>
      <c r="G2033">
        <v>8</v>
      </c>
      <c r="H2033" s="7">
        <v>248.74</v>
      </c>
      <c r="I2033" t="s">
        <v>46</v>
      </c>
      <c r="J2033" t="s">
        <v>22</v>
      </c>
      <c r="K2033">
        <v>10</v>
      </c>
      <c r="L2033" s="7">
        <f t="shared" si="94"/>
        <v>1989.92</v>
      </c>
      <c r="M2033" s="7"/>
      <c r="O2033">
        <f t="shared" si="95"/>
        <v>2</v>
      </c>
      <c r="Q2033" t="s">
        <v>47</v>
      </c>
    </row>
    <row r="2034" spans="1:17" x14ac:dyDescent="0.3">
      <c r="A2034" t="s">
        <v>3069</v>
      </c>
      <c r="B2034" s="6">
        <v>45164</v>
      </c>
      <c r="C2034" s="6" t="str">
        <f t="shared" si="93"/>
        <v>Aug</v>
      </c>
      <c r="D2034" t="s">
        <v>92</v>
      </c>
      <c r="E2034" t="s">
        <v>26</v>
      </c>
      <c r="F2034" t="s">
        <v>270</v>
      </c>
      <c r="G2034">
        <v>1</v>
      </c>
      <c r="H2034" s="7">
        <v>419.18</v>
      </c>
      <c r="I2034" t="s">
        <v>21</v>
      </c>
      <c r="J2034" t="s">
        <v>87</v>
      </c>
      <c r="K2034">
        <v>10</v>
      </c>
      <c r="L2034" s="7">
        <f t="shared" si="94"/>
        <v>419.18</v>
      </c>
      <c r="M2034" s="7"/>
      <c r="O2034">
        <f t="shared" si="95"/>
        <v>2</v>
      </c>
      <c r="Q2034" t="s">
        <v>23</v>
      </c>
    </row>
    <row r="2035" spans="1:17" x14ac:dyDescent="0.3">
      <c r="A2035" t="s">
        <v>3070</v>
      </c>
      <c r="B2035" s="6">
        <v>45063</v>
      </c>
      <c r="C2035" s="6" t="str">
        <f t="shared" si="93"/>
        <v>May</v>
      </c>
      <c r="D2035" t="s">
        <v>1163</v>
      </c>
      <c r="E2035" t="s">
        <v>36</v>
      </c>
      <c r="F2035" t="s">
        <v>237</v>
      </c>
      <c r="G2035">
        <v>1</v>
      </c>
      <c r="H2035" s="7">
        <v>86.02</v>
      </c>
      <c r="I2035" t="s">
        <v>46</v>
      </c>
      <c r="J2035" t="s">
        <v>72</v>
      </c>
      <c r="K2035">
        <v>10</v>
      </c>
      <c r="L2035" s="7">
        <f t="shared" si="94"/>
        <v>86.02</v>
      </c>
      <c r="M2035" s="7"/>
      <c r="O2035">
        <f t="shared" si="95"/>
        <v>2</v>
      </c>
      <c r="Q2035" t="s">
        <v>47</v>
      </c>
    </row>
    <row r="2036" spans="1:17" x14ac:dyDescent="0.3">
      <c r="A2036" t="s">
        <v>3071</v>
      </c>
      <c r="B2036" s="6">
        <v>45074</v>
      </c>
      <c r="C2036" s="6" t="str">
        <f t="shared" si="93"/>
        <v>May</v>
      </c>
      <c r="D2036" t="s">
        <v>391</v>
      </c>
      <c r="E2036" t="s">
        <v>62</v>
      </c>
      <c r="F2036" t="s">
        <v>389</v>
      </c>
      <c r="G2036">
        <v>7</v>
      </c>
      <c r="H2036" s="7">
        <v>142.09</v>
      </c>
      <c r="I2036" t="s">
        <v>46</v>
      </c>
      <c r="J2036" t="s">
        <v>22</v>
      </c>
      <c r="K2036">
        <v>20</v>
      </c>
      <c r="L2036" s="7">
        <f t="shared" si="94"/>
        <v>994.63</v>
      </c>
      <c r="M2036" s="7"/>
      <c r="O2036">
        <f t="shared" si="95"/>
        <v>2</v>
      </c>
      <c r="Q2036" t="s">
        <v>47</v>
      </c>
    </row>
    <row r="2037" spans="1:17" x14ac:dyDescent="0.3">
      <c r="A2037" t="s">
        <v>3072</v>
      </c>
      <c r="B2037" s="6">
        <v>45000</v>
      </c>
      <c r="C2037" s="6" t="str">
        <f t="shared" si="93"/>
        <v>Mar</v>
      </c>
      <c r="D2037" t="s">
        <v>1812</v>
      </c>
      <c r="E2037" t="s">
        <v>40</v>
      </c>
      <c r="F2037" t="s">
        <v>415</v>
      </c>
      <c r="G2037">
        <v>8</v>
      </c>
      <c r="H2037" s="7">
        <v>37.57</v>
      </c>
      <c r="I2037" t="s">
        <v>103</v>
      </c>
      <c r="J2037" t="s">
        <v>87</v>
      </c>
      <c r="K2037">
        <v>20</v>
      </c>
      <c r="L2037" s="7">
        <f t="shared" si="94"/>
        <v>300.56</v>
      </c>
      <c r="M2037" s="7"/>
      <c r="O2037">
        <f t="shared" si="95"/>
        <v>2</v>
      </c>
      <c r="Q2037" t="s">
        <v>104</v>
      </c>
    </row>
    <row r="2038" spans="1:17" x14ac:dyDescent="0.3">
      <c r="A2038" t="s">
        <v>3073</v>
      </c>
      <c r="B2038" s="6">
        <v>44954</v>
      </c>
      <c r="C2038" s="6" t="str">
        <f t="shared" si="93"/>
        <v>Jan</v>
      </c>
      <c r="D2038" t="s">
        <v>667</v>
      </c>
      <c r="E2038" t="s">
        <v>62</v>
      </c>
      <c r="F2038" t="s">
        <v>436</v>
      </c>
      <c r="G2038">
        <v>3</v>
      </c>
      <c r="H2038" s="7">
        <v>354.46</v>
      </c>
      <c r="I2038" t="s">
        <v>103</v>
      </c>
      <c r="J2038" t="s">
        <v>28</v>
      </c>
      <c r="K2038">
        <v>15</v>
      </c>
      <c r="L2038" s="7">
        <f t="shared" si="94"/>
        <v>1063.3799999999999</v>
      </c>
      <c r="M2038" s="7"/>
      <c r="O2038">
        <f t="shared" si="95"/>
        <v>2</v>
      </c>
      <c r="Q2038" t="s">
        <v>104</v>
      </c>
    </row>
    <row r="2039" spans="1:17" x14ac:dyDescent="0.3">
      <c r="A2039" t="s">
        <v>3074</v>
      </c>
      <c r="B2039" s="6">
        <v>44953</v>
      </c>
      <c r="C2039" s="6" t="str">
        <f t="shared" si="93"/>
        <v>Jan</v>
      </c>
      <c r="D2039" t="s">
        <v>1342</v>
      </c>
      <c r="E2039" t="s">
        <v>50</v>
      </c>
      <c r="F2039" t="s">
        <v>480</v>
      </c>
      <c r="G2039">
        <v>5</v>
      </c>
      <c r="H2039" s="7">
        <v>122.91</v>
      </c>
      <c r="I2039" t="s">
        <v>64</v>
      </c>
      <c r="J2039" t="s">
        <v>72</v>
      </c>
      <c r="K2039">
        <v>5</v>
      </c>
      <c r="L2039" s="7">
        <f t="shared" si="94"/>
        <v>614.54999999999995</v>
      </c>
      <c r="M2039" s="7"/>
      <c r="O2039">
        <f t="shared" si="95"/>
        <v>2</v>
      </c>
      <c r="Q2039" t="s">
        <v>65</v>
      </c>
    </row>
    <row r="2040" spans="1:17" x14ac:dyDescent="0.3">
      <c r="A2040" t="s">
        <v>3075</v>
      </c>
      <c r="B2040" s="6">
        <v>45224</v>
      </c>
      <c r="C2040" s="6" t="str">
        <f t="shared" si="93"/>
        <v>Oct</v>
      </c>
      <c r="D2040" t="s">
        <v>1410</v>
      </c>
      <c r="E2040" t="s">
        <v>26</v>
      </c>
      <c r="F2040" t="s">
        <v>325</v>
      </c>
      <c r="G2040">
        <v>1</v>
      </c>
      <c r="H2040" s="7">
        <v>197.39</v>
      </c>
      <c r="I2040" t="s">
        <v>103</v>
      </c>
      <c r="J2040" t="s">
        <v>72</v>
      </c>
      <c r="K2040">
        <v>5</v>
      </c>
      <c r="L2040" s="7">
        <f t="shared" si="94"/>
        <v>197.39</v>
      </c>
      <c r="M2040" s="7"/>
      <c r="O2040">
        <f t="shared" si="95"/>
        <v>2</v>
      </c>
      <c r="Q2040" t="s">
        <v>104</v>
      </c>
    </row>
    <row r="2041" spans="1:17" x14ac:dyDescent="0.3">
      <c r="A2041" t="s">
        <v>3076</v>
      </c>
      <c r="B2041" s="6">
        <v>45258</v>
      </c>
      <c r="C2041" s="6" t="str">
        <f t="shared" si="93"/>
        <v>Nov</v>
      </c>
      <c r="D2041" t="s">
        <v>109</v>
      </c>
      <c r="E2041" t="s">
        <v>19</v>
      </c>
      <c r="F2041" t="s">
        <v>328</v>
      </c>
      <c r="G2041">
        <v>7</v>
      </c>
      <c r="H2041" s="7">
        <v>224.63</v>
      </c>
      <c r="I2041" t="s">
        <v>32</v>
      </c>
      <c r="J2041" t="s">
        <v>28</v>
      </c>
      <c r="K2041">
        <v>15</v>
      </c>
      <c r="L2041" s="7">
        <f t="shared" si="94"/>
        <v>1572.4099999999999</v>
      </c>
      <c r="M2041" s="7"/>
      <c r="O2041">
        <f t="shared" si="95"/>
        <v>2</v>
      </c>
      <c r="Q2041" t="s">
        <v>33</v>
      </c>
    </row>
    <row r="2042" spans="1:17" x14ac:dyDescent="0.3">
      <c r="A2042" t="s">
        <v>3077</v>
      </c>
      <c r="B2042" s="6">
        <v>45075</v>
      </c>
      <c r="C2042" s="6" t="str">
        <f t="shared" si="93"/>
        <v>May</v>
      </c>
      <c r="D2042" t="s">
        <v>2811</v>
      </c>
      <c r="E2042" t="s">
        <v>26</v>
      </c>
      <c r="F2042" t="s">
        <v>730</v>
      </c>
      <c r="G2042">
        <v>5</v>
      </c>
      <c r="H2042" s="7">
        <v>446.2</v>
      </c>
      <c r="I2042" t="s">
        <v>103</v>
      </c>
      <c r="J2042" t="s">
        <v>22</v>
      </c>
      <c r="K2042">
        <v>5</v>
      </c>
      <c r="L2042" s="7">
        <f t="shared" si="94"/>
        <v>2231</v>
      </c>
      <c r="M2042" s="7"/>
      <c r="O2042">
        <f t="shared" si="95"/>
        <v>2</v>
      </c>
      <c r="Q2042" t="s">
        <v>104</v>
      </c>
    </row>
    <row r="2043" spans="1:17" x14ac:dyDescent="0.3">
      <c r="A2043" t="s">
        <v>3078</v>
      </c>
      <c r="B2043" s="6">
        <v>45165</v>
      </c>
      <c r="C2043" s="6" t="str">
        <f t="shared" si="93"/>
        <v>Aug</v>
      </c>
      <c r="D2043" t="s">
        <v>414</v>
      </c>
      <c r="E2043" t="s">
        <v>19</v>
      </c>
      <c r="F2043" t="s">
        <v>556</v>
      </c>
      <c r="G2043">
        <v>8</v>
      </c>
      <c r="H2043" s="7">
        <v>208.61</v>
      </c>
      <c r="I2043" t="s">
        <v>46</v>
      </c>
      <c r="J2043" t="s">
        <v>22</v>
      </c>
      <c r="K2043">
        <v>10</v>
      </c>
      <c r="L2043" s="7">
        <f t="shared" si="94"/>
        <v>1668.88</v>
      </c>
      <c r="M2043" s="7"/>
      <c r="O2043">
        <f t="shared" si="95"/>
        <v>2</v>
      </c>
      <c r="Q2043" t="s">
        <v>47</v>
      </c>
    </row>
    <row r="2044" spans="1:17" x14ac:dyDescent="0.3">
      <c r="A2044" t="s">
        <v>3079</v>
      </c>
      <c r="B2044" s="6">
        <v>45182</v>
      </c>
      <c r="C2044" s="6" t="str">
        <f t="shared" si="93"/>
        <v>Sep</v>
      </c>
      <c r="D2044" t="s">
        <v>118</v>
      </c>
      <c r="E2044" t="s">
        <v>40</v>
      </c>
      <c r="F2044" t="s">
        <v>205</v>
      </c>
      <c r="G2044">
        <v>8</v>
      </c>
      <c r="H2044" s="7">
        <v>76.89</v>
      </c>
      <c r="I2044" t="s">
        <v>32</v>
      </c>
      <c r="J2044" t="s">
        <v>42</v>
      </c>
      <c r="K2044">
        <v>15</v>
      </c>
      <c r="L2044" s="7">
        <f t="shared" si="94"/>
        <v>615.12</v>
      </c>
      <c r="M2044" s="7"/>
      <c r="O2044">
        <f t="shared" si="95"/>
        <v>2</v>
      </c>
      <c r="Q2044" t="s">
        <v>33</v>
      </c>
    </row>
    <row r="2045" spans="1:17" x14ac:dyDescent="0.3">
      <c r="A2045" t="s">
        <v>3080</v>
      </c>
      <c r="B2045" s="6">
        <v>44932</v>
      </c>
      <c r="C2045" s="6" t="str">
        <f t="shared" si="93"/>
        <v>Jan</v>
      </c>
      <c r="D2045" t="s">
        <v>1697</v>
      </c>
      <c r="E2045" t="s">
        <v>62</v>
      </c>
      <c r="F2045" t="s">
        <v>295</v>
      </c>
      <c r="G2045">
        <v>9</v>
      </c>
      <c r="H2045" s="7">
        <v>264.54000000000002</v>
      </c>
      <c r="I2045" t="s">
        <v>103</v>
      </c>
      <c r="J2045" t="s">
        <v>19</v>
      </c>
      <c r="K2045">
        <v>15</v>
      </c>
      <c r="L2045" s="7">
        <f t="shared" si="94"/>
        <v>2380.86</v>
      </c>
      <c r="M2045" s="7"/>
      <c r="O2045">
        <f t="shared" si="95"/>
        <v>2</v>
      </c>
      <c r="Q2045" t="s">
        <v>104</v>
      </c>
    </row>
    <row r="2046" spans="1:17" x14ac:dyDescent="0.3">
      <c r="A2046" t="s">
        <v>3081</v>
      </c>
      <c r="B2046" s="6">
        <v>45215</v>
      </c>
      <c r="C2046" s="6" t="str">
        <f t="shared" si="93"/>
        <v>Oct</v>
      </c>
      <c r="D2046" t="s">
        <v>565</v>
      </c>
      <c r="E2046" t="s">
        <v>31</v>
      </c>
      <c r="F2046" t="s">
        <v>110</v>
      </c>
      <c r="G2046">
        <v>7</v>
      </c>
      <c r="H2046" s="7">
        <v>481.66</v>
      </c>
      <c r="I2046" t="s">
        <v>19</v>
      </c>
      <c r="J2046" t="s">
        <v>22</v>
      </c>
      <c r="K2046">
        <v>5</v>
      </c>
      <c r="L2046" s="7">
        <f t="shared" si="94"/>
        <v>3371.6200000000003</v>
      </c>
      <c r="M2046" s="7"/>
      <c r="O2046">
        <f t="shared" si="95"/>
        <v>4</v>
      </c>
      <c r="Q2046" t="s">
        <v>19</v>
      </c>
    </row>
    <row r="2047" spans="1:17" x14ac:dyDescent="0.3">
      <c r="A2047" t="s">
        <v>3082</v>
      </c>
      <c r="B2047" s="6">
        <v>45141</v>
      </c>
      <c r="C2047" s="6" t="str">
        <f t="shared" si="93"/>
        <v>Aug</v>
      </c>
      <c r="D2047" t="s">
        <v>1073</v>
      </c>
      <c r="E2047" t="s">
        <v>36</v>
      </c>
      <c r="F2047" t="s">
        <v>292</v>
      </c>
      <c r="G2047">
        <v>1</v>
      </c>
      <c r="H2047" s="7">
        <v>252.16</v>
      </c>
      <c r="I2047" t="s">
        <v>21</v>
      </c>
      <c r="J2047" t="s">
        <v>72</v>
      </c>
      <c r="K2047">
        <v>0</v>
      </c>
      <c r="L2047" s="7">
        <f t="shared" si="94"/>
        <v>252.16</v>
      </c>
      <c r="M2047" s="7"/>
      <c r="O2047">
        <f t="shared" si="95"/>
        <v>2</v>
      </c>
      <c r="Q2047" t="s">
        <v>23</v>
      </c>
    </row>
    <row r="2048" spans="1:17" x14ac:dyDescent="0.3">
      <c r="A2048" t="s">
        <v>3083</v>
      </c>
      <c r="B2048" s="6">
        <v>45251</v>
      </c>
      <c r="C2048" s="6" t="str">
        <f t="shared" si="93"/>
        <v>Nov</v>
      </c>
      <c r="D2048" t="s">
        <v>760</v>
      </c>
      <c r="E2048" t="s">
        <v>26</v>
      </c>
      <c r="F2048" t="s">
        <v>1085</v>
      </c>
      <c r="G2048">
        <v>3</v>
      </c>
      <c r="H2048" s="7">
        <v>491.78</v>
      </c>
      <c r="I2048" t="s">
        <v>19</v>
      </c>
      <c r="J2048" t="s">
        <v>87</v>
      </c>
      <c r="K2048">
        <v>5</v>
      </c>
      <c r="L2048" s="7">
        <f t="shared" si="94"/>
        <v>1475.34</v>
      </c>
      <c r="M2048" s="7"/>
      <c r="O2048">
        <f t="shared" si="95"/>
        <v>2</v>
      </c>
      <c r="Q2048" t="s">
        <v>19</v>
      </c>
    </row>
    <row r="2049" spans="1:17" x14ac:dyDescent="0.3">
      <c r="A2049" t="s">
        <v>3084</v>
      </c>
      <c r="B2049" s="6">
        <v>44938</v>
      </c>
      <c r="C2049" s="6" t="str">
        <f t="shared" si="93"/>
        <v>Jan</v>
      </c>
      <c r="D2049" t="s">
        <v>200</v>
      </c>
      <c r="E2049" t="s">
        <v>19</v>
      </c>
      <c r="F2049" t="s">
        <v>176</v>
      </c>
      <c r="G2049">
        <v>8</v>
      </c>
      <c r="H2049" s="7">
        <v>252.16</v>
      </c>
      <c r="I2049" t="s">
        <v>46</v>
      </c>
      <c r="J2049" t="s">
        <v>22</v>
      </c>
      <c r="K2049">
        <v>10</v>
      </c>
      <c r="L2049" s="7">
        <f t="shared" si="94"/>
        <v>2017.28</v>
      </c>
      <c r="M2049" s="7"/>
      <c r="O2049">
        <f t="shared" si="95"/>
        <v>2</v>
      </c>
      <c r="Q2049" t="s">
        <v>47</v>
      </c>
    </row>
    <row r="2050" spans="1:17" x14ac:dyDescent="0.3">
      <c r="A2050" t="s">
        <v>3085</v>
      </c>
      <c r="B2050" s="6">
        <v>44947</v>
      </c>
      <c r="C2050" s="6" t="str">
        <f t="shared" si="93"/>
        <v>Jan</v>
      </c>
      <c r="D2050" t="s">
        <v>236</v>
      </c>
      <c r="E2050" t="s">
        <v>19</v>
      </c>
      <c r="F2050" t="s">
        <v>549</v>
      </c>
      <c r="G2050">
        <v>3</v>
      </c>
      <c r="H2050" s="7">
        <v>22.8</v>
      </c>
      <c r="I2050" t="s">
        <v>21</v>
      </c>
      <c r="J2050" t="s">
        <v>28</v>
      </c>
      <c r="K2050">
        <v>0</v>
      </c>
      <c r="L2050" s="7">
        <f t="shared" si="94"/>
        <v>68.400000000000006</v>
      </c>
      <c r="M2050" s="7"/>
      <c r="O2050">
        <f t="shared" si="95"/>
        <v>2</v>
      </c>
      <c r="Q2050" t="s">
        <v>23</v>
      </c>
    </row>
    <row r="2051" spans="1:17" x14ac:dyDescent="0.3">
      <c r="A2051" t="s">
        <v>3086</v>
      </c>
      <c r="B2051" s="6">
        <v>44950</v>
      </c>
      <c r="C2051" s="6" t="str">
        <f t="shared" ref="C2051:C2114" si="96">TEXT(B2051,"MMM")</f>
        <v>Jan</v>
      </c>
      <c r="D2051" t="s">
        <v>1052</v>
      </c>
      <c r="E2051" t="s">
        <v>36</v>
      </c>
      <c r="F2051" t="s">
        <v>722</v>
      </c>
      <c r="G2051">
        <v>8</v>
      </c>
      <c r="H2051" s="7">
        <v>330.91</v>
      </c>
      <c r="I2051" t="s">
        <v>64</v>
      </c>
      <c r="J2051" t="s">
        <v>42</v>
      </c>
      <c r="K2051">
        <v>15</v>
      </c>
      <c r="L2051" s="7">
        <f t="shared" ref="L2051:L2114" si="97">G2051*H2051</f>
        <v>2647.28</v>
      </c>
      <c r="M2051" s="7"/>
      <c r="O2051">
        <f t="shared" si="95"/>
        <v>3</v>
      </c>
      <c r="Q2051" t="s">
        <v>65</v>
      </c>
    </row>
    <row r="2052" spans="1:17" x14ac:dyDescent="0.3">
      <c r="A2052" t="s">
        <v>3087</v>
      </c>
      <c r="B2052" s="6">
        <v>44989</v>
      </c>
      <c r="C2052" s="6" t="str">
        <f t="shared" si="96"/>
        <v>Mar</v>
      </c>
      <c r="D2052" t="s">
        <v>2652</v>
      </c>
      <c r="E2052" t="s">
        <v>62</v>
      </c>
      <c r="F2052" t="s">
        <v>1851</v>
      </c>
      <c r="G2052">
        <v>1</v>
      </c>
      <c r="H2052" s="7">
        <v>146.94999999999999</v>
      </c>
      <c r="I2052" t="s">
        <v>64</v>
      </c>
      <c r="J2052" t="s">
        <v>22</v>
      </c>
      <c r="K2052">
        <v>0</v>
      </c>
      <c r="L2052" s="7">
        <f t="shared" si="97"/>
        <v>146.94999999999999</v>
      </c>
      <c r="M2052" s="7"/>
      <c r="O2052">
        <f t="shared" ref="O2052:O2115" si="98">IF(L2052&gt;3500,5,IF(L2052&gt;3000,4,IF(L2052&gt;2500,3,IF(L2052&gt;2000,2,IF(L2052&gt;1000,2,2)))))</f>
        <v>2</v>
      </c>
      <c r="Q2052" t="s">
        <v>65</v>
      </c>
    </row>
    <row r="2053" spans="1:17" x14ac:dyDescent="0.3">
      <c r="A2053" t="s">
        <v>3088</v>
      </c>
      <c r="B2053" s="6">
        <v>45272</v>
      </c>
      <c r="C2053" s="6" t="str">
        <f t="shared" si="96"/>
        <v>Dec</v>
      </c>
      <c r="D2053" t="s">
        <v>1330</v>
      </c>
      <c r="E2053" t="s">
        <v>31</v>
      </c>
      <c r="F2053" t="s">
        <v>125</v>
      </c>
      <c r="G2053">
        <v>5</v>
      </c>
      <c r="H2053" s="7">
        <v>282.01</v>
      </c>
      <c r="I2053" t="s">
        <v>103</v>
      </c>
      <c r="J2053" t="s">
        <v>72</v>
      </c>
      <c r="K2053">
        <v>10</v>
      </c>
      <c r="L2053" s="7">
        <f t="shared" si="97"/>
        <v>1410.05</v>
      </c>
      <c r="M2053" s="7"/>
      <c r="O2053">
        <f t="shared" si="98"/>
        <v>2</v>
      </c>
      <c r="Q2053" t="s">
        <v>104</v>
      </c>
    </row>
    <row r="2054" spans="1:17" x14ac:dyDescent="0.3">
      <c r="A2054" t="s">
        <v>3089</v>
      </c>
      <c r="B2054" s="6">
        <v>44969</v>
      </c>
      <c r="C2054" s="6" t="str">
        <f t="shared" si="96"/>
        <v>Feb</v>
      </c>
      <c r="D2054" t="s">
        <v>3090</v>
      </c>
      <c r="E2054" t="s">
        <v>26</v>
      </c>
      <c r="F2054" t="s">
        <v>298</v>
      </c>
      <c r="G2054">
        <v>4</v>
      </c>
      <c r="H2054" s="7">
        <v>143.28</v>
      </c>
      <c r="I2054" t="s">
        <v>64</v>
      </c>
      <c r="J2054" t="s">
        <v>28</v>
      </c>
      <c r="K2054">
        <v>20</v>
      </c>
      <c r="L2054" s="7">
        <f t="shared" si="97"/>
        <v>573.12</v>
      </c>
      <c r="M2054" s="7"/>
      <c r="O2054">
        <f t="shared" si="98"/>
        <v>2</v>
      </c>
      <c r="Q2054" t="s">
        <v>65</v>
      </c>
    </row>
    <row r="2055" spans="1:17" x14ac:dyDescent="0.3">
      <c r="A2055" t="s">
        <v>3091</v>
      </c>
      <c r="B2055" s="6">
        <v>45177</v>
      </c>
      <c r="C2055" s="6" t="str">
        <f t="shared" si="96"/>
        <v>Sep</v>
      </c>
      <c r="D2055" t="s">
        <v>1309</v>
      </c>
      <c r="E2055" t="s">
        <v>19</v>
      </c>
      <c r="F2055" t="s">
        <v>975</v>
      </c>
      <c r="G2055">
        <v>5</v>
      </c>
      <c r="H2055" s="7">
        <v>177.69</v>
      </c>
      <c r="I2055" t="s">
        <v>19</v>
      </c>
      <c r="J2055" t="s">
        <v>42</v>
      </c>
      <c r="K2055">
        <v>0</v>
      </c>
      <c r="L2055" s="7">
        <f t="shared" si="97"/>
        <v>888.45</v>
      </c>
      <c r="M2055" s="7"/>
      <c r="O2055">
        <f t="shared" si="98"/>
        <v>2</v>
      </c>
      <c r="Q2055" t="s">
        <v>19</v>
      </c>
    </row>
    <row r="2056" spans="1:17" x14ac:dyDescent="0.3">
      <c r="A2056" t="s">
        <v>3092</v>
      </c>
      <c r="B2056" s="6">
        <v>45140</v>
      </c>
      <c r="C2056" s="6" t="str">
        <f t="shared" si="96"/>
        <v>Aug</v>
      </c>
      <c r="D2056" t="s">
        <v>2102</v>
      </c>
      <c r="E2056" t="s">
        <v>40</v>
      </c>
      <c r="F2056" t="s">
        <v>1206</v>
      </c>
      <c r="G2056">
        <v>8</v>
      </c>
      <c r="H2056" s="7">
        <v>461.97</v>
      </c>
      <c r="I2056" t="s">
        <v>103</v>
      </c>
      <c r="J2056" t="s">
        <v>42</v>
      </c>
      <c r="K2056">
        <v>10</v>
      </c>
      <c r="L2056" s="7">
        <f t="shared" si="97"/>
        <v>3695.76</v>
      </c>
      <c r="M2056" s="7"/>
      <c r="O2056">
        <f t="shared" si="98"/>
        <v>5</v>
      </c>
      <c r="Q2056" t="s">
        <v>104</v>
      </c>
    </row>
    <row r="2057" spans="1:17" x14ac:dyDescent="0.3">
      <c r="A2057" t="s">
        <v>3093</v>
      </c>
      <c r="B2057" s="6">
        <v>45251</v>
      </c>
      <c r="C2057" s="6" t="str">
        <f t="shared" si="96"/>
        <v>Nov</v>
      </c>
      <c r="D2057" t="s">
        <v>1412</v>
      </c>
      <c r="E2057" t="s">
        <v>19</v>
      </c>
      <c r="F2057" t="s">
        <v>698</v>
      </c>
      <c r="G2057">
        <v>4</v>
      </c>
      <c r="H2057" s="7">
        <v>107.29</v>
      </c>
      <c r="I2057" t="s">
        <v>103</v>
      </c>
      <c r="J2057" t="s">
        <v>22</v>
      </c>
      <c r="K2057">
        <v>20</v>
      </c>
      <c r="L2057" s="7">
        <f t="shared" si="97"/>
        <v>429.16</v>
      </c>
      <c r="M2057" s="7"/>
      <c r="O2057">
        <f t="shared" si="98"/>
        <v>2</v>
      </c>
      <c r="Q2057" t="s">
        <v>104</v>
      </c>
    </row>
    <row r="2058" spans="1:17" x14ac:dyDescent="0.3">
      <c r="A2058" t="s">
        <v>3094</v>
      </c>
      <c r="B2058" s="6">
        <v>45197</v>
      </c>
      <c r="C2058" s="6" t="str">
        <f t="shared" si="96"/>
        <v>Sep</v>
      </c>
      <c r="D2058" t="s">
        <v>2411</v>
      </c>
      <c r="E2058" t="s">
        <v>36</v>
      </c>
      <c r="F2058" t="s">
        <v>251</v>
      </c>
      <c r="G2058">
        <v>4</v>
      </c>
      <c r="H2058" s="7">
        <v>437.68</v>
      </c>
      <c r="I2058" t="s">
        <v>103</v>
      </c>
      <c r="J2058" t="s">
        <v>72</v>
      </c>
      <c r="K2058">
        <v>10</v>
      </c>
      <c r="L2058" s="7">
        <f t="shared" si="97"/>
        <v>1750.72</v>
      </c>
      <c r="M2058" s="7"/>
      <c r="O2058">
        <f t="shared" si="98"/>
        <v>2</v>
      </c>
      <c r="Q2058" t="s">
        <v>104</v>
      </c>
    </row>
    <row r="2059" spans="1:17" x14ac:dyDescent="0.3">
      <c r="A2059" t="s">
        <v>3095</v>
      </c>
      <c r="B2059" s="6">
        <v>45177</v>
      </c>
      <c r="C2059" s="6" t="str">
        <f t="shared" si="96"/>
        <v>Sep</v>
      </c>
      <c r="D2059" t="s">
        <v>2222</v>
      </c>
      <c r="E2059" t="s">
        <v>50</v>
      </c>
      <c r="F2059" t="s">
        <v>110</v>
      </c>
      <c r="G2059">
        <v>3</v>
      </c>
      <c r="H2059" s="7">
        <v>20.079999999999998</v>
      </c>
      <c r="I2059" t="s">
        <v>19</v>
      </c>
      <c r="J2059" t="s">
        <v>28</v>
      </c>
      <c r="K2059">
        <v>10</v>
      </c>
      <c r="L2059" s="7">
        <f t="shared" si="97"/>
        <v>60.239999999999995</v>
      </c>
      <c r="M2059" s="7"/>
      <c r="O2059">
        <f t="shared" si="98"/>
        <v>2</v>
      </c>
      <c r="Q2059" t="s">
        <v>19</v>
      </c>
    </row>
    <row r="2060" spans="1:17" x14ac:dyDescent="0.3">
      <c r="A2060" t="s">
        <v>3096</v>
      </c>
      <c r="B2060" s="6">
        <v>45292</v>
      </c>
      <c r="C2060" s="6" t="str">
        <f t="shared" si="96"/>
        <v>Jan</v>
      </c>
      <c r="D2060" t="s">
        <v>1437</v>
      </c>
      <c r="E2060" t="s">
        <v>36</v>
      </c>
      <c r="F2060" t="s">
        <v>160</v>
      </c>
      <c r="G2060">
        <v>7</v>
      </c>
      <c r="H2060" s="7">
        <v>49.98</v>
      </c>
      <c r="I2060" t="s">
        <v>46</v>
      </c>
      <c r="J2060" t="s">
        <v>28</v>
      </c>
      <c r="K2060">
        <v>20</v>
      </c>
      <c r="L2060" s="7">
        <f t="shared" si="97"/>
        <v>349.85999999999996</v>
      </c>
      <c r="M2060" s="7"/>
      <c r="O2060">
        <f t="shared" si="98"/>
        <v>2</v>
      </c>
      <c r="Q2060" t="s">
        <v>47</v>
      </c>
    </row>
    <row r="2061" spans="1:17" x14ac:dyDescent="0.3">
      <c r="A2061" t="s">
        <v>3097</v>
      </c>
      <c r="B2061" s="6">
        <v>45132</v>
      </c>
      <c r="C2061" s="6" t="str">
        <f t="shared" si="96"/>
        <v>Jul</v>
      </c>
      <c r="D2061" t="s">
        <v>513</v>
      </c>
      <c r="E2061" t="s">
        <v>19</v>
      </c>
      <c r="F2061" t="s">
        <v>1180</v>
      </c>
      <c r="G2061">
        <v>3</v>
      </c>
      <c r="H2061" s="7">
        <v>428.06</v>
      </c>
      <c r="I2061" t="s">
        <v>21</v>
      </c>
      <c r="J2061" t="s">
        <v>19</v>
      </c>
      <c r="K2061">
        <v>10</v>
      </c>
      <c r="L2061" s="7">
        <f t="shared" si="97"/>
        <v>1284.18</v>
      </c>
      <c r="M2061" s="7"/>
      <c r="O2061">
        <f t="shared" si="98"/>
        <v>2</v>
      </c>
      <c r="Q2061" t="s">
        <v>23</v>
      </c>
    </row>
    <row r="2062" spans="1:17" x14ac:dyDescent="0.3">
      <c r="A2062" t="s">
        <v>3098</v>
      </c>
      <c r="B2062" s="6">
        <v>44981</v>
      </c>
      <c r="C2062" s="6" t="str">
        <f t="shared" si="96"/>
        <v>Feb</v>
      </c>
      <c r="D2062" t="s">
        <v>44</v>
      </c>
      <c r="E2062" t="s">
        <v>40</v>
      </c>
      <c r="F2062" t="s">
        <v>1180</v>
      </c>
      <c r="G2062">
        <v>3</v>
      </c>
      <c r="H2062" s="7">
        <v>317.13</v>
      </c>
      <c r="I2062" t="s">
        <v>103</v>
      </c>
      <c r="J2062" t="s">
        <v>72</v>
      </c>
      <c r="K2062">
        <v>20</v>
      </c>
      <c r="L2062" s="7">
        <f t="shared" si="97"/>
        <v>951.39</v>
      </c>
      <c r="M2062" s="7"/>
      <c r="O2062">
        <f t="shared" si="98"/>
        <v>2</v>
      </c>
      <c r="Q2062" t="s">
        <v>104</v>
      </c>
    </row>
    <row r="2063" spans="1:17" x14ac:dyDescent="0.3">
      <c r="A2063" t="s">
        <v>3099</v>
      </c>
      <c r="B2063" s="6">
        <v>45275</v>
      </c>
      <c r="C2063" s="6" t="str">
        <f t="shared" si="96"/>
        <v>Dec</v>
      </c>
      <c r="D2063" t="s">
        <v>277</v>
      </c>
      <c r="E2063" t="s">
        <v>50</v>
      </c>
      <c r="F2063" t="s">
        <v>450</v>
      </c>
      <c r="G2063">
        <v>5</v>
      </c>
      <c r="H2063" s="7">
        <v>374.88</v>
      </c>
      <c r="I2063" t="s">
        <v>21</v>
      </c>
      <c r="J2063" t="s">
        <v>87</v>
      </c>
      <c r="K2063">
        <v>20</v>
      </c>
      <c r="L2063" s="7">
        <f t="shared" si="97"/>
        <v>1874.4</v>
      </c>
      <c r="M2063" s="7"/>
      <c r="O2063">
        <f t="shared" si="98"/>
        <v>2</v>
      </c>
      <c r="Q2063" t="s">
        <v>23</v>
      </c>
    </row>
    <row r="2064" spans="1:17" x14ac:dyDescent="0.3">
      <c r="A2064" t="s">
        <v>3100</v>
      </c>
      <c r="B2064" s="6">
        <v>44964</v>
      </c>
      <c r="C2064" s="6" t="str">
        <f t="shared" si="96"/>
        <v>Feb</v>
      </c>
      <c r="D2064" t="s">
        <v>2436</v>
      </c>
      <c r="E2064" t="s">
        <v>62</v>
      </c>
      <c r="F2064" t="s">
        <v>234</v>
      </c>
      <c r="G2064">
        <v>5</v>
      </c>
      <c r="H2064" s="7">
        <v>108.66</v>
      </c>
      <c r="I2064" t="s">
        <v>64</v>
      </c>
      <c r="J2064" t="s">
        <v>42</v>
      </c>
      <c r="K2064">
        <v>5</v>
      </c>
      <c r="L2064" s="7">
        <f t="shared" si="97"/>
        <v>543.29999999999995</v>
      </c>
      <c r="M2064" s="7"/>
      <c r="O2064">
        <f t="shared" si="98"/>
        <v>2</v>
      </c>
      <c r="Q2064" t="s">
        <v>65</v>
      </c>
    </row>
    <row r="2065" spans="1:17" x14ac:dyDescent="0.3">
      <c r="A2065" t="s">
        <v>3101</v>
      </c>
      <c r="B2065" s="6">
        <v>45047</v>
      </c>
      <c r="C2065" s="6" t="str">
        <f t="shared" si="96"/>
        <v>May</v>
      </c>
      <c r="D2065" t="s">
        <v>374</v>
      </c>
      <c r="E2065" t="s">
        <v>36</v>
      </c>
      <c r="F2065" t="s">
        <v>1282</v>
      </c>
      <c r="G2065">
        <v>6</v>
      </c>
      <c r="H2065" s="7">
        <v>270.86</v>
      </c>
      <c r="I2065" t="s">
        <v>21</v>
      </c>
      <c r="J2065" t="s">
        <v>22</v>
      </c>
      <c r="K2065">
        <v>10</v>
      </c>
      <c r="L2065" s="7">
        <f t="shared" si="97"/>
        <v>1625.16</v>
      </c>
      <c r="M2065" s="7"/>
      <c r="O2065">
        <f t="shared" si="98"/>
        <v>2</v>
      </c>
      <c r="Q2065" t="s">
        <v>23</v>
      </c>
    </row>
    <row r="2066" spans="1:17" x14ac:dyDescent="0.3">
      <c r="A2066" t="s">
        <v>3102</v>
      </c>
      <c r="B2066" s="6">
        <v>44964</v>
      </c>
      <c r="C2066" s="6" t="str">
        <f t="shared" si="96"/>
        <v>Feb</v>
      </c>
      <c r="D2066" t="s">
        <v>1850</v>
      </c>
      <c r="E2066" t="s">
        <v>36</v>
      </c>
      <c r="F2066" t="s">
        <v>662</v>
      </c>
      <c r="G2066">
        <v>8</v>
      </c>
      <c r="H2066" s="7">
        <v>369.92</v>
      </c>
      <c r="I2066" t="s">
        <v>21</v>
      </c>
      <c r="J2066" t="s">
        <v>72</v>
      </c>
      <c r="K2066">
        <v>10</v>
      </c>
      <c r="L2066" s="7">
        <f t="shared" si="97"/>
        <v>2959.36</v>
      </c>
      <c r="M2066" s="7"/>
      <c r="O2066">
        <f t="shared" si="98"/>
        <v>3</v>
      </c>
      <c r="Q2066" t="s">
        <v>23</v>
      </c>
    </row>
    <row r="2067" spans="1:17" x14ac:dyDescent="0.3">
      <c r="A2067" t="s">
        <v>3103</v>
      </c>
      <c r="B2067" s="6">
        <v>44978</v>
      </c>
      <c r="C2067" s="6" t="str">
        <f t="shared" si="96"/>
        <v>Feb</v>
      </c>
      <c r="D2067" t="s">
        <v>1271</v>
      </c>
      <c r="E2067" t="s">
        <v>40</v>
      </c>
      <c r="F2067" t="s">
        <v>78</v>
      </c>
      <c r="G2067">
        <v>6</v>
      </c>
      <c r="H2067" s="7">
        <v>315.52</v>
      </c>
      <c r="I2067" t="s">
        <v>46</v>
      </c>
      <c r="J2067" t="s">
        <v>72</v>
      </c>
      <c r="K2067">
        <v>0</v>
      </c>
      <c r="L2067" s="7">
        <f t="shared" si="97"/>
        <v>1893.12</v>
      </c>
      <c r="M2067" s="7"/>
      <c r="O2067">
        <f t="shared" si="98"/>
        <v>2</v>
      </c>
      <c r="Q2067" t="s">
        <v>47</v>
      </c>
    </row>
    <row r="2068" spans="1:17" x14ac:dyDescent="0.3">
      <c r="A2068" t="s">
        <v>3104</v>
      </c>
      <c r="B2068" s="6">
        <v>45195</v>
      </c>
      <c r="C2068" s="6" t="str">
        <f t="shared" si="96"/>
        <v>Sep</v>
      </c>
      <c r="D2068" t="s">
        <v>245</v>
      </c>
      <c r="E2068" t="s">
        <v>19</v>
      </c>
      <c r="F2068" t="s">
        <v>254</v>
      </c>
      <c r="G2068">
        <v>1</v>
      </c>
      <c r="H2068" s="7">
        <v>238.49</v>
      </c>
      <c r="I2068" t="s">
        <v>21</v>
      </c>
      <c r="J2068" t="s">
        <v>28</v>
      </c>
      <c r="K2068">
        <v>10</v>
      </c>
      <c r="L2068" s="7">
        <f t="shared" si="97"/>
        <v>238.49</v>
      </c>
      <c r="M2068" s="7"/>
      <c r="O2068">
        <f t="shared" si="98"/>
        <v>2</v>
      </c>
      <c r="Q2068" t="s">
        <v>23</v>
      </c>
    </row>
    <row r="2069" spans="1:17" x14ac:dyDescent="0.3">
      <c r="A2069" t="s">
        <v>3105</v>
      </c>
      <c r="B2069" s="6">
        <v>45146</v>
      </c>
      <c r="C2069" s="6" t="str">
        <f t="shared" si="96"/>
        <v>Aug</v>
      </c>
      <c r="D2069" t="s">
        <v>1859</v>
      </c>
      <c r="E2069" t="s">
        <v>36</v>
      </c>
      <c r="F2069" t="s">
        <v>434</v>
      </c>
      <c r="G2069">
        <v>8</v>
      </c>
      <c r="H2069" s="7">
        <v>480.09</v>
      </c>
      <c r="I2069" t="s">
        <v>32</v>
      </c>
      <c r="J2069" t="s">
        <v>87</v>
      </c>
      <c r="K2069">
        <v>10</v>
      </c>
      <c r="L2069" s="7">
        <f t="shared" si="97"/>
        <v>3840.72</v>
      </c>
      <c r="M2069" s="7"/>
      <c r="O2069">
        <f t="shared" si="98"/>
        <v>5</v>
      </c>
      <c r="Q2069" t="s">
        <v>33</v>
      </c>
    </row>
    <row r="2070" spans="1:17" x14ac:dyDescent="0.3">
      <c r="A2070" t="s">
        <v>3106</v>
      </c>
      <c r="B2070" s="6">
        <v>45214</v>
      </c>
      <c r="C2070" s="6" t="str">
        <f t="shared" si="96"/>
        <v>Oct</v>
      </c>
      <c r="D2070" t="s">
        <v>1586</v>
      </c>
      <c r="E2070" t="s">
        <v>19</v>
      </c>
      <c r="F2070" t="s">
        <v>63</v>
      </c>
      <c r="G2070">
        <v>8</v>
      </c>
      <c r="H2070" s="7">
        <v>339.7</v>
      </c>
      <c r="I2070" t="s">
        <v>46</v>
      </c>
      <c r="J2070" t="s">
        <v>42</v>
      </c>
      <c r="K2070">
        <v>20</v>
      </c>
      <c r="L2070" s="7">
        <f t="shared" si="97"/>
        <v>2717.6</v>
      </c>
      <c r="M2070" s="7"/>
      <c r="O2070">
        <f t="shared" si="98"/>
        <v>3</v>
      </c>
      <c r="Q2070" t="s">
        <v>47</v>
      </c>
    </row>
    <row r="2071" spans="1:17" x14ac:dyDescent="0.3">
      <c r="A2071" t="s">
        <v>3107</v>
      </c>
      <c r="B2071" s="6">
        <v>44976</v>
      </c>
      <c r="C2071" s="6" t="str">
        <f t="shared" si="96"/>
        <v>Feb</v>
      </c>
      <c r="D2071" t="s">
        <v>965</v>
      </c>
      <c r="E2071" t="s">
        <v>31</v>
      </c>
      <c r="F2071" t="s">
        <v>142</v>
      </c>
      <c r="G2071">
        <v>9</v>
      </c>
      <c r="H2071" s="7">
        <v>454.34</v>
      </c>
      <c r="I2071" t="s">
        <v>21</v>
      </c>
      <c r="J2071" t="s">
        <v>28</v>
      </c>
      <c r="K2071">
        <v>15</v>
      </c>
      <c r="L2071" s="7">
        <f t="shared" si="97"/>
        <v>4089.06</v>
      </c>
      <c r="M2071" s="7"/>
      <c r="O2071">
        <f t="shared" si="98"/>
        <v>5</v>
      </c>
      <c r="Q2071" t="s">
        <v>23</v>
      </c>
    </row>
    <row r="2072" spans="1:17" x14ac:dyDescent="0.3">
      <c r="A2072" t="s">
        <v>3108</v>
      </c>
      <c r="B2072" s="6">
        <v>45158</v>
      </c>
      <c r="C2072" s="6" t="str">
        <f t="shared" si="96"/>
        <v>Aug</v>
      </c>
      <c r="D2072" t="s">
        <v>671</v>
      </c>
      <c r="E2072" t="s">
        <v>62</v>
      </c>
      <c r="F2072" t="s">
        <v>148</v>
      </c>
      <c r="G2072">
        <v>9</v>
      </c>
      <c r="H2072" s="7">
        <v>366.24</v>
      </c>
      <c r="I2072" t="s">
        <v>103</v>
      </c>
      <c r="J2072" t="s">
        <v>72</v>
      </c>
      <c r="K2072">
        <v>5</v>
      </c>
      <c r="L2072" s="7">
        <f t="shared" si="97"/>
        <v>3296.16</v>
      </c>
      <c r="M2072" s="7"/>
      <c r="O2072">
        <f t="shared" si="98"/>
        <v>4</v>
      </c>
      <c r="Q2072" t="s">
        <v>104</v>
      </c>
    </row>
    <row r="2073" spans="1:17" x14ac:dyDescent="0.3">
      <c r="A2073" t="s">
        <v>3109</v>
      </c>
      <c r="B2073" s="6">
        <v>45125</v>
      </c>
      <c r="C2073" s="6" t="str">
        <f t="shared" si="96"/>
        <v>Jul</v>
      </c>
      <c r="D2073" t="s">
        <v>3110</v>
      </c>
      <c r="E2073" t="s">
        <v>31</v>
      </c>
      <c r="F2073" t="s">
        <v>263</v>
      </c>
      <c r="G2073">
        <v>2</v>
      </c>
      <c r="H2073" s="7">
        <v>369.05</v>
      </c>
      <c r="I2073" t="s">
        <v>32</v>
      </c>
      <c r="J2073" t="s">
        <v>28</v>
      </c>
      <c r="K2073">
        <v>0</v>
      </c>
      <c r="L2073" s="7">
        <f t="shared" si="97"/>
        <v>738.1</v>
      </c>
      <c r="M2073" s="7"/>
      <c r="O2073">
        <f t="shared" si="98"/>
        <v>2</v>
      </c>
      <c r="Q2073" t="s">
        <v>33</v>
      </c>
    </row>
    <row r="2074" spans="1:17" x14ac:dyDescent="0.3">
      <c r="A2074" t="s">
        <v>3111</v>
      </c>
      <c r="B2074" s="6">
        <v>45088</v>
      </c>
      <c r="C2074" s="6" t="str">
        <f t="shared" si="96"/>
        <v>Jun</v>
      </c>
      <c r="D2074" t="s">
        <v>679</v>
      </c>
      <c r="E2074" t="s">
        <v>62</v>
      </c>
      <c r="F2074" t="s">
        <v>160</v>
      </c>
      <c r="G2074">
        <v>2</v>
      </c>
      <c r="H2074" s="7">
        <v>44.61</v>
      </c>
      <c r="I2074" t="s">
        <v>32</v>
      </c>
      <c r="J2074" t="s">
        <v>87</v>
      </c>
      <c r="K2074">
        <v>5</v>
      </c>
      <c r="L2074" s="7">
        <f t="shared" si="97"/>
        <v>89.22</v>
      </c>
      <c r="M2074" s="7"/>
      <c r="O2074">
        <f t="shared" si="98"/>
        <v>2</v>
      </c>
      <c r="Q2074" t="s">
        <v>33</v>
      </c>
    </row>
    <row r="2075" spans="1:17" x14ac:dyDescent="0.3">
      <c r="A2075" t="s">
        <v>3112</v>
      </c>
      <c r="B2075" s="6">
        <v>45120</v>
      </c>
      <c r="C2075" s="6" t="str">
        <f t="shared" si="96"/>
        <v>Jul</v>
      </c>
      <c r="D2075" t="s">
        <v>1446</v>
      </c>
      <c r="E2075" t="s">
        <v>19</v>
      </c>
      <c r="F2075" t="s">
        <v>403</v>
      </c>
      <c r="G2075">
        <v>3</v>
      </c>
      <c r="H2075" s="7">
        <v>182.93</v>
      </c>
      <c r="I2075" t="s">
        <v>19</v>
      </c>
      <c r="J2075" t="s">
        <v>87</v>
      </c>
      <c r="K2075">
        <v>0</v>
      </c>
      <c r="L2075" s="7">
        <f t="shared" si="97"/>
        <v>548.79</v>
      </c>
      <c r="M2075" s="7"/>
      <c r="O2075">
        <f t="shared" si="98"/>
        <v>2</v>
      </c>
      <c r="Q2075" t="s">
        <v>19</v>
      </c>
    </row>
    <row r="2076" spans="1:17" x14ac:dyDescent="0.3">
      <c r="A2076" t="s">
        <v>3113</v>
      </c>
      <c r="B2076" s="6">
        <v>45126</v>
      </c>
      <c r="C2076" s="6" t="str">
        <f t="shared" si="96"/>
        <v>Jul</v>
      </c>
      <c r="D2076" t="s">
        <v>1137</v>
      </c>
      <c r="E2076" t="s">
        <v>62</v>
      </c>
      <c r="F2076" t="s">
        <v>119</v>
      </c>
      <c r="G2076">
        <v>1</v>
      </c>
      <c r="H2076" s="7">
        <v>429.89</v>
      </c>
      <c r="I2076" t="s">
        <v>103</v>
      </c>
      <c r="J2076" t="s">
        <v>87</v>
      </c>
      <c r="K2076">
        <v>10</v>
      </c>
      <c r="L2076" s="7">
        <f t="shared" si="97"/>
        <v>429.89</v>
      </c>
      <c r="M2076" s="7"/>
      <c r="O2076">
        <f t="shared" si="98"/>
        <v>2</v>
      </c>
      <c r="Q2076" t="s">
        <v>104</v>
      </c>
    </row>
    <row r="2077" spans="1:17" x14ac:dyDescent="0.3">
      <c r="A2077" t="s">
        <v>3114</v>
      </c>
      <c r="B2077" s="6">
        <v>45238</v>
      </c>
      <c r="C2077" s="6" t="str">
        <f t="shared" si="96"/>
        <v>Nov</v>
      </c>
      <c r="D2077" t="s">
        <v>1050</v>
      </c>
      <c r="E2077" t="s">
        <v>19</v>
      </c>
      <c r="F2077" t="s">
        <v>420</v>
      </c>
      <c r="G2077">
        <v>4</v>
      </c>
      <c r="H2077" s="7">
        <v>120.14</v>
      </c>
      <c r="I2077" t="s">
        <v>64</v>
      </c>
      <c r="J2077" t="s">
        <v>42</v>
      </c>
      <c r="K2077">
        <v>20</v>
      </c>
      <c r="L2077" s="7">
        <f t="shared" si="97"/>
        <v>480.56</v>
      </c>
      <c r="M2077" s="7"/>
      <c r="O2077">
        <f t="shared" si="98"/>
        <v>2</v>
      </c>
      <c r="Q2077" t="s">
        <v>65</v>
      </c>
    </row>
    <row r="2078" spans="1:17" x14ac:dyDescent="0.3">
      <c r="A2078" t="s">
        <v>3115</v>
      </c>
      <c r="B2078" s="6">
        <v>45022</v>
      </c>
      <c r="C2078" s="6" t="str">
        <f t="shared" si="96"/>
        <v>Apr</v>
      </c>
      <c r="D2078" t="s">
        <v>590</v>
      </c>
      <c r="E2078" t="s">
        <v>62</v>
      </c>
      <c r="F2078" t="s">
        <v>145</v>
      </c>
      <c r="G2078">
        <v>4</v>
      </c>
      <c r="H2078" s="7">
        <v>62.18</v>
      </c>
      <c r="I2078" t="s">
        <v>19</v>
      </c>
      <c r="J2078" t="s">
        <v>72</v>
      </c>
      <c r="K2078">
        <v>10</v>
      </c>
      <c r="L2078" s="7">
        <f t="shared" si="97"/>
        <v>248.72</v>
      </c>
      <c r="M2078" s="7"/>
      <c r="O2078">
        <f t="shared" si="98"/>
        <v>2</v>
      </c>
      <c r="Q2078" t="s">
        <v>19</v>
      </c>
    </row>
    <row r="2079" spans="1:17" x14ac:dyDescent="0.3">
      <c r="A2079" t="s">
        <v>3116</v>
      </c>
      <c r="B2079" s="6">
        <v>44979</v>
      </c>
      <c r="C2079" s="6" t="str">
        <f t="shared" si="96"/>
        <v>Feb</v>
      </c>
      <c r="D2079" t="s">
        <v>860</v>
      </c>
      <c r="E2079" t="s">
        <v>19</v>
      </c>
      <c r="F2079" t="s">
        <v>51</v>
      </c>
      <c r="G2079">
        <v>9</v>
      </c>
      <c r="H2079" s="7">
        <v>166.42</v>
      </c>
      <c r="I2079" t="s">
        <v>46</v>
      </c>
      <c r="J2079" t="s">
        <v>28</v>
      </c>
      <c r="K2079">
        <v>10</v>
      </c>
      <c r="L2079" s="7">
        <f t="shared" si="97"/>
        <v>1497.78</v>
      </c>
      <c r="M2079" s="7"/>
      <c r="O2079">
        <f t="shared" si="98"/>
        <v>2</v>
      </c>
      <c r="Q2079" t="s">
        <v>47</v>
      </c>
    </row>
    <row r="2080" spans="1:17" x14ac:dyDescent="0.3">
      <c r="A2080" t="s">
        <v>3117</v>
      </c>
      <c r="B2080" s="6">
        <v>45132</v>
      </c>
      <c r="C2080" s="6" t="str">
        <f t="shared" si="96"/>
        <v>Jul</v>
      </c>
      <c r="D2080" t="s">
        <v>2801</v>
      </c>
      <c r="E2080" t="s">
        <v>19</v>
      </c>
      <c r="F2080" t="s">
        <v>436</v>
      </c>
      <c r="G2080">
        <v>5</v>
      </c>
      <c r="H2080" s="7">
        <v>114.12</v>
      </c>
      <c r="I2080" t="s">
        <v>46</v>
      </c>
      <c r="J2080" t="s">
        <v>22</v>
      </c>
      <c r="K2080">
        <v>15</v>
      </c>
      <c r="L2080" s="7">
        <f t="shared" si="97"/>
        <v>570.6</v>
      </c>
      <c r="M2080" s="7"/>
      <c r="O2080">
        <f t="shared" si="98"/>
        <v>2</v>
      </c>
      <c r="Q2080" t="s">
        <v>47</v>
      </c>
    </row>
    <row r="2081" spans="1:17" x14ac:dyDescent="0.3">
      <c r="A2081" t="s">
        <v>3118</v>
      </c>
      <c r="B2081" s="6">
        <v>45211</v>
      </c>
      <c r="C2081" s="6" t="str">
        <f t="shared" si="96"/>
        <v>Oct</v>
      </c>
      <c r="D2081" t="s">
        <v>3119</v>
      </c>
      <c r="E2081" t="s">
        <v>40</v>
      </c>
      <c r="F2081" t="s">
        <v>586</v>
      </c>
      <c r="G2081">
        <v>9</v>
      </c>
      <c r="H2081" s="7">
        <v>463.02</v>
      </c>
      <c r="I2081" t="s">
        <v>32</v>
      </c>
      <c r="J2081" t="s">
        <v>42</v>
      </c>
      <c r="K2081">
        <v>5</v>
      </c>
      <c r="L2081" s="7">
        <f t="shared" si="97"/>
        <v>4167.18</v>
      </c>
      <c r="M2081" s="7"/>
      <c r="O2081">
        <f t="shared" si="98"/>
        <v>5</v>
      </c>
      <c r="Q2081" t="s">
        <v>33</v>
      </c>
    </row>
    <row r="2082" spans="1:17" x14ac:dyDescent="0.3">
      <c r="A2082" t="s">
        <v>3120</v>
      </c>
      <c r="B2082" s="6">
        <v>45078</v>
      </c>
      <c r="C2082" s="6" t="str">
        <f t="shared" si="96"/>
        <v>Jun</v>
      </c>
      <c r="D2082" t="s">
        <v>1949</v>
      </c>
      <c r="E2082" t="s">
        <v>31</v>
      </c>
      <c r="F2082" t="s">
        <v>523</v>
      </c>
      <c r="G2082">
        <v>7</v>
      </c>
      <c r="H2082" s="7">
        <v>434.64</v>
      </c>
      <c r="I2082" t="s">
        <v>19</v>
      </c>
      <c r="J2082" t="s">
        <v>22</v>
      </c>
      <c r="K2082">
        <v>5</v>
      </c>
      <c r="L2082" s="7">
        <f t="shared" si="97"/>
        <v>3042.48</v>
      </c>
      <c r="M2082" s="7"/>
      <c r="O2082">
        <f t="shared" si="98"/>
        <v>4</v>
      </c>
      <c r="Q2082" t="s">
        <v>19</v>
      </c>
    </row>
    <row r="2083" spans="1:17" x14ac:dyDescent="0.3">
      <c r="A2083" t="s">
        <v>3121</v>
      </c>
      <c r="B2083" s="6">
        <v>44986</v>
      </c>
      <c r="C2083" s="6" t="str">
        <f t="shared" si="96"/>
        <v>Mar</v>
      </c>
      <c r="D2083" t="s">
        <v>2409</v>
      </c>
      <c r="E2083" t="s">
        <v>36</v>
      </c>
      <c r="F2083" t="s">
        <v>887</v>
      </c>
      <c r="G2083">
        <v>2</v>
      </c>
      <c r="H2083" s="7">
        <v>252.34</v>
      </c>
      <c r="I2083" t="s">
        <v>103</v>
      </c>
      <c r="J2083" t="s">
        <v>19</v>
      </c>
      <c r="K2083">
        <v>5</v>
      </c>
      <c r="L2083" s="7">
        <f t="shared" si="97"/>
        <v>504.68</v>
      </c>
      <c r="M2083" s="7"/>
      <c r="O2083">
        <f t="shared" si="98"/>
        <v>2</v>
      </c>
      <c r="Q2083" t="s">
        <v>104</v>
      </c>
    </row>
    <row r="2084" spans="1:17" x14ac:dyDescent="0.3">
      <c r="A2084" t="s">
        <v>3122</v>
      </c>
      <c r="B2084" s="6">
        <v>44964</v>
      </c>
      <c r="C2084" s="6" t="str">
        <f t="shared" si="96"/>
        <v>Feb</v>
      </c>
      <c r="D2084" t="s">
        <v>1321</v>
      </c>
      <c r="E2084" t="s">
        <v>26</v>
      </c>
      <c r="F2084" t="s">
        <v>224</v>
      </c>
      <c r="G2084">
        <v>5</v>
      </c>
      <c r="H2084" s="7">
        <v>35.369999999999997</v>
      </c>
      <c r="I2084" t="s">
        <v>19</v>
      </c>
      <c r="J2084" t="s">
        <v>42</v>
      </c>
      <c r="K2084">
        <v>10</v>
      </c>
      <c r="L2084" s="7">
        <f t="shared" si="97"/>
        <v>176.85</v>
      </c>
      <c r="M2084" s="7"/>
      <c r="O2084">
        <f t="shared" si="98"/>
        <v>2</v>
      </c>
      <c r="Q2084" t="s">
        <v>19</v>
      </c>
    </row>
    <row r="2085" spans="1:17" x14ac:dyDescent="0.3">
      <c r="A2085" t="s">
        <v>3123</v>
      </c>
      <c r="B2085" s="6">
        <v>44972</v>
      </c>
      <c r="C2085" s="6" t="str">
        <f t="shared" si="96"/>
        <v>Feb</v>
      </c>
      <c r="D2085" t="s">
        <v>1229</v>
      </c>
      <c r="E2085" t="s">
        <v>19</v>
      </c>
      <c r="F2085" t="s">
        <v>325</v>
      </c>
      <c r="G2085">
        <v>4</v>
      </c>
      <c r="H2085" s="7">
        <v>358.71</v>
      </c>
      <c r="I2085" t="s">
        <v>21</v>
      </c>
      <c r="J2085" t="s">
        <v>72</v>
      </c>
      <c r="K2085">
        <v>5</v>
      </c>
      <c r="L2085" s="7">
        <f t="shared" si="97"/>
        <v>1434.84</v>
      </c>
      <c r="M2085" s="7"/>
      <c r="O2085">
        <f t="shared" si="98"/>
        <v>2</v>
      </c>
      <c r="Q2085" t="s">
        <v>23</v>
      </c>
    </row>
    <row r="2086" spans="1:17" x14ac:dyDescent="0.3">
      <c r="A2086" t="s">
        <v>3124</v>
      </c>
      <c r="B2086" s="6">
        <v>45287</v>
      </c>
      <c r="C2086" s="6" t="str">
        <f t="shared" si="96"/>
        <v>Dec</v>
      </c>
      <c r="D2086" t="s">
        <v>1647</v>
      </c>
      <c r="E2086" t="s">
        <v>26</v>
      </c>
      <c r="F2086" t="s">
        <v>662</v>
      </c>
      <c r="G2086">
        <v>8</v>
      </c>
      <c r="H2086" s="7">
        <v>313.58999999999997</v>
      </c>
      <c r="I2086" t="s">
        <v>103</v>
      </c>
      <c r="J2086" t="s">
        <v>22</v>
      </c>
      <c r="K2086">
        <v>20</v>
      </c>
      <c r="L2086" s="7">
        <f t="shared" si="97"/>
        <v>2508.7199999999998</v>
      </c>
      <c r="M2086" s="7"/>
      <c r="O2086">
        <f t="shared" si="98"/>
        <v>3</v>
      </c>
      <c r="Q2086" t="s">
        <v>104</v>
      </c>
    </row>
    <row r="2087" spans="1:17" x14ac:dyDescent="0.3">
      <c r="A2087" t="s">
        <v>3125</v>
      </c>
      <c r="B2087" s="6">
        <v>45123</v>
      </c>
      <c r="C2087" s="6" t="str">
        <f t="shared" si="96"/>
        <v>Jul</v>
      </c>
      <c r="D2087" t="s">
        <v>1520</v>
      </c>
      <c r="E2087" t="s">
        <v>31</v>
      </c>
      <c r="F2087" t="s">
        <v>84</v>
      </c>
      <c r="G2087">
        <v>2</v>
      </c>
      <c r="H2087" s="7">
        <v>485.42</v>
      </c>
      <c r="I2087" t="s">
        <v>32</v>
      </c>
      <c r="J2087" t="s">
        <v>19</v>
      </c>
      <c r="K2087">
        <v>0</v>
      </c>
      <c r="L2087" s="7">
        <f t="shared" si="97"/>
        <v>970.84</v>
      </c>
      <c r="M2087" s="7"/>
      <c r="O2087">
        <f t="shared" si="98"/>
        <v>2</v>
      </c>
      <c r="Q2087" t="s">
        <v>33</v>
      </c>
    </row>
    <row r="2088" spans="1:17" x14ac:dyDescent="0.3">
      <c r="A2088" t="s">
        <v>3126</v>
      </c>
      <c r="B2088" s="6">
        <v>45120</v>
      </c>
      <c r="C2088" s="6" t="str">
        <f t="shared" si="96"/>
        <v>Jul</v>
      </c>
      <c r="D2088" t="s">
        <v>2154</v>
      </c>
      <c r="E2088" t="s">
        <v>36</v>
      </c>
      <c r="F2088" t="s">
        <v>356</v>
      </c>
      <c r="G2088">
        <v>6</v>
      </c>
      <c r="H2088" s="7">
        <v>281.68</v>
      </c>
      <c r="I2088" t="s">
        <v>32</v>
      </c>
      <c r="J2088" t="s">
        <v>42</v>
      </c>
      <c r="K2088">
        <v>10</v>
      </c>
      <c r="L2088" s="7">
        <f t="shared" si="97"/>
        <v>1690.08</v>
      </c>
      <c r="M2088" s="7"/>
      <c r="O2088">
        <f t="shared" si="98"/>
        <v>2</v>
      </c>
      <c r="Q2088" t="s">
        <v>33</v>
      </c>
    </row>
    <row r="2089" spans="1:17" x14ac:dyDescent="0.3">
      <c r="A2089" t="s">
        <v>3127</v>
      </c>
      <c r="B2089" s="6">
        <v>44941</v>
      </c>
      <c r="C2089" s="6" t="str">
        <f t="shared" si="96"/>
        <v>Jan</v>
      </c>
      <c r="D2089" t="s">
        <v>336</v>
      </c>
      <c r="E2089" t="s">
        <v>50</v>
      </c>
      <c r="F2089" t="s">
        <v>657</v>
      </c>
      <c r="G2089">
        <v>5</v>
      </c>
      <c r="H2089" s="7">
        <v>171.51</v>
      </c>
      <c r="I2089" t="s">
        <v>32</v>
      </c>
      <c r="J2089" t="s">
        <v>22</v>
      </c>
      <c r="K2089">
        <v>20</v>
      </c>
      <c r="L2089" s="7">
        <f t="shared" si="97"/>
        <v>857.55</v>
      </c>
      <c r="M2089" s="7"/>
      <c r="O2089">
        <f t="shared" si="98"/>
        <v>2</v>
      </c>
      <c r="Q2089" t="s">
        <v>33</v>
      </c>
    </row>
    <row r="2090" spans="1:17" x14ac:dyDescent="0.3">
      <c r="A2090" t="s">
        <v>3128</v>
      </c>
      <c r="B2090" s="6">
        <v>45206</v>
      </c>
      <c r="C2090" s="6" t="str">
        <f t="shared" si="96"/>
        <v>Oct</v>
      </c>
      <c r="D2090" t="s">
        <v>2411</v>
      </c>
      <c r="E2090" t="s">
        <v>62</v>
      </c>
      <c r="F2090" t="s">
        <v>102</v>
      </c>
      <c r="G2090">
        <v>2</v>
      </c>
      <c r="H2090" s="7">
        <v>261.92</v>
      </c>
      <c r="I2090" t="s">
        <v>19</v>
      </c>
      <c r="J2090" t="s">
        <v>28</v>
      </c>
      <c r="K2090">
        <v>10</v>
      </c>
      <c r="L2090" s="7">
        <f t="shared" si="97"/>
        <v>523.84</v>
      </c>
      <c r="M2090" s="7"/>
      <c r="O2090">
        <f t="shared" si="98"/>
        <v>2</v>
      </c>
      <c r="Q2090" t="s">
        <v>19</v>
      </c>
    </row>
    <row r="2091" spans="1:17" x14ac:dyDescent="0.3">
      <c r="A2091" t="s">
        <v>3129</v>
      </c>
      <c r="B2091" s="6">
        <v>45090</v>
      </c>
      <c r="C2091" s="6" t="str">
        <f t="shared" si="96"/>
        <v>Jun</v>
      </c>
      <c r="D2091" t="s">
        <v>3130</v>
      </c>
      <c r="E2091" t="s">
        <v>19</v>
      </c>
      <c r="F2091" t="s">
        <v>125</v>
      </c>
      <c r="G2091">
        <v>1</v>
      </c>
      <c r="H2091" s="7">
        <v>489.74</v>
      </c>
      <c r="I2091" t="s">
        <v>19</v>
      </c>
      <c r="J2091" t="s">
        <v>22</v>
      </c>
      <c r="K2091">
        <v>20</v>
      </c>
      <c r="L2091" s="7">
        <f t="shared" si="97"/>
        <v>489.74</v>
      </c>
      <c r="M2091" s="7"/>
      <c r="O2091">
        <f t="shared" si="98"/>
        <v>2</v>
      </c>
      <c r="Q2091" t="s">
        <v>19</v>
      </c>
    </row>
    <row r="2092" spans="1:17" x14ac:dyDescent="0.3">
      <c r="A2092" t="s">
        <v>3131</v>
      </c>
      <c r="B2092" s="6">
        <v>44963</v>
      </c>
      <c r="C2092" s="6" t="str">
        <f t="shared" si="96"/>
        <v>Feb</v>
      </c>
      <c r="D2092" t="s">
        <v>3132</v>
      </c>
      <c r="E2092" t="s">
        <v>40</v>
      </c>
      <c r="F2092" t="s">
        <v>450</v>
      </c>
      <c r="G2092">
        <v>8</v>
      </c>
      <c r="H2092" s="7">
        <v>349.7</v>
      </c>
      <c r="I2092" t="s">
        <v>46</v>
      </c>
      <c r="J2092" t="s">
        <v>87</v>
      </c>
      <c r="K2092">
        <v>20</v>
      </c>
      <c r="L2092" s="7">
        <f t="shared" si="97"/>
        <v>2797.6</v>
      </c>
      <c r="M2092" s="7"/>
      <c r="O2092">
        <f t="shared" si="98"/>
        <v>3</v>
      </c>
      <c r="Q2092" t="s">
        <v>47</v>
      </c>
    </row>
    <row r="2093" spans="1:17" x14ac:dyDescent="0.3">
      <c r="A2093" t="s">
        <v>3133</v>
      </c>
      <c r="B2093" s="6">
        <v>45025</v>
      </c>
      <c r="C2093" s="6" t="str">
        <f t="shared" si="96"/>
        <v>Apr</v>
      </c>
      <c r="D2093" t="s">
        <v>2112</v>
      </c>
      <c r="E2093" t="s">
        <v>19</v>
      </c>
      <c r="F2093" t="s">
        <v>145</v>
      </c>
      <c r="G2093">
        <v>2</v>
      </c>
      <c r="H2093" s="7">
        <v>337.63</v>
      </c>
      <c r="I2093" t="s">
        <v>64</v>
      </c>
      <c r="J2093" t="s">
        <v>42</v>
      </c>
      <c r="K2093">
        <v>10</v>
      </c>
      <c r="L2093" s="7">
        <f t="shared" si="97"/>
        <v>675.26</v>
      </c>
      <c r="M2093" s="7"/>
      <c r="O2093">
        <f t="shared" si="98"/>
        <v>2</v>
      </c>
      <c r="Q2093" t="s">
        <v>65</v>
      </c>
    </row>
    <row r="2094" spans="1:17" x14ac:dyDescent="0.3">
      <c r="A2094" t="s">
        <v>3134</v>
      </c>
      <c r="B2094" s="6">
        <v>45290</v>
      </c>
      <c r="C2094" s="6" t="str">
        <f t="shared" si="96"/>
        <v>Dec</v>
      </c>
      <c r="D2094" t="s">
        <v>153</v>
      </c>
      <c r="E2094" t="s">
        <v>62</v>
      </c>
      <c r="F2094" t="s">
        <v>417</v>
      </c>
      <c r="G2094">
        <v>7</v>
      </c>
      <c r="H2094" s="7">
        <v>124.14</v>
      </c>
      <c r="I2094" t="s">
        <v>21</v>
      </c>
      <c r="J2094" t="s">
        <v>19</v>
      </c>
      <c r="K2094">
        <v>20</v>
      </c>
      <c r="L2094" s="7">
        <f t="shared" si="97"/>
        <v>868.98</v>
      </c>
      <c r="M2094" s="7"/>
      <c r="O2094">
        <f t="shared" si="98"/>
        <v>2</v>
      </c>
      <c r="Q2094" t="s">
        <v>23</v>
      </c>
    </row>
    <row r="2095" spans="1:17" x14ac:dyDescent="0.3">
      <c r="A2095" t="s">
        <v>3135</v>
      </c>
      <c r="B2095" s="6">
        <v>45144</v>
      </c>
      <c r="C2095" s="6" t="str">
        <f t="shared" si="96"/>
        <v>Aug</v>
      </c>
      <c r="D2095" t="s">
        <v>3090</v>
      </c>
      <c r="E2095" t="s">
        <v>31</v>
      </c>
      <c r="F2095" t="s">
        <v>586</v>
      </c>
      <c r="G2095">
        <v>9</v>
      </c>
      <c r="H2095" s="7">
        <v>373.08</v>
      </c>
      <c r="I2095" t="s">
        <v>21</v>
      </c>
      <c r="J2095" t="s">
        <v>42</v>
      </c>
      <c r="K2095">
        <v>0</v>
      </c>
      <c r="L2095" s="7">
        <f t="shared" si="97"/>
        <v>3357.72</v>
      </c>
      <c r="M2095" s="7"/>
      <c r="O2095">
        <f t="shared" si="98"/>
        <v>4</v>
      </c>
      <c r="Q2095" t="s">
        <v>23</v>
      </c>
    </row>
    <row r="2096" spans="1:17" x14ac:dyDescent="0.3">
      <c r="A2096" t="s">
        <v>3136</v>
      </c>
      <c r="B2096" s="6">
        <v>44974</v>
      </c>
      <c r="C2096" s="6" t="str">
        <f t="shared" si="96"/>
        <v>Feb</v>
      </c>
      <c r="D2096" t="s">
        <v>565</v>
      </c>
      <c r="E2096" t="s">
        <v>40</v>
      </c>
      <c r="F2096" t="s">
        <v>322</v>
      </c>
      <c r="G2096">
        <v>9</v>
      </c>
      <c r="H2096" s="7">
        <v>376.38</v>
      </c>
      <c r="I2096" t="s">
        <v>32</v>
      </c>
      <c r="J2096" t="s">
        <v>28</v>
      </c>
      <c r="K2096">
        <v>10</v>
      </c>
      <c r="L2096" s="7">
        <f t="shared" si="97"/>
        <v>3387.42</v>
      </c>
      <c r="M2096" s="7"/>
      <c r="O2096">
        <f t="shared" si="98"/>
        <v>4</v>
      </c>
      <c r="Q2096" t="s">
        <v>33</v>
      </c>
    </row>
    <row r="2097" spans="1:17" x14ac:dyDescent="0.3">
      <c r="A2097" t="s">
        <v>3137</v>
      </c>
      <c r="B2097" s="6">
        <v>44967</v>
      </c>
      <c r="C2097" s="6" t="str">
        <f t="shared" si="96"/>
        <v>Feb</v>
      </c>
      <c r="D2097" t="s">
        <v>2079</v>
      </c>
      <c r="E2097" t="s">
        <v>62</v>
      </c>
      <c r="F2097" t="s">
        <v>909</v>
      </c>
      <c r="G2097">
        <v>8</v>
      </c>
      <c r="H2097" s="7">
        <v>162.06</v>
      </c>
      <c r="I2097" t="s">
        <v>64</v>
      </c>
      <c r="J2097" t="s">
        <v>87</v>
      </c>
      <c r="K2097">
        <v>15</v>
      </c>
      <c r="L2097" s="7">
        <f t="shared" si="97"/>
        <v>1296.48</v>
      </c>
      <c r="M2097" s="7"/>
      <c r="O2097">
        <f t="shared" si="98"/>
        <v>2</v>
      </c>
      <c r="Q2097" t="s">
        <v>65</v>
      </c>
    </row>
    <row r="2098" spans="1:17" x14ac:dyDescent="0.3">
      <c r="A2098" t="s">
        <v>3138</v>
      </c>
      <c r="B2098" s="6">
        <v>45199</v>
      </c>
      <c r="C2098" s="6" t="str">
        <f t="shared" si="96"/>
        <v>Sep</v>
      </c>
      <c r="D2098" t="s">
        <v>527</v>
      </c>
      <c r="E2098" t="s">
        <v>19</v>
      </c>
      <c r="F2098" t="s">
        <v>154</v>
      </c>
      <c r="G2098">
        <v>5</v>
      </c>
      <c r="H2098" s="7">
        <v>244.44</v>
      </c>
      <c r="I2098" t="s">
        <v>46</v>
      </c>
      <c r="J2098" t="s">
        <v>42</v>
      </c>
      <c r="K2098">
        <v>10</v>
      </c>
      <c r="L2098" s="7">
        <f t="shared" si="97"/>
        <v>1222.2</v>
      </c>
      <c r="M2098" s="7"/>
      <c r="O2098">
        <f t="shared" si="98"/>
        <v>2</v>
      </c>
      <c r="Q2098" t="s">
        <v>47</v>
      </c>
    </row>
    <row r="2099" spans="1:17" x14ac:dyDescent="0.3">
      <c r="A2099" t="s">
        <v>3139</v>
      </c>
      <c r="B2099" s="6">
        <v>45111</v>
      </c>
      <c r="C2099" s="6" t="str">
        <f t="shared" si="96"/>
        <v>Jul</v>
      </c>
      <c r="D2099" t="s">
        <v>272</v>
      </c>
      <c r="E2099" t="s">
        <v>50</v>
      </c>
      <c r="F2099" t="s">
        <v>1023</v>
      </c>
      <c r="G2099">
        <v>2</v>
      </c>
      <c r="H2099" s="7">
        <v>150.83000000000001</v>
      </c>
      <c r="I2099" t="s">
        <v>21</v>
      </c>
      <c r="J2099" t="s">
        <v>72</v>
      </c>
      <c r="K2099">
        <v>10</v>
      </c>
      <c r="L2099" s="7">
        <f t="shared" si="97"/>
        <v>301.66000000000003</v>
      </c>
      <c r="M2099" s="7"/>
      <c r="O2099">
        <f t="shared" si="98"/>
        <v>2</v>
      </c>
      <c r="Q2099" t="s">
        <v>23</v>
      </c>
    </row>
    <row r="2100" spans="1:17" x14ac:dyDescent="0.3">
      <c r="A2100" t="s">
        <v>3140</v>
      </c>
      <c r="B2100" s="6">
        <v>45146</v>
      </c>
      <c r="C2100" s="6" t="str">
        <f t="shared" si="96"/>
        <v>Aug</v>
      </c>
      <c r="D2100" t="s">
        <v>1205</v>
      </c>
      <c r="E2100" t="s">
        <v>36</v>
      </c>
      <c r="F2100" t="s">
        <v>549</v>
      </c>
      <c r="G2100">
        <v>6</v>
      </c>
      <c r="H2100" s="7">
        <v>133.06</v>
      </c>
      <c r="I2100" t="s">
        <v>64</v>
      </c>
      <c r="J2100" t="s">
        <v>28</v>
      </c>
      <c r="K2100">
        <v>5</v>
      </c>
      <c r="L2100" s="7">
        <f t="shared" si="97"/>
        <v>798.36</v>
      </c>
      <c r="M2100" s="7"/>
      <c r="O2100">
        <f t="shared" si="98"/>
        <v>2</v>
      </c>
      <c r="Q2100" t="s">
        <v>65</v>
      </c>
    </row>
    <row r="2101" spans="1:17" x14ac:dyDescent="0.3">
      <c r="A2101" t="s">
        <v>3141</v>
      </c>
      <c r="B2101" s="6">
        <v>44955</v>
      </c>
      <c r="C2101" s="6" t="str">
        <f t="shared" si="96"/>
        <v>Jan</v>
      </c>
      <c r="D2101" t="s">
        <v>3142</v>
      </c>
      <c r="E2101" t="s">
        <v>50</v>
      </c>
      <c r="F2101" t="s">
        <v>75</v>
      </c>
      <c r="G2101">
        <v>4</v>
      </c>
      <c r="H2101" s="7">
        <v>17.82</v>
      </c>
      <c r="I2101" t="s">
        <v>103</v>
      </c>
      <c r="J2101" t="s">
        <v>72</v>
      </c>
      <c r="K2101">
        <v>0</v>
      </c>
      <c r="L2101" s="7">
        <f t="shared" si="97"/>
        <v>71.28</v>
      </c>
      <c r="M2101" s="7"/>
      <c r="O2101">
        <f t="shared" si="98"/>
        <v>2</v>
      </c>
      <c r="Q2101" t="s">
        <v>104</v>
      </c>
    </row>
    <row r="2102" spans="1:17" x14ac:dyDescent="0.3">
      <c r="A2102" t="s">
        <v>3143</v>
      </c>
      <c r="B2102" s="6">
        <v>45003</v>
      </c>
      <c r="C2102" s="6" t="str">
        <f t="shared" si="96"/>
        <v>Mar</v>
      </c>
      <c r="D2102" t="s">
        <v>1520</v>
      </c>
      <c r="E2102" t="s">
        <v>19</v>
      </c>
      <c r="F2102" t="s">
        <v>331</v>
      </c>
      <c r="G2102">
        <v>4</v>
      </c>
      <c r="H2102" s="7">
        <v>146.18</v>
      </c>
      <c r="I2102" t="s">
        <v>103</v>
      </c>
      <c r="J2102" t="s">
        <v>28</v>
      </c>
      <c r="K2102">
        <v>15</v>
      </c>
      <c r="L2102" s="7">
        <f t="shared" si="97"/>
        <v>584.72</v>
      </c>
      <c r="M2102" s="7"/>
      <c r="O2102">
        <f t="shared" si="98"/>
        <v>2</v>
      </c>
      <c r="Q2102" t="s">
        <v>104</v>
      </c>
    </row>
    <row r="2103" spans="1:17" x14ac:dyDescent="0.3">
      <c r="A2103" t="s">
        <v>3144</v>
      </c>
      <c r="B2103" s="6">
        <v>45025</v>
      </c>
      <c r="C2103" s="6" t="str">
        <f t="shared" si="96"/>
        <v>Apr</v>
      </c>
      <c r="D2103" t="s">
        <v>1690</v>
      </c>
      <c r="E2103" t="s">
        <v>19</v>
      </c>
      <c r="F2103" t="s">
        <v>944</v>
      </c>
      <c r="G2103">
        <v>5</v>
      </c>
      <c r="H2103" s="7">
        <v>279.22000000000003</v>
      </c>
      <c r="I2103" t="s">
        <v>46</v>
      </c>
      <c r="J2103" t="s">
        <v>72</v>
      </c>
      <c r="K2103">
        <v>0</v>
      </c>
      <c r="L2103" s="7">
        <f t="shared" si="97"/>
        <v>1396.1000000000001</v>
      </c>
      <c r="M2103" s="7"/>
      <c r="O2103">
        <f t="shared" si="98"/>
        <v>2</v>
      </c>
      <c r="Q2103" t="s">
        <v>47</v>
      </c>
    </row>
    <row r="2104" spans="1:17" x14ac:dyDescent="0.3">
      <c r="A2104" t="s">
        <v>3145</v>
      </c>
      <c r="B2104" s="6">
        <v>45221</v>
      </c>
      <c r="C2104" s="6" t="str">
        <f t="shared" si="96"/>
        <v>Oct</v>
      </c>
      <c r="D2104" t="s">
        <v>760</v>
      </c>
      <c r="E2104" t="s">
        <v>26</v>
      </c>
      <c r="F2104" t="s">
        <v>347</v>
      </c>
      <c r="G2104">
        <v>3</v>
      </c>
      <c r="H2104" s="7">
        <v>5.79</v>
      </c>
      <c r="I2104" t="s">
        <v>19</v>
      </c>
      <c r="J2104" t="s">
        <v>19</v>
      </c>
      <c r="K2104">
        <v>0</v>
      </c>
      <c r="L2104" s="7">
        <f t="shared" si="97"/>
        <v>17.37</v>
      </c>
      <c r="M2104" s="7"/>
      <c r="O2104">
        <f t="shared" si="98"/>
        <v>2</v>
      </c>
      <c r="Q2104" t="s">
        <v>19</v>
      </c>
    </row>
    <row r="2105" spans="1:17" x14ac:dyDescent="0.3">
      <c r="A2105" t="s">
        <v>3146</v>
      </c>
      <c r="B2105" s="6">
        <v>45253</v>
      </c>
      <c r="C2105" s="6" t="str">
        <f t="shared" si="96"/>
        <v>Nov</v>
      </c>
      <c r="D2105" t="s">
        <v>1503</v>
      </c>
      <c r="E2105" t="s">
        <v>36</v>
      </c>
      <c r="F2105" t="s">
        <v>730</v>
      </c>
      <c r="G2105">
        <v>1</v>
      </c>
      <c r="H2105" s="7">
        <v>145.19</v>
      </c>
      <c r="I2105" t="s">
        <v>46</v>
      </c>
      <c r="J2105" t="s">
        <v>19</v>
      </c>
      <c r="K2105">
        <v>5</v>
      </c>
      <c r="L2105" s="7">
        <f t="shared" si="97"/>
        <v>145.19</v>
      </c>
      <c r="M2105" s="7"/>
      <c r="O2105">
        <f t="shared" si="98"/>
        <v>2</v>
      </c>
      <c r="Q2105" t="s">
        <v>47</v>
      </c>
    </row>
    <row r="2106" spans="1:17" x14ac:dyDescent="0.3">
      <c r="A2106" t="s">
        <v>3147</v>
      </c>
      <c r="B2106" s="6">
        <v>44970</v>
      </c>
      <c r="C2106" s="6" t="str">
        <f t="shared" si="96"/>
        <v>Feb</v>
      </c>
      <c r="D2106" t="s">
        <v>1087</v>
      </c>
      <c r="E2106" t="s">
        <v>19</v>
      </c>
      <c r="F2106" t="s">
        <v>273</v>
      </c>
      <c r="G2106">
        <v>8</v>
      </c>
      <c r="H2106" s="7">
        <v>441.3</v>
      </c>
      <c r="I2106" t="s">
        <v>64</v>
      </c>
      <c r="J2106" t="s">
        <v>19</v>
      </c>
      <c r="K2106">
        <v>15</v>
      </c>
      <c r="L2106" s="7">
        <f t="shared" si="97"/>
        <v>3530.4</v>
      </c>
      <c r="M2106" s="7"/>
      <c r="O2106">
        <f t="shared" si="98"/>
        <v>5</v>
      </c>
      <c r="Q2106" t="s">
        <v>65</v>
      </c>
    </row>
    <row r="2107" spans="1:17" x14ac:dyDescent="0.3">
      <c r="A2107" t="s">
        <v>3148</v>
      </c>
      <c r="B2107" s="6">
        <v>45003</v>
      </c>
      <c r="C2107" s="6" t="str">
        <f t="shared" si="96"/>
        <v>Mar</v>
      </c>
      <c r="D2107" t="s">
        <v>1008</v>
      </c>
      <c r="E2107" t="s">
        <v>50</v>
      </c>
      <c r="F2107" t="s">
        <v>511</v>
      </c>
      <c r="G2107">
        <v>5</v>
      </c>
      <c r="H2107" s="7">
        <v>298.86</v>
      </c>
      <c r="I2107" t="s">
        <v>19</v>
      </c>
      <c r="J2107" t="s">
        <v>87</v>
      </c>
      <c r="K2107">
        <v>0</v>
      </c>
      <c r="L2107" s="7">
        <f t="shared" si="97"/>
        <v>1494.3000000000002</v>
      </c>
      <c r="M2107" s="7"/>
      <c r="O2107">
        <f t="shared" si="98"/>
        <v>2</v>
      </c>
      <c r="Q2107" t="s">
        <v>19</v>
      </c>
    </row>
    <row r="2108" spans="1:17" x14ac:dyDescent="0.3">
      <c r="A2108" t="s">
        <v>3149</v>
      </c>
      <c r="B2108" s="6">
        <v>44957</v>
      </c>
      <c r="C2108" s="6" t="str">
        <f t="shared" si="96"/>
        <v>Jan</v>
      </c>
      <c r="D2108" t="s">
        <v>2012</v>
      </c>
      <c r="E2108" t="s">
        <v>62</v>
      </c>
      <c r="F2108" t="s">
        <v>642</v>
      </c>
      <c r="G2108">
        <v>3</v>
      </c>
      <c r="H2108" s="7">
        <v>305.89</v>
      </c>
      <c r="I2108" t="s">
        <v>46</v>
      </c>
      <c r="J2108" t="s">
        <v>28</v>
      </c>
      <c r="K2108">
        <v>5</v>
      </c>
      <c r="L2108" s="7">
        <f t="shared" si="97"/>
        <v>917.67</v>
      </c>
      <c r="M2108" s="7"/>
      <c r="O2108">
        <f t="shared" si="98"/>
        <v>2</v>
      </c>
      <c r="Q2108" t="s">
        <v>47</v>
      </c>
    </row>
    <row r="2109" spans="1:17" x14ac:dyDescent="0.3">
      <c r="A2109" t="s">
        <v>3150</v>
      </c>
      <c r="B2109" s="6">
        <v>45011</v>
      </c>
      <c r="C2109" s="6" t="str">
        <f t="shared" si="96"/>
        <v>Mar</v>
      </c>
      <c r="D2109" t="s">
        <v>221</v>
      </c>
      <c r="E2109" t="s">
        <v>50</v>
      </c>
      <c r="F2109" t="s">
        <v>423</v>
      </c>
      <c r="G2109">
        <v>7</v>
      </c>
      <c r="H2109" s="7">
        <v>204.67</v>
      </c>
      <c r="I2109" t="s">
        <v>21</v>
      </c>
      <c r="J2109" t="s">
        <v>87</v>
      </c>
      <c r="K2109">
        <v>10</v>
      </c>
      <c r="L2109" s="7">
        <f t="shared" si="97"/>
        <v>1432.6899999999998</v>
      </c>
      <c r="M2109" s="7"/>
      <c r="O2109">
        <f t="shared" si="98"/>
        <v>2</v>
      </c>
      <c r="Q2109" t="s">
        <v>23</v>
      </c>
    </row>
    <row r="2110" spans="1:17" x14ac:dyDescent="0.3">
      <c r="A2110" t="s">
        <v>3151</v>
      </c>
      <c r="B2110" s="6">
        <v>45158</v>
      </c>
      <c r="C2110" s="6" t="str">
        <f t="shared" si="96"/>
        <v>Aug</v>
      </c>
      <c r="D2110" t="s">
        <v>1271</v>
      </c>
      <c r="E2110" t="s">
        <v>19</v>
      </c>
      <c r="F2110" t="s">
        <v>157</v>
      </c>
      <c r="G2110">
        <v>7</v>
      </c>
      <c r="H2110" s="7">
        <v>339.85</v>
      </c>
      <c r="I2110" t="s">
        <v>19</v>
      </c>
      <c r="J2110" t="s">
        <v>28</v>
      </c>
      <c r="K2110">
        <v>5</v>
      </c>
      <c r="L2110" s="7">
        <f t="shared" si="97"/>
        <v>2378.9500000000003</v>
      </c>
      <c r="M2110" s="7"/>
      <c r="O2110">
        <f t="shared" si="98"/>
        <v>2</v>
      </c>
      <c r="Q2110" t="s">
        <v>19</v>
      </c>
    </row>
    <row r="2111" spans="1:17" x14ac:dyDescent="0.3">
      <c r="A2111" t="s">
        <v>3152</v>
      </c>
      <c r="B2111" s="6">
        <v>45004</v>
      </c>
      <c r="C2111" s="6" t="str">
        <f t="shared" si="96"/>
        <v>Mar</v>
      </c>
      <c r="D2111" t="s">
        <v>277</v>
      </c>
      <c r="E2111" t="s">
        <v>62</v>
      </c>
      <c r="F2111" t="s">
        <v>128</v>
      </c>
      <c r="G2111">
        <v>1</v>
      </c>
      <c r="H2111" s="7">
        <v>99.02</v>
      </c>
      <c r="I2111" t="s">
        <v>64</v>
      </c>
      <c r="J2111" t="s">
        <v>42</v>
      </c>
      <c r="K2111">
        <v>20</v>
      </c>
      <c r="L2111" s="7">
        <f t="shared" si="97"/>
        <v>99.02</v>
      </c>
      <c r="M2111" s="7"/>
      <c r="O2111">
        <f t="shared" si="98"/>
        <v>2</v>
      </c>
      <c r="Q2111" t="s">
        <v>65</v>
      </c>
    </row>
    <row r="2112" spans="1:17" x14ac:dyDescent="0.3">
      <c r="A2112" t="s">
        <v>3153</v>
      </c>
      <c r="B2112" s="6">
        <v>45094</v>
      </c>
      <c r="C2112" s="6" t="str">
        <f t="shared" si="96"/>
        <v>Jun</v>
      </c>
      <c r="D2112" t="s">
        <v>648</v>
      </c>
      <c r="E2112" t="s">
        <v>19</v>
      </c>
      <c r="F2112" t="s">
        <v>139</v>
      </c>
      <c r="G2112">
        <v>9</v>
      </c>
      <c r="H2112" s="7">
        <v>410.28</v>
      </c>
      <c r="I2112" t="s">
        <v>46</v>
      </c>
      <c r="J2112" t="s">
        <v>22</v>
      </c>
      <c r="K2112">
        <v>10</v>
      </c>
      <c r="L2112" s="7">
        <f t="shared" si="97"/>
        <v>3692.5199999999995</v>
      </c>
      <c r="M2112" s="7"/>
      <c r="O2112">
        <f t="shared" si="98"/>
        <v>5</v>
      </c>
      <c r="Q2112" t="s">
        <v>47</v>
      </c>
    </row>
    <row r="2113" spans="1:17" x14ac:dyDescent="0.3">
      <c r="A2113" t="s">
        <v>3154</v>
      </c>
      <c r="B2113" s="6">
        <v>45185</v>
      </c>
      <c r="C2113" s="6" t="str">
        <f t="shared" si="96"/>
        <v>Sep</v>
      </c>
      <c r="D2113" t="s">
        <v>2119</v>
      </c>
      <c r="E2113" t="s">
        <v>50</v>
      </c>
      <c r="F2113" t="s">
        <v>341</v>
      </c>
      <c r="G2113">
        <v>2</v>
      </c>
      <c r="H2113" s="7">
        <v>62.76</v>
      </c>
      <c r="I2113" t="s">
        <v>32</v>
      </c>
      <c r="J2113" t="s">
        <v>72</v>
      </c>
      <c r="K2113">
        <v>5</v>
      </c>
      <c r="L2113" s="7">
        <f t="shared" si="97"/>
        <v>125.52</v>
      </c>
      <c r="M2113" s="7"/>
      <c r="O2113">
        <f t="shared" si="98"/>
        <v>2</v>
      </c>
      <c r="Q2113" t="s">
        <v>33</v>
      </c>
    </row>
    <row r="2114" spans="1:17" x14ac:dyDescent="0.3">
      <c r="A2114" t="s">
        <v>3155</v>
      </c>
      <c r="B2114" s="6">
        <v>44989</v>
      </c>
      <c r="C2114" s="6" t="str">
        <f t="shared" si="96"/>
        <v>Mar</v>
      </c>
      <c r="D2114" t="s">
        <v>210</v>
      </c>
      <c r="E2114" t="s">
        <v>31</v>
      </c>
      <c r="F2114" t="s">
        <v>303</v>
      </c>
      <c r="G2114">
        <v>5</v>
      </c>
      <c r="H2114" s="7">
        <v>329.72</v>
      </c>
      <c r="I2114" t="s">
        <v>64</v>
      </c>
      <c r="J2114" t="s">
        <v>72</v>
      </c>
      <c r="K2114">
        <v>5</v>
      </c>
      <c r="L2114" s="7">
        <f t="shared" si="97"/>
        <v>1648.6000000000001</v>
      </c>
      <c r="M2114" s="7"/>
      <c r="O2114">
        <f t="shared" si="98"/>
        <v>2</v>
      </c>
      <c r="Q2114" t="s">
        <v>65</v>
      </c>
    </row>
    <row r="2115" spans="1:17" x14ac:dyDescent="0.3">
      <c r="A2115" t="s">
        <v>3156</v>
      </c>
      <c r="B2115" s="6">
        <v>45109</v>
      </c>
      <c r="C2115" s="6" t="str">
        <f t="shared" ref="C2115:C2178" si="99">TEXT(B2115,"MMM")</f>
        <v>Jul</v>
      </c>
      <c r="D2115" t="s">
        <v>460</v>
      </c>
      <c r="E2115" t="s">
        <v>62</v>
      </c>
      <c r="F2115" t="s">
        <v>308</v>
      </c>
      <c r="G2115">
        <v>5</v>
      </c>
      <c r="H2115" s="7">
        <v>173.87</v>
      </c>
      <c r="I2115" t="s">
        <v>64</v>
      </c>
      <c r="J2115" t="s">
        <v>72</v>
      </c>
      <c r="K2115">
        <v>5</v>
      </c>
      <c r="L2115" s="7">
        <f t="shared" ref="L2115:L2178" si="100">G2115*H2115</f>
        <v>869.35</v>
      </c>
      <c r="M2115" s="7"/>
      <c r="O2115">
        <f t="shared" si="98"/>
        <v>2</v>
      </c>
      <c r="Q2115" t="s">
        <v>65</v>
      </c>
    </row>
    <row r="2116" spans="1:17" x14ac:dyDescent="0.3">
      <c r="A2116" t="s">
        <v>3157</v>
      </c>
      <c r="B2116" s="6">
        <v>44989</v>
      </c>
      <c r="C2116" s="6" t="str">
        <f t="shared" si="99"/>
        <v>Mar</v>
      </c>
      <c r="D2116" t="s">
        <v>2001</v>
      </c>
      <c r="E2116" t="s">
        <v>62</v>
      </c>
      <c r="F2116" t="s">
        <v>586</v>
      </c>
      <c r="G2116">
        <v>8</v>
      </c>
      <c r="H2116" s="7">
        <v>375.02</v>
      </c>
      <c r="I2116" t="s">
        <v>32</v>
      </c>
      <c r="J2116" t="s">
        <v>22</v>
      </c>
      <c r="K2116">
        <v>0</v>
      </c>
      <c r="L2116" s="7">
        <f t="shared" si="100"/>
        <v>3000.16</v>
      </c>
      <c r="M2116" s="7"/>
      <c r="O2116">
        <f t="shared" ref="O2116:O2179" si="101">IF(L2116&gt;3500,5,IF(L2116&gt;3000,4,IF(L2116&gt;2500,3,IF(L2116&gt;2000,2,IF(L2116&gt;1000,2,2)))))</f>
        <v>4</v>
      </c>
      <c r="Q2116" t="s">
        <v>33</v>
      </c>
    </row>
    <row r="2117" spans="1:17" x14ac:dyDescent="0.3">
      <c r="A2117" t="s">
        <v>3158</v>
      </c>
      <c r="B2117" s="6">
        <v>45048</v>
      </c>
      <c r="C2117" s="6" t="str">
        <f t="shared" si="99"/>
        <v>May</v>
      </c>
      <c r="D2117" t="s">
        <v>1495</v>
      </c>
      <c r="E2117" t="s">
        <v>36</v>
      </c>
      <c r="F2117" t="s">
        <v>939</v>
      </c>
      <c r="G2117">
        <v>8</v>
      </c>
      <c r="H2117" s="7">
        <v>277.13</v>
      </c>
      <c r="I2117" t="s">
        <v>64</v>
      </c>
      <c r="J2117" t="s">
        <v>72</v>
      </c>
      <c r="K2117">
        <v>15</v>
      </c>
      <c r="L2117" s="7">
        <f t="shared" si="100"/>
        <v>2217.04</v>
      </c>
      <c r="M2117" s="7"/>
      <c r="O2117">
        <f t="shared" si="101"/>
        <v>2</v>
      </c>
      <c r="Q2117" t="s">
        <v>65</v>
      </c>
    </row>
    <row r="2118" spans="1:17" x14ac:dyDescent="0.3">
      <c r="A2118" t="s">
        <v>3159</v>
      </c>
      <c r="B2118" s="6">
        <v>45020</v>
      </c>
      <c r="C2118" s="6" t="str">
        <f t="shared" si="99"/>
        <v>Apr</v>
      </c>
      <c r="D2118" t="s">
        <v>1751</v>
      </c>
      <c r="E2118" t="s">
        <v>19</v>
      </c>
      <c r="F2118" t="s">
        <v>188</v>
      </c>
      <c r="G2118">
        <v>7</v>
      </c>
      <c r="H2118" s="7">
        <v>228.91</v>
      </c>
      <c r="I2118" t="s">
        <v>46</v>
      </c>
      <c r="J2118" t="s">
        <v>22</v>
      </c>
      <c r="K2118">
        <v>5</v>
      </c>
      <c r="L2118" s="7">
        <f t="shared" si="100"/>
        <v>1602.37</v>
      </c>
      <c r="M2118" s="7"/>
      <c r="O2118">
        <f t="shared" si="101"/>
        <v>2</v>
      </c>
      <c r="Q2118" t="s">
        <v>47</v>
      </c>
    </row>
    <row r="2119" spans="1:17" x14ac:dyDescent="0.3">
      <c r="A2119" t="s">
        <v>3160</v>
      </c>
      <c r="B2119" s="6">
        <v>45286</v>
      </c>
      <c r="C2119" s="6" t="str">
        <f t="shared" si="99"/>
        <v>Dec</v>
      </c>
      <c r="D2119" t="s">
        <v>1336</v>
      </c>
      <c r="E2119" t="s">
        <v>19</v>
      </c>
      <c r="F2119" t="s">
        <v>944</v>
      </c>
      <c r="G2119">
        <v>7</v>
      </c>
      <c r="H2119" s="7">
        <v>88.86</v>
      </c>
      <c r="I2119" t="s">
        <v>64</v>
      </c>
      <c r="J2119" t="s">
        <v>87</v>
      </c>
      <c r="K2119">
        <v>5</v>
      </c>
      <c r="L2119" s="7">
        <f t="shared" si="100"/>
        <v>622.02</v>
      </c>
      <c r="M2119" s="7"/>
      <c r="O2119">
        <f t="shared" si="101"/>
        <v>2</v>
      </c>
      <c r="Q2119" t="s">
        <v>65</v>
      </c>
    </row>
    <row r="2120" spans="1:17" x14ac:dyDescent="0.3">
      <c r="A2120" t="s">
        <v>3161</v>
      </c>
      <c r="B2120" s="6">
        <v>44995</v>
      </c>
      <c r="C2120" s="6" t="str">
        <f t="shared" si="99"/>
        <v>Mar</v>
      </c>
      <c r="D2120" t="s">
        <v>618</v>
      </c>
      <c r="E2120" t="s">
        <v>50</v>
      </c>
      <c r="F2120" t="s">
        <v>822</v>
      </c>
      <c r="G2120">
        <v>6</v>
      </c>
      <c r="H2120" s="7">
        <v>320.23</v>
      </c>
      <c r="I2120" t="s">
        <v>46</v>
      </c>
      <c r="J2120" t="s">
        <v>22</v>
      </c>
      <c r="K2120">
        <v>20</v>
      </c>
      <c r="L2120" s="7">
        <f t="shared" si="100"/>
        <v>1921.38</v>
      </c>
      <c r="M2120" s="7"/>
      <c r="O2120">
        <f t="shared" si="101"/>
        <v>2</v>
      </c>
      <c r="Q2120" t="s">
        <v>47</v>
      </c>
    </row>
    <row r="2121" spans="1:17" x14ac:dyDescent="0.3">
      <c r="A2121" t="s">
        <v>3162</v>
      </c>
      <c r="B2121" s="6">
        <v>45161</v>
      </c>
      <c r="C2121" s="6" t="str">
        <f t="shared" si="99"/>
        <v>Aug</v>
      </c>
      <c r="D2121" t="s">
        <v>336</v>
      </c>
      <c r="E2121" t="s">
        <v>31</v>
      </c>
      <c r="F2121" t="s">
        <v>383</v>
      </c>
      <c r="G2121">
        <v>6</v>
      </c>
      <c r="H2121" s="7">
        <v>487.51</v>
      </c>
      <c r="I2121" t="s">
        <v>19</v>
      </c>
      <c r="J2121" t="s">
        <v>87</v>
      </c>
      <c r="K2121">
        <v>20</v>
      </c>
      <c r="L2121" s="7">
        <f t="shared" si="100"/>
        <v>2925.06</v>
      </c>
      <c r="M2121" s="7"/>
      <c r="O2121">
        <f t="shared" si="101"/>
        <v>3</v>
      </c>
      <c r="Q2121" t="s">
        <v>19</v>
      </c>
    </row>
    <row r="2122" spans="1:17" x14ac:dyDescent="0.3">
      <c r="A2122" t="s">
        <v>3163</v>
      </c>
      <c r="B2122" s="6">
        <v>44991</v>
      </c>
      <c r="C2122" s="6" t="str">
        <f t="shared" si="99"/>
        <v>Mar</v>
      </c>
      <c r="D2122" t="s">
        <v>1199</v>
      </c>
      <c r="E2122" t="s">
        <v>31</v>
      </c>
      <c r="F2122" t="s">
        <v>248</v>
      </c>
      <c r="G2122">
        <v>9</v>
      </c>
      <c r="H2122" s="7">
        <v>413.67</v>
      </c>
      <c r="I2122" t="s">
        <v>64</v>
      </c>
      <c r="J2122" t="s">
        <v>28</v>
      </c>
      <c r="K2122">
        <v>10</v>
      </c>
      <c r="L2122" s="7">
        <f t="shared" si="100"/>
        <v>3723.03</v>
      </c>
      <c r="M2122" s="7"/>
      <c r="O2122">
        <f t="shared" si="101"/>
        <v>5</v>
      </c>
      <c r="Q2122" t="s">
        <v>65</v>
      </c>
    </row>
    <row r="2123" spans="1:17" x14ac:dyDescent="0.3">
      <c r="A2123" t="s">
        <v>3164</v>
      </c>
      <c r="B2123" s="6">
        <v>45006</v>
      </c>
      <c r="C2123" s="6" t="str">
        <f t="shared" si="99"/>
        <v>Mar</v>
      </c>
      <c r="D2123" t="s">
        <v>1775</v>
      </c>
      <c r="E2123" t="s">
        <v>19</v>
      </c>
      <c r="F2123" t="s">
        <v>538</v>
      </c>
      <c r="G2123">
        <v>6</v>
      </c>
      <c r="H2123" s="7">
        <v>34.700000000000003</v>
      </c>
      <c r="I2123" t="s">
        <v>19</v>
      </c>
      <c r="J2123" t="s">
        <v>72</v>
      </c>
      <c r="K2123">
        <v>10</v>
      </c>
      <c r="L2123" s="7">
        <f t="shared" si="100"/>
        <v>208.20000000000002</v>
      </c>
      <c r="M2123" s="7"/>
      <c r="O2123">
        <f t="shared" si="101"/>
        <v>2</v>
      </c>
      <c r="Q2123" t="s">
        <v>19</v>
      </c>
    </row>
    <row r="2124" spans="1:17" x14ac:dyDescent="0.3">
      <c r="A2124" t="s">
        <v>3165</v>
      </c>
      <c r="B2124" s="6">
        <v>45162</v>
      </c>
      <c r="C2124" s="6" t="str">
        <f t="shared" si="99"/>
        <v>Aug</v>
      </c>
      <c r="D2124" t="s">
        <v>1781</v>
      </c>
      <c r="E2124" t="s">
        <v>19</v>
      </c>
      <c r="F2124" t="s">
        <v>706</v>
      </c>
      <c r="G2124">
        <v>2</v>
      </c>
      <c r="H2124" s="7">
        <v>191.23</v>
      </c>
      <c r="I2124" t="s">
        <v>19</v>
      </c>
      <c r="J2124" t="s">
        <v>42</v>
      </c>
      <c r="K2124">
        <v>20</v>
      </c>
      <c r="L2124" s="7">
        <f t="shared" si="100"/>
        <v>382.46</v>
      </c>
      <c r="M2124" s="7"/>
      <c r="O2124">
        <f t="shared" si="101"/>
        <v>2</v>
      </c>
      <c r="Q2124" t="s">
        <v>19</v>
      </c>
    </row>
    <row r="2125" spans="1:17" x14ac:dyDescent="0.3">
      <c r="A2125" t="s">
        <v>3166</v>
      </c>
      <c r="B2125" s="6">
        <v>45276</v>
      </c>
      <c r="C2125" s="6" t="str">
        <f t="shared" si="99"/>
        <v>Dec</v>
      </c>
      <c r="D2125" t="s">
        <v>3036</v>
      </c>
      <c r="E2125" t="s">
        <v>50</v>
      </c>
      <c r="F2125" t="s">
        <v>1328</v>
      </c>
      <c r="G2125">
        <v>2</v>
      </c>
      <c r="H2125" s="7">
        <v>463.16</v>
      </c>
      <c r="I2125" t="s">
        <v>64</v>
      </c>
      <c r="J2125" t="s">
        <v>87</v>
      </c>
      <c r="K2125">
        <v>15</v>
      </c>
      <c r="L2125" s="7">
        <f t="shared" si="100"/>
        <v>926.32</v>
      </c>
      <c r="M2125" s="7"/>
      <c r="O2125">
        <f t="shared" si="101"/>
        <v>2</v>
      </c>
      <c r="Q2125" t="s">
        <v>65</v>
      </c>
    </row>
    <row r="2126" spans="1:17" x14ac:dyDescent="0.3">
      <c r="A2126" t="s">
        <v>3167</v>
      </c>
      <c r="B2126" s="6">
        <v>44969</v>
      </c>
      <c r="C2126" s="6" t="str">
        <f t="shared" si="99"/>
        <v>Feb</v>
      </c>
      <c r="D2126" t="s">
        <v>1418</v>
      </c>
      <c r="E2126" t="s">
        <v>19</v>
      </c>
      <c r="F2126" t="s">
        <v>1194</v>
      </c>
      <c r="G2126">
        <v>5</v>
      </c>
      <c r="H2126" s="7">
        <v>254.01</v>
      </c>
      <c r="I2126" t="s">
        <v>64</v>
      </c>
      <c r="J2126" t="s">
        <v>87</v>
      </c>
      <c r="K2126">
        <v>10</v>
      </c>
      <c r="L2126" s="7">
        <f t="shared" si="100"/>
        <v>1270.05</v>
      </c>
      <c r="M2126" s="7"/>
      <c r="O2126">
        <f t="shared" si="101"/>
        <v>2</v>
      </c>
      <c r="Q2126" t="s">
        <v>65</v>
      </c>
    </row>
    <row r="2127" spans="1:17" x14ac:dyDescent="0.3">
      <c r="A2127" t="s">
        <v>3168</v>
      </c>
      <c r="B2127" s="6">
        <v>45098</v>
      </c>
      <c r="C2127" s="6" t="str">
        <f t="shared" si="99"/>
        <v>Jun</v>
      </c>
      <c r="D2127" t="s">
        <v>86</v>
      </c>
      <c r="E2127" t="s">
        <v>19</v>
      </c>
      <c r="F2127" t="s">
        <v>2185</v>
      </c>
      <c r="G2127">
        <v>4</v>
      </c>
      <c r="H2127" s="7">
        <v>332.75</v>
      </c>
      <c r="I2127" t="s">
        <v>103</v>
      </c>
      <c r="J2127" t="s">
        <v>22</v>
      </c>
      <c r="K2127">
        <v>10</v>
      </c>
      <c r="L2127" s="7">
        <f t="shared" si="100"/>
        <v>1331</v>
      </c>
      <c r="M2127" s="7"/>
      <c r="O2127">
        <f t="shared" si="101"/>
        <v>2</v>
      </c>
      <c r="Q2127" t="s">
        <v>104</v>
      </c>
    </row>
    <row r="2128" spans="1:17" x14ac:dyDescent="0.3">
      <c r="A2128" t="s">
        <v>3169</v>
      </c>
      <c r="B2128" s="6">
        <v>44964</v>
      </c>
      <c r="C2128" s="6" t="str">
        <f t="shared" si="99"/>
        <v>Feb</v>
      </c>
      <c r="D2128" t="s">
        <v>766</v>
      </c>
      <c r="E2128" t="s">
        <v>40</v>
      </c>
      <c r="F2128" t="s">
        <v>2185</v>
      </c>
      <c r="G2128">
        <v>2</v>
      </c>
      <c r="H2128" s="7">
        <v>456.74</v>
      </c>
      <c r="I2128" t="s">
        <v>21</v>
      </c>
      <c r="J2128" t="s">
        <v>19</v>
      </c>
      <c r="K2128">
        <v>10</v>
      </c>
      <c r="L2128" s="7">
        <f t="shared" si="100"/>
        <v>913.48</v>
      </c>
      <c r="M2128" s="7"/>
      <c r="O2128">
        <f t="shared" si="101"/>
        <v>2</v>
      </c>
      <c r="Q2128" t="s">
        <v>23</v>
      </c>
    </row>
    <row r="2129" spans="1:17" x14ac:dyDescent="0.3">
      <c r="A2129" t="s">
        <v>3170</v>
      </c>
      <c r="B2129" s="6">
        <v>45011</v>
      </c>
      <c r="C2129" s="6" t="str">
        <f t="shared" si="99"/>
        <v>Mar</v>
      </c>
      <c r="D2129" t="s">
        <v>1313</v>
      </c>
      <c r="E2129" t="s">
        <v>19</v>
      </c>
      <c r="F2129" t="s">
        <v>341</v>
      </c>
      <c r="G2129">
        <v>3</v>
      </c>
      <c r="H2129" s="7">
        <v>437.53</v>
      </c>
      <c r="I2129" t="s">
        <v>32</v>
      </c>
      <c r="J2129" t="s">
        <v>19</v>
      </c>
      <c r="K2129">
        <v>15</v>
      </c>
      <c r="L2129" s="7">
        <f t="shared" si="100"/>
        <v>1312.59</v>
      </c>
      <c r="M2129" s="7"/>
      <c r="O2129">
        <f t="shared" si="101"/>
        <v>2</v>
      </c>
      <c r="Q2129" t="s">
        <v>33</v>
      </c>
    </row>
    <row r="2130" spans="1:17" x14ac:dyDescent="0.3">
      <c r="A2130" t="s">
        <v>3171</v>
      </c>
      <c r="B2130" s="6">
        <v>45209</v>
      </c>
      <c r="C2130" s="6" t="str">
        <f t="shared" si="99"/>
        <v>Oct</v>
      </c>
      <c r="D2130" t="s">
        <v>349</v>
      </c>
      <c r="E2130" t="s">
        <v>40</v>
      </c>
      <c r="F2130" t="s">
        <v>37</v>
      </c>
      <c r="G2130">
        <v>7</v>
      </c>
      <c r="H2130" s="7">
        <v>253.4</v>
      </c>
      <c r="I2130" t="s">
        <v>103</v>
      </c>
      <c r="J2130" t="s">
        <v>22</v>
      </c>
      <c r="K2130">
        <v>20</v>
      </c>
      <c r="L2130" s="7">
        <f t="shared" si="100"/>
        <v>1773.8</v>
      </c>
      <c r="M2130" s="7"/>
      <c r="O2130">
        <f t="shared" si="101"/>
        <v>2</v>
      </c>
      <c r="Q2130" t="s">
        <v>104</v>
      </c>
    </row>
    <row r="2131" spans="1:17" x14ac:dyDescent="0.3">
      <c r="A2131" t="s">
        <v>3172</v>
      </c>
      <c r="B2131" s="6">
        <v>45260</v>
      </c>
      <c r="C2131" s="6" t="str">
        <f t="shared" si="99"/>
        <v>Nov</v>
      </c>
      <c r="D2131" t="s">
        <v>877</v>
      </c>
      <c r="E2131" t="s">
        <v>19</v>
      </c>
      <c r="F2131" t="s">
        <v>54</v>
      </c>
      <c r="G2131">
        <v>8</v>
      </c>
      <c r="H2131" s="7">
        <v>221.63</v>
      </c>
      <c r="I2131" t="s">
        <v>64</v>
      </c>
      <c r="J2131" t="s">
        <v>19</v>
      </c>
      <c r="K2131">
        <v>10</v>
      </c>
      <c r="L2131" s="7">
        <f t="shared" si="100"/>
        <v>1773.04</v>
      </c>
      <c r="M2131" s="7"/>
      <c r="O2131">
        <f t="shared" si="101"/>
        <v>2</v>
      </c>
      <c r="Q2131" t="s">
        <v>65</v>
      </c>
    </row>
    <row r="2132" spans="1:17" x14ac:dyDescent="0.3">
      <c r="A2132" t="s">
        <v>3173</v>
      </c>
      <c r="B2132" s="6">
        <v>44957</v>
      </c>
      <c r="C2132" s="6" t="str">
        <f t="shared" si="99"/>
        <v>Jan</v>
      </c>
      <c r="D2132" t="s">
        <v>1321</v>
      </c>
      <c r="E2132" t="s">
        <v>36</v>
      </c>
      <c r="F2132" t="s">
        <v>1182</v>
      </c>
      <c r="G2132">
        <v>6</v>
      </c>
      <c r="H2132" s="7">
        <v>173.15</v>
      </c>
      <c r="I2132" t="s">
        <v>64</v>
      </c>
      <c r="J2132" t="s">
        <v>42</v>
      </c>
      <c r="K2132">
        <v>5</v>
      </c>
      <c r="L2132" s="7">
        <f t="shared" si="100"/>
        <v>1038.9000000000001</v>
      </c>
      <c r="M2132" s="7"/>
      <c r="O2132">
        <f t="shared" si="101"/>
        <v>2</v>
      </c>
      <c r="Q2132" t="s">
        <v>65</v>
      </c>
    </row>
    <row r="2133" spans="1:17" x14ac:dyDescent="0.3">
      <c r="A2133" t="s">
        <v>3174</v>
      </c>
      <c r="B2133" s="6">
        <v>44968</v>
      </c>
      <c r="C2133" s="6" t="str">
        <f t="shared" si="99"/>
        <v>Feb</v>
      </c>
      <c r="D2133" t="s">
        <v>503</v>
      </c>
      <c r="E2133" t="s">
        <v>31</v>
      </c>
      <c r="F2133" t="s">
        <v>732</v>
      </c>
      <c r="G2133">
        <v>5</v>
      </c>
      <c r="H2133" s="7">
        <v>360.91</v>
      </c>
      <c r="I2133" t="s">
        <v>46</v>
      </c>
      <c r="J2133" t="s">
        <v>87</v>
      </c>
      <c r="K2133">
        <v>20</v>
      </c>
      <c r="L2133" s="7">
        <f t="shared" si="100"/>
        <v>1804.5500000000002</v>
      </c>
      <c r="M2133" s="7"/>
      <c r="O2133">
        <f t="shared" si="101"/>
        <v>2</v>
      </c>
      <c r="Q2133" t="s">
        <v>47</v>
      </c>
    </row>
    <row r="2134" spans="1:17" x14ac:dyDescent="0.3">
      <c r="A2134" t="s">
        <v>3175</v>
      </c>
      <c r="B2134" s="6">
        <v>44984</v>
      </c>
      <c r="C2134" s="6" t="str">
        <f t="shared" si="99"/>
        <v>Feb</v>
      </c>
      <c r="D2134" t="s">
        <v>1199</v>
      </c>
      <c r="E2134" t="s">
        <v>40</v>
      </c>
      <c r="F2134" t="s">
        <v>657</v>
      </c>
      <c r="G2134">
        <v>1</v>
      </c>
      <c r="H2134" s="7">
        <v>147.06</v>
      </c>
      <c r="I2134" t="s">
        <v>21</v>
      </c>
      <c r="J2134" t="s">
        <v>22</v>
      </c>
      <c r="K2134">
        <v>10</v>
      </c>
      <c r="L2134" s="7">
        <f t="shared" si="100"/>
        <v>147.06</v>
      </c>
      <c r="M2134" s="7"/>
      <c r="O2134">
        <f t="shared" si="101"/>
        <v>2</v>
      </c>
      <c r="Q2134" t="s">
        <v>23</v>
      </c>
    </row>
    <row r="2135" spans="1:17" x14ac:dyDescent="0.3">
      <c r="A2135" t="s">
        <v>3176</v>
      </c>
      <c r="B2135" s="6">
        <v>45016</v>
      </c>
      <c r="C2135" s="6" t="str">
        <f t="shared" si="99"/>
        <v>Mar</v>
      </c>
      <c r="D2135" t="s">
        <v>3177</v>
      </c>
      <c r="E2135" t="s">
        <v>40</v>
      </c>
      <c r="F2135" t="s">
        <v>932</v>
      </c>
      <c r="G2135">
        <v>8</v>
      </c>
      <c r="H2135" s="7">
        <v>128.69</v>
      </c>
      <c r="I2135" t="s">
        <v>21</v>
      </c>
      <c r="J2135" t="s">
        <v>19</v>
      </c>
      <c r="K2135">
        <v>15</v>
      </c>
      <c r="L2135" s="7">
        <f t="shared" si="100"/>
        <v>1029.52</v>
      </c>
      <c r="M2135" s="7"/>
      <c r="O2135">
        <f t="shared" si="101"/>
        <v>2</v>
      </c>
      <c r="Q2135" t="s">
        <v>23</v>
      </c>
    </row>
    <row r="2136" spans="1:17" x14ac:dyDescent="0.3">
      <c r="A2136" t="s">
        <v>3178</v>
      </c>
      <c r="B2136" s="6">
        <v>45046</v>
      </c>
      <c r="C2136" s="6" t="str">
        <f t="shared" si="99"/>
        <v>Apr</v>
      </c>
      <c r="D2136" t="s">
        <v>1309</v>
      </c>
      <c r="E2136" t="s">
        <v>26</v>
      </c>
      <c r="F2136" t="s">
        <v>423</v>
      </c>
      <c r="G2136">
        <v>3</v>
      </c>
      <c r="H2136" s="7">
        <v>252.16</v>
      </c>
      <c r="I2136" t="s">
        <v>103</v>
      </c>
      <c r="J2136" t="s">
        <v>22</v>
      </c>
      <c r="K2136">
        <v>10</v>
      </c>
      <c r="L2136" s="7">
        <f t="shared" si="100"/>
        <v>756.48</v>
      </c>
      <c r="M2136" s="7"/>
      <c r="O2136">
        <f t="shared" si="101"/>
        <v>2</v>
      </c>
      <c r="Q2136" t="s">
        <v>104</v>
      </c>
    </row>
    <row r="2137" spans="1:17" x14ac:dyDescent="0.3">
      <c r="A2137" t="s">
        <v>3179</v>
      </c>
      <c r="B2137" s="6">
        <v>45228</v>
      </c>
      <c r="C2137" s="6" t="str">
        <f t="shared" si="99"/>
        <v>Oct</v>
      </c>
      <c r="D2137" t="s">
        <v>2168</v>
      </c>
      <c r="E2137" t="s">
        <v>19</v>
      </c>
      <c r="F2137" t="s">
        <v>179</v>
      </c>
      <c r="G2137">
        <v>6</v>
      </c>
      <c r="H2137" s="7">
        <v>92.72</v>
      </c>
      <c r="I2137" t="s">
        <v>32</v>
      </c>
      <c r="J2137" t="s">
        <v>22</v>
      </c>
      <c r="K2137">
        <v>15</v>
      </c>
      <c r="L2137" s="7">
        <f t="shared" si="100"/>
        <v>556.31999999999994</v>
      </c>
      <c r="M2137" s="7"/>
      <c r="O2137">
        <f t="shared" si="101"/>
        <v>2</v>
      </c>
      <c r="Q2137" t="s">
        <v>33</v>
      </c>
    </row>
    <row r="2138" spans="1:17" x14ac:dyDescent="0.3">
      <c r="A2138" t="s">
        <v>3180</v>
      </c>
      <c r="B2138" s="6">
        <v>45153</v>
      </c>
      <c r="C2138" s="6" t="str">
        <f t="shared" si="99"/>
        <v>Aug</v>
      </c>
      <c r="D2138" t="s">
        <v>1099</v>
      </c>
      <c r="E2138" t="s">
        <v>36</v>
      </c>
      <c r="F2138" t="s">
        <v>556</v>
      </c>
      <c r="G2138">
        <v>3</v>
      </c>
      <c r="H2138" s="7">
        <v>349.08</v>
      </c>
      <c r="I2138" t="s">
        <v>103</v>
      </c>
      <c r="J2138" t="s">
        <v>19</v>
      </c>
      <c r="K2138">
        <v>10</v>
      </c>
      <c r="L2138" s="7">
        <f t="shared" si="100"/>
        <v>1047.24</v>
      </c>
      <c r="M2138" s="7"/>
      <c r="O2138">
        <f t="shared" si="101"/>
        <v>2</v>
      </c>
      <c r="Q2138" t="s">
        <v>104</v>
      </c>
    </row>
    <row r="2139" spans="1:17" x14ac:dyDescent="0.3">
      <c r="A2139" t="s">
        <v>3181</v>
      </c>
      <c r="B2139" s="6">
        <v>44928</v>
      </c>
      <c r="C2139" s="6" t="str">
        <f t="shared" si="99"/>
        <v>Jan</v>
      </c>
      <c r="D2139" t="s">
        <v>1483</v>
      </c>
      <c r="E2139" t="s">
        <v>62</v>
      </c>
      <c r="F2139" t="s">
        <v>466</v>
      </c>
      <c r="G2139">
        <v>7</v>
      </c>
      <c r="H2139" s="7">
        <v>310.04000000000002</v>
      </c>
      <c r="I2139" t="s">
        <v>32</v>
      </c>
      <c r="J2139" t="s">
        <v>19</v>
      </c>
      <c r="K2139">
        <v>15</v>
      </c>
      <c r="L2139" s="7">
        <f t="shared" si="100"/>
        <v>2170.2800000000002</v>
      </c>
      <c r="M2139" s="7"/>
      <c r="O2139">
        <f t="shared" si="101"/>
        <v>2</v>
      </c>
      <c r="Q2139" t="s">
        <v>33</v>
      </c>
    </row>
    <row r="2140" spans="1:17" x14ac:dyDescent="0.3">
      <c r="A2140" t="s">
        <v>3182</v>
      </c>
      <c r="B2140" s="6">
        <v>45030</v>
      </c>
      <c r="C2140" s="6" t="str">
        <f t="shared" si="99"/>
        <v>Apr</v>
      </c>
      <c r="D2140" t="s">
        <v>1020</v>
      </c>
      <c r="E2140" t="s">
        <v>31</v>
      </c>
      <c r="F2140" t="s">
        <v>822</v>
      </c>
      <c r="G2140">
        <v>7</v>
      </c>
      <c r="H2140" s="7">
        <v>244.02</v>
      </c>
      <c r="I2140" t="s">
        <v>46</v>
      </c>
      <c r="J2140" t="s">
        <v>19</v>
      </c>
      <c r="K2140">
        <v>10</v>
      </c>
      <c r="L2140" s="7">
        <f t="shared" si="100"/>
        <v>1708.14</v>
      </c>
      <c r="M2140" s="7"/>
      <c r="O2140">
        <f t="shared" si="101"/>
        <v>2</v>
      </c>
      <c r="Q2140" t="s">
        <v>47</v>
      </c>
    </row>
    <row r="2141" spans="1:17" x14ac:dyDescent="0.3">
      <c r="A2141" t="s">
        <v>3183</v>
      </c>
      <c r="B2141" s="6">
        <v>45138</v>
      </c>
      <c r="C2141" s="6" t="str">
        <f t="shared" si="99"/>
        <v>Jul</v>
      </c>
      <c r="D2141" t="s">
        <v>429</v>
      </c>
      <c r="E2141" t="s">
        <v>40</v>
      </c>
      <c r="F2141" t="s">
        <v>1063</v>
      </c>
      <c r="G2141">
        <v>9</v>
      </c>
      <c r="H2141" s="7">
        <v>198.21</v>
      </c>
      <c r="I2141" t="s">
        <v>103</v>
      </c>
      <c r="J2141" t="s">
        <v>42</v>
      </c>
      <c r="K2141">
        <v>10</v>
      </c>
      <c r="L2141" s="7">
        <f t="shared" si="100"/>
        <v>1783.89</v>
      </c>
      <c r="M2141" s="7"/>
      <c r="O2141">
        <f t="shared" si="101"/>
        <v>2</v>
      </c>
      <c r="Q2141" t="s">
        <v>104</v>
      </c>
    </row>
    <row r="2142" spans="1:17" x14ac:dyDescent="0.3">
      <c r="A2142" t="s">
        <v>3184</v>
      </c>
      <c r="B2142" s="6">
        <v>45197</v>
      </c>
      <c r="C2142" s="6" t="str">
        <f t="shared" si="99"/>
        <v>Sep</v>
      </c>
      <c r="D2142" t="s">
        <v>266</v>
      </c>
      <c r="E2142" t="s">
        <v>26</v>
      </c>
      <c r="F2142" t="s">
        <v>344</v>
      </c>
      <c r="G2142">
        <v>5</v>
      </c>
      <c r="H2142" s="7">
        <v>454.99</v>
      </c>
      <c r="I2142" t="s">
        <v>46</v>
      </c>
      <c r="J2142" t="s">
        <v>42</v>
      </c>
      <c r="K2142">
        <v>15</v>
      </c>
      <c r="L2142" s="7">
        <f t="shared" si="100"/>
        <v>2274.9499999999998</v>
      </c>
      <c r="M2142" s="7"/>
      <c r="O2142">
        <f t="shared" si="101"/>
        <v>2</v>
      </c>
      <c r="Q2142" t="s">
        <v>47</v>
      </c>
    </row>
    <row r="2143" spans="1:17" x14ac:dyDescent="0.3">
      <c r="A2143" t="s">
        <v>3185</v>
      </c>
      <c r="B2143" s="6">
        <v>45146</v>
      </c>
      <c r="C2143" s="6" t="str">
        <f t="shared" si="99"/>
        <v>Aug</v>
      </c>
      <c r="D2143" t="s">
        <v>297</v>
      </c>
      <c r="E2143" t="s">
        <v>40</v>
      </c>
      <c r="F2143" t="s">
        <v>983</v>
      </c>
      <c r="G2143">
        <v>8</v>
      </c>
      <c r="H2143" s="7">
        <v>19.420000000000002</v>
      </c>
      <c r="I2143" t="s">
        <v>103</v>
      </c>
      <c r="J2143" t="s">
        <v>87</v>
      </c>
      <c r="K2143">
        <v>0</v>
      </c>
      <c r="L2143" s="7">
        <f t="shared" si="100"/>
        <v>155.36000000000001</v>
      </c>
      <c r="M2143" s="7"/>
      <c r="O2143">
        <f t="shared" si="101"/>
        <v>2</v>
      </c>
      <c r="Q2143" t="s">
        <v>104</v>
      </c>
    </row>
    <row r="2144" spans="1:17" x14ac:dyDescent="0.3">
      <c r="A2144" t="s">
        <v>3186</v>
      </c>
      <c r="B2144" s="6">
        <v>45039</v>
      </c>
      <c r="C2144" s="6" t="str">
        <f t="shared" si="99"/>
        <v>Apr</v>
      </c>
      <c r="D2144" t="s">
        <v>3187</v>
      </c>
      <c r="E2144" t="s">
        <v>19</v>
      </c>
      <c r="F2144" t="s">
        <v>1063</v>
      </c>
      <c r="G2144">
        <v>8</v>
      </c>
      <c r="H2144" s="7">
        <v>385.71</v>
      </c>
      <c r="I2144" t="s">
        <v>46</v>
      </c>
      <c r="J2144" t="s">
        <v>87</v>
      </c>
      <c r="K2144">
        <v>5</v>
      </c>
      <c r="L2144" s="7">
        <f t="shared" si="100"/>
        <v>3085.68</v>
      </c>
      <c r="M2144" s="7"/>
      <c r="O2144">
        <f t="shared" si="101"/>
        <v>4</v>
      </c>
      <c r="Q2144" t="s">
        <v>47</v>
      </c>
    </row>
    <row r="2145" spans="1:17" x14ac:dyDescent="0.3">
      <c r="A2145" t="s">
        <v>3188</v>
      </c>
      <c r="B2145" s="6">
        <v>45204</v>
      </c>
      <c r="C2145" s="6" t="str">
        <f t="shared" si="99"/>
        <v>Oct</v>
      </c>
      <c r="D2145" t="s">
        <v>159</v>
      </c>
      <c r="E2145" t="s">
        <v>31</v>
      </c>
      <c r="F2145" t="s">
        <v>157</v>
      </c>
      <c r="G2145">
        <v>1</v>
      </c>
      <c r="H2145" s="7">
        <v>451.45</v>
      </c>
      <c r="I2145" t="s">
        <v>103</v>
      </c>
      <c r="J2145" t="s">
        <v>87</v>
      </c>
      <c r="K2145">
        <v>20</v>
      </c>
      <c r="L2145" s="7">
        <f t="shared" si="100"/>
        <v>451.45</v>
      </c>
      <c r="M2145" s="7"/>
      <c r="O2145">
        <f t="shared" si="101"/>
        <v>2</v>
      </c>
      <c r="Q2145" t="s">
        <v>104</v>
      </c>
    </row>
    <row r="2146" spans="1:17" x14ac:dyDescent="0.3">
      <c r="A2146" t="s">
        <v>3189</v>
      </c>
      <c r="B2146" s="6">
        <v>44998</v>
      </c>
      <c r="C2146" s="6" t="str">
        <f t="shared" si="99"/>
        <v>Mar</v>
      </c>
      <c r="D2146" t="s">
        <v>3190</v>
      </c>
      <c r="E2146" t="s">
        <v>26</v>
      </c>
      <c r="F2146" t="s">
        <v>975</v>
      </c>
      <c r="G2146">
        <v>5</v>
      </c>
      <c r="H2146" s="7">
        <v>225.95</v>
      </c>
      <c r="I2146" t="s">
        <v>19</v>
      </c>
      <c r="J2146" t="s">
        <v>28</v>
      </c>
      <c r="K2146">
        <v>10</v>
      </c>
      <c r="L2146" s="7">
        <f t="shared" si="100"/>
        <v>1129.75</v>
      </c>
      <c r="M2146" s="7"/>
      <c r="O2146">
        <f t="shared" si="101"/>
        <v>2</v>
      </c>
      <c r="Q2146" t="s">
        <v>19</v>
      </c>
    </row>
    <row r="2147" spans="1:17" x14ac:dyDescent="0.3">
      <c r="A2147" t="s">
        <v>3191</v>
      </c>
      <c r="B2147" s="6">
        <v>45268</v>
      </c>
      <c r="C2147" s="6" t="str">
        <f t="shared" si="99"/>
        <v>Dec</v>
      </c>
      <c r="D2147" t="s">
        <v>1137</v>
      </c>
      <c r="E2147" t="s">
        <v>31</v>
      </c>
      <c r="F2147" t="s">
        <v>237</v>
      </c>
      <c r="G2147">
        <v>3</v>
      </c>
      <c r="H2147" s="7">
        <v>277.58999999999997</v>
      </c>
      <c r="I2147" t="s">
        <v>32</v>
      </c>
      <c r="J2147" t="s">
        <v>72</v>
      </c>
      <c r="K2147">
        <v>5</v>
      </c>
      <c r="L2147" s="7">
        <f t="shared" si="100"/>
        <v>832.77</v>
      </c>
      <c r="M2147" s="7"/>
      <c r="O2147">
        <f t="shared" si="101"/>
        <v>2</v>
      </c>
      <c r="Q2147" t="s">
        <v>33</v>
      </c>
    </row>
    <row r="2148" spans="1:17" x14ac:dyDescent="0.3">
      <c r="A2148" t="s">
        <v>3192</v>
      </c>
      <c r="B2148" s="6">
        <v>44940</v>
      </c>
      <c r="C2148" s="6" t="str">
        <f t="shared" si="99"/>
        <v>Jan</v>
      </c>
      <c r="D2148" t="s">
        <v>2420</v>
      </c>
      <c r="E2148" t="s">
        <v>40</v>
      </c>
      <c r="F2148" t="s">
        <v>84</v>
      </c>
      <c r="G2148">
        <v>1</v>
      </c>
      <c r="H2148" s="7">
        <v>472.51</v>
      </c>
      <c r="I2148" t="s">
        <v>21</v>
      </c>
      <c r="J2148" t="s">
        <v>19</v>
      </c>
      <c r="K2148">
        <v>20</v>
      </c>
      <c r="L2148" s="7">
        <f t="shared" si="100"/>
        <v>472.51</v>
      </c>
      <c r="M2148" s="7"/>
      <c r="O2148">
        <f t="shared" si="101"/>
        <v>2</v>
      </c>
      <c r="Q2148" t="s">
        <v>23</v>
      </c>
    </row>
    <row r="2149" spans="1:17" x14ac:dyDescent="0.3">
      <c r="A2149" t="s">
        <v>3193</v>
      </c>
      <c r="B2149" s="6">
        <v>45075</v>
      </c>
      <c r="C2149" s="6" t="str">
        <f t="shared" si="99"/>
        <v>May</v>
      </c>
      <c r="D2149" t="s">
        <v>1173</v>
      </c>
      <c r="E2149" t="s">
        <v>40</v>
      </c>
      <c r="F2149" t="s">
        <v>409</v>
      </c>
      <c r="G2149">
        <v>4</v>
      </c>
      <c r="H2149" s="7">
        <v>110.08</v>
      </c>
      <c r="I2149" t="s">
        <v>32</v>
      </c>
      <c r="J2149" t="s">
        <v>42</v>
      </c>
      <c r="K2149">
        <v>20</v>
      </c>
      <c r="L2149" s="7">
        <f t="shared" si="100"/>
        <v>440.32</v>
      </c>
      <c r="M2149" s="7"/>
      <c r="O2149">
        <f t="shared" si="101"/>
        <v>2</v>
      </c>
      <c r="Q2149" t="s">
        <v>33</v>
      </c>
    </row>
    <row r="2150" spans="1:17" x14ac:dyDescent="0.3">
      <c r="A2150" t="s">
        <v>3194</v>
      </c>
      <c r="B2150" s="6">
        <v>44968</v>
      </c>
      <c r="C2150" s="6" t="str">
        <f t="shared" si="99"/>
        <v>Feb</v>
      </c>
      <c r="D2150" t="s">
        <v>1298</v>
      </c>
      <c r="E2150" t="s">
        <v>19</v>
      </c>
      <c r="F2150" t="s">
        <v>1182</v>
      </c>
      <c r="G2150">
        <v>8</v>
      </c>
      <c r="H2150" s="7">
        <v>262.47000000000003</v>
      </c>
      <c r="I2150" t="s">
        <v>46</v>
      </c>
      <c r="J2150" t="s">
        <v>22</v>
      </c>
      <c r="K2150">
        <v>10</v>
      </c>
      <c r="L2150" s="7">
        <f t="shared" si="100"/>
        <v>2099.7600000000002</v>
      </c>
      <c r="M2150" s="7"/>
      <c r="O2150">
        <f t="shared" si="101"/>
        <v>2</v>
      </c>
      <c r="Q2150" t="s">
        <v>47</v>
      </c>
    </row>
    <row r="2151" spans="1:17" x14ac:dyDescent="0.3">
      <c r="A2151" t="s">
        <v>3195</v>
      </c>
      <c r="B2151" s="6">
        <v>45279</v>
      </c>
      <c r="C2151" s="6" t="str">
        <f t="shared" si="99"/>
        <v>Dec</v>
      </c>
      <c r="D2151" t="s">
        <v>1600</v>
      </c>
      <c r="E2151" t="s">
        <v>62</v>
      </c>
      <c r="F2151" t="s">
        <v>176</v>
      </c>
      <c r="G2151">
        <v>3</v>
      </c>
      <c r="H2151" s="7">
        <v>239.99</v>
      </c>
      <c r="I2151" t="s">
        <v>64</v>
      </c>
      <c r="J2151" t="s">
        <v>87</v>
      </c>
      <c r="K2151">
        <v>5</v>
      </c>
      <c r="L2151" s="7">
        <f t="shared" si="100"/>
        <v>719.97</v>
      </c>
      <c r="M2151" s="7"/>
      <c r="O2151">
        <f t="shared" si="101"/>
        <v>2</v>
      </c>
      <c r="Q2151" t="s">
        <v>65</v>
      </c>
    </row>
    <row r="2152" spans="1:17" x14ac:dyDescent="0.3">
      <c r="A2152" t="s">
        <v>3196</v>
      </c>
      <c r="B2152" s="6">
        <v>45139</v>
      </c>
      <c r="C2152" s="6" t="str">
        <f t="shared" si="99"/>
        <v>Aug</v>
      </c>
      <c r="D2152" t="s">
        <v>1812</v>
      </c>
      <c r="E2152" t="s">
        <v>62</v>
      </c>
      <c r="F2152" t="s">
        <v>417</v>
      </c>
      <c r="G2152">
        <v>2</v>
      </c>
      <c r="H2152" s="7">
        <v>132.9</v>
      </c>
      <c r="I2152" t="s">
        <v>32</v>
      </c>
      <c r="J2152" t="s">
        <v>42</v>
      </c>
      <c r="K2152">
        <v>10</v>
      </c>
      <c r="L2152" s="7">
        <f t="shared" si="100"/>
        <v>265.8</v>
      </c>
      <c r="M2152" s="7"/>
      <c r="O2152">
        <f t="shared" si="101"/>
        <v>2</v>
      </c>
      <c r="Q2152" t="s">
        <v>33</v>
      </c>
    </row>
    <row r="2153" spans="1:17" x14ac:dyDescent="0.3">
      <c r="A2153" t="s">
        <v>3197</v>
      </c>
      <c r="B2153" s="6">
        <v>45184</v>
      </c>
      <c r="C2153" s="6" t="str">
        <f t="shared" si="99"/>
        <v>Sep</v>
      </c>
      <c r="D2153" t="s">
        <v>522</v>
      </c>
      <c r="E2153" t="s">
        <v>19</v>
      </c>
      <c r="F2153" t="s">
        <v>1182</v>
      </c>
      <c r="G2153">
        <v>9</v>
      </c>
      <c r="H2153" s="7">
        <v>410.2</v>
      </c>
      <c r="I2153" t="s">
        <v>64</v>
      </c>
      <c r="J2153" t="s">
        <v>22</v>
      </c>
      <c r="K2153">
        <v>10</v>
      </c>
      <c r="L2153" s="7">
        <f t="shared" si="100"/>
        <v>3691.7999999999997</v>
      </c>
      <c r="M2153" s="7"/>
      <c r="O2153">
        <f t="shared" si="101"/>
        <v>5</v>
      </c>
      <c r="Q2153" t="s">
        <v>65</v>
      </c>
    </row>
    <row r="2154" spans="1:17" x14ac:dyDescent="0.3">
      <c r="A2154" t="s">
        <v>3198</v>
      </c>
      <c r="B2154" s="6">
        <v>44973</v>
      </c>
      <c r="C2154" s="6" t="str">
        <f t="shared" si="99"/>
        <v>Feb</v>
      </c>
      <c r="D2154" t="s">
        <v>629</v>
      </c>
      <c r="E2154" t="s">
        <v>19</v>
      </c>
      <c r="F2154" t="s">
        <v>436</v>
      </c>
      <c r="G2154">
        <v>5</v>
      </c>
      <c r="H2154" s="7">
        <v>450.3</v>
      </c>
      <c r="I2154" t="s">
        <v>64</v>
      </c>
      <c r="J2154" t="s">
        <v>19</v>
      </c>
      <c r="K2154">
        <v>10</v>
      </c>
      <c r="L2154" s="7">
        <f t="shared" si="100"/>
        <v>2251.5</v>
      </c>
      <c r="M2154" s="7"/>
      <c r="O2154">
        <f t="shared" si="101"/>
        <v>2</v>
      </c>
      <c r="Q2154" t="s">
        <v>65</v>
      </c>
    </row>
    <row r="2155" spans="1:17" x14ac:dyDescent="0.3">
      <c r="A2155" t="s">
        <v>3199</v>
      </c>
      <c r="B2155" s="6">
        <v>45147</v>
      </c>
      <c r="C2155" s="6" t="str">
        <f t="shared" si="99"/>
        <v>Aug</v>
      </c>
      <c r="D2155" t="s">
        <v>1097</v>
      </c>
      <c r="E2155" t="s">
        <v>19</v>
      </c>
      <c r="F2155" t="s">
        <v>27</v>
      </c>
      <c r="G2155">
        <v>7</v>
      </c>
      <c r="H2155" s="7">
        <v>392.06</v>
      </c>
      <c r="I2155" t="s">
        <v>19</v>
      </c>
      <c r="J2155" t="s">
        <v>28</v>
      </c>
      <c r="K2155">
        <v>15</v>
      </c>
      <c r="L2155" s="7">
        <f t="shared" si="100"/>
        <v>2744.42</v>
      </c>
      <c r="M2155" s="7"/>
      <c r="O2155">
        <f t="shared" si="101"/>
        <v>3</v>
      </c>
      <c r="Q2155" t="s">
        <v>19</v>
      </c>
    </row>
    <row r="2156" spans="1:17" x14ac:dyDescent="0.3">
      <c r="A2156" t="s">
        <v>3200</v>
      </c>
      <c r="B2156" s="6">
        <v>45099</v>
      </c>
      <c r="C2156" s="6" t="str">
        <f t="shared" si="99"/>
        <v>Jun</v>
      </c>
      <c r="D2156" t="s">
        <v>1995</v>
      </c>
      <c r="E2156" t="s">
        <v>40</v>
      </c>
      <c r="F2156" t="s">
        <v>1063</v>
      </c>
      <c r="G2156">
        <v>5</v>
      </c>
      <c r="H2156" s="7">
        <v>101.7</v>
      </c>
      <c r="I2156" t="s">
        <v>21</v>
      </c>
      <c r="J2156" t="s">
        <v>42</v>
      </c>
      <c r="K2156">
        <v>0</v>
      </c>
      <c r="L2156" s="7">
        <f t="shared" si="100"/>
        <v>508.5</v>
      </c>
      <c r="M2156" s="7"/>
      <c r="O2156">
        <f t="shared" si="101"/>
        <v>2</v>
      </c>
      <c r="Q2156" t="s">
        <v>23</v>
      </c>
    </row>
    <row r="2157" spans="1:17" x14ac:dyDescent="0.3">
      <c r="A2157" t="s">
        <v>3201</v>
      </c>
      <c r="B2157" s="6">
        <v>45278</v>
      </c>
      <c r="C2157" s="6" t="str">
        <f t="shared" si="99"/>
        <v>Dec</v>
      </c>
      <c r="D2157" t="s">
        <v>3045</v>
      </c>
      <c r="E2157" t="s">
        <v>50</v>
      </c>
      <c r="F2157" t="s">
        <v>254</v>
      </c>
      <c r="G2157">
        <v>5</v>
      </c>
      <c r="H2157" s="7">
        <v>47.94</v>
      </c>
      <c r="I2157" t="s">
        <v>103</v>
      </c>
      <c r="J2157" t="s">
        <v>19</v>
      </c>
      <c r="K2157">
        <v>0</v>
      </c>
      <c r="L2157" s="7">
        <f t="shared" si="100"/>
        <v>239.7</v>
      </c>
      <c r="M2157" s="7"/>
      <c r="O2157">
        <f t="shared" si="101"/>
        <v>2</v>
      </c>
      <c r="Q2157" t="s">
        <v>104</v>
      </c>
    </row>
    <row r="2158" spans="1:17" x14ac:dyDescent="0.3">
      <c r="A2158" t="s">
        <v>3202</v>
      </c>
      <c r="B2158" s="6">
        <v>45176</v>
      </c>
      <c r="C2158" s="6" t="str">
        <f t="shared" si="99"/>
        <v>Sep</v>
      </c>
      <c r="D2158" t="s">
        <v>2790</v>
      </c>
      <c r="E2158" t="s">
        <v>40</v>
      </c>
      <c r="F2158" t="s">
        <v>119</v>
      </c>
      <c r="G2158">
        <v>9</v>
      </c>
      <c r="H2158" s="7">
        <v>304.7</v>
      </c>
      <c r="I2158" t="s">
        <v>103</v>
      </c>
      <c r="J2158" t="s">
        <v>42</v>
      </c>
      <c r="K2158">
        <v>0</v>
      </c>
      <c r="L2158" s="7">
        <f t="shared" si="100"/>
        <v>2742.2999999999997</v>
      </c>
      <c r="M2158" s="7"/>
      <c r="O2158">
        <f t="shared" si="101"/>
        <v>3</v>
      </c>
      <c r="Q2158" t="s">
        <v>104</v>
      </c>
    </row>
    <row r="2159" spans="1:17" x14ac:dyDescent="0.3">
      <c r="A2159" t="s">
        <v>3203</v>
      </c>
      <c r="B2159" s="6">
        <v>45248</v>
      </c>
      <c r="C2159" s="6" t="str">
        <f t="shared" si="99"/>
        <v>Nov</v>
      </c>
      <c r="D2159" t="s">
        <v>2832</v>
      </c>
      <c r="E2159" t="s">
        <v>62</v>
      </c>
      <c r="F2159" t="s">
        <v>517</v>
      </c>
      <c r="G2159">
        <v>4</v>
      </c>
      <c r="H2159" s="7">
        <v>33.26</v>
      </c>
      <c r="I2159" t="s">
        <v>103</v>
      </c>
      <c r="J2159" t="s">
        <v>22</v>
      </c>
      <c r="K2159">
        <v>5</v>
      </c>
      <c r="L2159" s="7">
        <f t="shared" si="100"/>
        <v>133.04</v>
      </c>
      <c r="M2159" s="7"/>
      <c r="O2159">
        <f t="shared" si="101"/>
        <v>2</v>
      </c>
      <c r="Q2159" t="s">
        <v>104</v>
      </c>
    </row>
    <row r="2160" spans="1:17" x14ac:dyDescent="0.3">
      <c r="A2160" t="s">
        <v>3204</v>
      </c>
      <c r="B2160" s="6">
        <v>45166</v>
      </c>
      <c r="C2160" s="6" t="str">
        <f t="shared" si="99"/>
        <v>Aug</v>
      </c>
      <c r="D2160" t="s">
        <v>1498</v>
      </c>
      <c r="E2160" t="s">
        <v>40</v>
      </c>
      <c r="F2160" t="s">
        <v>107</v>
      </c>
      <c r="G2160">
        <v>4</v>
      </c>
      <c r="H2160" s="7">
        <v>338.05</v>
      </c>
      <c r="I2160" t="s">
        <v>32</v>
      </c>
      <c r="J2160" t="s">
        <v>22</v>
      </c>
      <c r="K2160">
        <v>5</v>
      </c>
      <c r="L2160" s="7">
        <f t="shared" si="100"/>
        <v>1352.2</v>
      </c>
      <c r="M2160" s="7"/>
      <c r="O2160">
        <f t="shared" si="101"/>
        <v>2</v>
      </c>
      <c r="Q2160" t="s">
        <v>33</v>
      </c>
    </row>
    <row r="2161" spans="1:17" x14ac:dyDescent="0.3">
      <c r="A2161" t="s">
        <v>3205</v>
      </c>
      <c r="B2161" s="6">
        <v>45252</v>
      </c>
      <c r="C2161" s="6" t="str">
        <f t="shared" si="99"/>
        <v>Nov</v>
      </c>
      <c r="D2161" t="s">
        <v>1203</v>
      </c>
      <c r="E2161" t="s">
        <v>31</v>
      </c>
      <c r="F2161" t="s">
        <v>932</v>
      </c>
      <c r="G2161">
        <v>6</v>
      </c>
      <c r="H2161" s="7">
        <v>267.56</v>
      </c>
      <c r="I2161" t="s">
        <v>19</v>
      </c>
      <c r="J2161" t="s">
        <v>87</v>
      </c>
      <c r="K2161">
        <v>10</v>
      </c>
      <c r="L2161" s="7">
        <f t="shared" si="100"/>
        <v>1605.3600000000001</v>
      </c>
      <c r="M2161" s="7"/>
      <c r="O2161">
        <f t="shared" si="101"/>
        <v>2</v>
      </c>
      <c r="Q2161" t="s">
        <v>19</v>
      </c>
    </row>
    <row r="2162" spans="1:17" x14ac:dyDescent="0.3">
      <c r="A2162" t="s">
        <v>3206</v>
      </c>
      <c r="B2162" s="6">
        <v>45114</v>
      </c>
      <c r="C2162" s="6" t="str">
        <f t="shared" si="99"/>
        <v>Jul</v>
      </c>
      <c r="D2162" t="s">
        <v>3207</v>
      </c>
      <c r="E2162" t="s">
        <v>36</v>
      </c>
      <c r="F2162" t="s">
        <v>983</v>
      </c>
      <c r="G2162">
        <v>6</v>
      </c>
      <c r="H2162" s="7">
        <v>333.08</v>
      </c>
      <c r="I2162" t="s">
        <v>19</v>
      </c>
      <c r="J2162" t="s">
        <v>42</v>
      </c>
      <c r="K2162">
        <v>0</v>
      </c>
      <c r="L2162" s="7">
        <f t="shared" si="100"/>
        <v>1998.48</v>
      </c>
      <c r="M2162" s="7"/>
      <c r="O2162">
        <f t="shared" si="101"/>
        <v>2</v>
      </c>
      <c r="Q2162" t="s">
        <v>19</v>
      </c>
    </row>
    <row r="2163" spans="1:17" x14ac:dyDescent="0.3">
      <c r="A2163" t="s">
        <v>3208</v>
      </c>
      <c r="B2163" s="6">
        <v>45286</v>
      </c>
      <c r="C2163" s="6" t="str">
        <f t="shared" si="99"/>
        <v>Dec</v>
      </c>
      <c r="D2163" t="s">
        <v>1370</v>
      </c>
      <c r="E2163" t="s">
        <v>40</v>
      </c>
      <c r="F2163" t="s">
        <v>434</v>
      </c>
      <c r="G2163">
        <v>1</v>
      </c>
      <c r="H2163" s="7">
        <v>297.13</v>
      </c>
      <c r="I2163" t="s">
        <v>103</v>
      </c>
      <c r="J2163" t="s">
        <v>42</v>
      </c>
      <c r="K2163">
        <v>10</v>
      </c>
      <c r="L2163" s="7">
        <f t="shared" si="100"/>
        <v>297.13</v>
      </c>
      <c r="M2163" s="7"/>
      <c r="O2163">
        <f t="shared" si="101"/>
        <v>2</v>
      </c>
      <c r="Q2163" t="s">
        <v>104</v>
      </c>
    </row>
    <row r="2164" spans="1:17" x14ac:dyDescent="0.3">
      <c r="A2164" t="s">
        <v>3209</v>
      </c>
      <c r="B2164" s="6">
        <v>44964</v>
      </c>
      <c r="C2164" s="6" t="str">
        <f t="shared" si="99"/>
        <v>Feb</v>
      </c>
      <c r="D2164" t="s">
        <v>2467</v>
      </c>
      <c r="E2164" t="s">
        <v>62</v>
      </c>
      <c r="F2164" t="s">
        <v>409</v>
      </c>
      <c r="G2164">
        <v>9</v>
      </c>
      <c r="H2164" s="7">
        <v>214.24</v>
      </c>
      <c r="I2164" t="s">
        <v>19</v>
      </c>
      <c r="J2164" t="s">
        <v>28</v>
      </c>
      <c r="K2164">
        <v>0</v>
      </c>
      <c r="L2164" s="7">
        <f t="shared" si="100"/>
        <v>1928.16</v>
      </c>
      <c r="M2164" s="7"/>
      <c r="O2164">
        <f t="shared" si="101"/>
        <v>2</v>
      </c>
      <c r="Q2164" t="s">
        <v>19</v>
      </c>
    </row>
    <row r="2165" spans="1:17" x14ac:dyDescent="0.3">
      <c r="A2165" t="s">
        <v>3210</v>
      </c>
      <c r="B2165" s="6">
        <v>45015</v>
      </c>
      <c r="C2165" s="6" t="str">
        <f t="shared" si="99"/>
        <v>Mar</v>
      </c>
      <c r="D2165" t="s">
        <v>1430</v>
      </c>
      <c r="E2165" t="s">
        <v>31</v>
      </c>
      <c r="F2165" t="s">
        <v>353</v>
      </c>
      <c r="G2165">
        <v>2</v>
      </c>
      <c r="H2165" s="7">
        <v>104.43</v>
      </c>
      <c r="I2165" t="s">
        <v>32</v>
      </c>
      <c r="J2165" t="s">
        <v>22</v>
      </c>
      <c r="K2165">
        <v>5</v>
      </c>
      <c r="L2165" s="7">
        <f t="shared" si="100"/>
        <v>208.86</v>
      </c>
      <c r="M2165" s="7"/>
      <c r="O2165">
        <f t="shared" si="101"/>
        <v>2</v>
      </c>
      <c r="Q2165" t="s">
        <v>33</v>
      </c>
    </row>
    <row r="2166" spans="1:17" x14ac:dyDescent="0.3">
      <c r="A2166" t="s">
        <v>3211</v>
      </c>
      <c r="B2166" s="6">
        <v>45254</v>
      </c>
      <c r="C2166" s="6" t="str">
        <f t="shared" si="99"/>
        <v>Nov</v>
      </c>
      <c r="D2166" t="s">
        <v>1710</v>
      </c>
      <c r="E2166" t="s">
        <v>50</v>
      </c>
      <c r="F2166" t="s">
        <v>142</v>
      </c>
      <c r="G2166">
        <v>5</v>
      </c>
      <c r="H2166" s="7">
        <v>156.32</v>
      </c>
      <c r="I2166" t="s">
        <v>64</v>
      </c>
      <c r="J2166" t="s">
        <v>42</v>
      </c>
      <c r="K2166">
        <v>15</v>
      </c>
      <c r="L2166" s="7">
        <f t="shared" si="100"/>
        <v>781.59999999999991</v>
      </c>
      <c r="M2166" s="7"/>
      <c r="O2166">
        <f t="shared" si="101"/>
        <v>2</v>
      </c>
      <c r="Q2166" t="s">
        <v>65</v>
      </c>
    </row>
    <row r="2167" spans="1:17" x14ac:dyDescent="0.3">
      <c r="A2167" t="s">
        <v>3212</v>
      </c>
      <c r="B2167" s="6">
        <v>45210</v>
      </c>
      <c r="C2167" s="6" t="str">
        <f t="shared" si="99"/>
        <v>Oct</v>
      </c>
      <c r="D2167" t="s">
        <v>762</v>
      </c>
      <c r="E2167" t="s">
        <v>36</v>
      </c>
      <c r="F2167" t="s">
        <v>488</v>
      </c>
      <c r="G2167">
        <v>9</v>
      </c>
      <c r="H2167" s="7">
        <v>264.63</v>
      </c>
      <c r="I2167" t="s">
        <v>19</v>
      </c>
      <c r="J2167" t="s">
        <v>28</v>
      </c>
      <c r="K2167">
        <v>15</v>
      </c>
      <c r="L2167" s="7">
        <f t="shared" si="100"/>
        <v>2381.67</v>
      </c>
      <c r="M2167" s="7"/>
      <c r="O2167">
        <f t="shared" si="101"/>
        <v>2</v>
      </c>
      <c r="Q2167" t="s">
        <v>19</v>
      </c>
    </row>
    <row r="2168" spans="1:17" x14ac:dyDescent="0.3">
      <c r="A2168" t="s">
        <v>3213</v>
      </c>
      <c r="B2168" s="6">
        <v>45058</v>
      </c>
      <c r="C2168" s="6" t="str">
        <f t="shared" si="99"/>
        <v>May</v>
      </c>
      <c r="D2168" t="s">
        <v>192</v>
      </c>
      <c r="E2168" t="s">
        <v>40</v>
      </c>
      <c r="F2168" t="s">
        <v>968</v>
      </c>
      <c r="G2168">
        <v>4</v>
      </c>
      <c r="H2168" s="7">
        <v>327.67</v>
      </c>
      <c r="I2168" t="s">
        <v>32</v>
      </c>
      <c r="J2168" t="s">
        <v>72</v>
      </c>
      <c r="K2168">
        <v>15</v>
      </c>
      <c r="L2168" s="7">
        <f t="shared" si="100"/>
        <v>1310.68</v>
      </c>
      <c r="M2168" s="7"/>
      <c r="O2168">
        <f t="shared" si="101"/>
        <v>2</v>
      </c>
      <c r="Q2168" t="s">
        <v>33</v>
      </c>
    </row>
    <row r="2169" spans="1:17" x14ac:dyDescent="0.3">
      <c r="A2169" t="s">
        <v>3214</v>
      </c>
      <c r="B2169" s="6">
        <v>45159</v>
      </c>
      <c r="C2169" s="6" t="str">
        <f t="shared" si="99"/>
        <v>Aug</v>
      </c>
      <c r="D2169" t="s">
        <v>483</v>
      </c>
      <c r="E2169" t="s">
        <v>19</v>
      </c>
      <c r="F2169" t="s">
        <v>1325</v>
      </c>
      <c r="G2169">
        <v>5</v>
      </c>
      <c r="H2169" s="7">
        <v>390.84</v>
      </c>
      <c r="I2169" t="s">
        <v>32</v>
      </c>
      <c r="J2169" t="s">
        <v>22</v>
      </c>
      <c r="K2169">
        <v>10</v>
      </c>
      <c r="L2169" s="7">
        <f t="shared" si="100"/>
        <v>1954.1999999999998</v>
      </c>
      <c r="M2169" s="7"/>
      <c r="O2169">
        <f t="shared" si="101"/>
        <v>2</v>
      </c>
      <c r="Q2169" t="s">
        <v>33</v>
      </c>
    </row>
    <row r="2170" spans="1:17" x14ac:dyDescent="0.3">
      <c r="A2170" t="s">
        <v>3215</v>
      </c>
      <c r="B2170" s="6">
        <v>45091</v>
      </c>
      <c r="C2170" s="6" t="str">
        <f t="shared" si="99"/>
        <v>Jun</v>
      </c>
      <c r="D2170" t="s">
        <v>1388</v>
      </c>
      <c r="E2170" t="s">
        <v>26</v>
      </c>
      <c r="F2170" t="s">
        <v>409</v>
      </c>
      <c r="G2170">
        <v>7</v>
      </c>
      <c r="H2170" s="7">
        <v>384.75</v>
      </c>
      <c r="I2170" t="s">
        <v>64</v>
      </c>
      <c r="J2170" t="s">
        <v>42</v>
      </c>
      <c r="K2170">
        <v>15</v>
      </c>
      <c r="L2170" s="7">
        <f t="shared" si="100"/>
        <v>2693.25</v>
      </c>
      <c r="M2170" s="7"/>
      <c r="O2170">
        <f t="shared" si="101"/>
        <v>3</v>
      </c>
      <c r="Q2170" t="s">
        <v>65</v>
      </c>
    </row>
    <row r="2171" spans="1:17" x14ac:dyDescent="0.3">
      <c r="A2171" t="s">
        <v>3216</v>
      </c>
      <c r="B2171" s="6">
        <v>45201</v>
      </c>
      <c r="C2171" s="6" t="str">
        <f t="shared" si="99"/>
        <v>Oct</v>
      </c>
      <c r="D2171" t="s">
        <v>3217</v>
      </c>
      <c r="E2171" t="s">
        <v>19</v>
      </c>
      <c r="F2171" t="s">
        <v>662</v>
      </c>
      <c r="G2171">
        <v>6</v>
      </c>
      <c r="H2171" s="7">
        <v>486.48</v>
      </c>
      <c r="I2171" t="s">
        <v>64</v>
      </c>
      <c r="J2171" t="s">
        <v>28</v>
      </c>
      <c r="K2171">
        <v>20</v>
      </c>
      <c r="L2171" s="7">
        <f t="shared" si="100"/>
        <v>2918.88</v>
      </c>
      <c r="M2171" s="7"/>
      <c r="O2171">
        <f t="shared" si="101"/>
        <v>3</v>
      </c>
      <c r="Q2171" t="s">
        <v>65</v>
      </c>
    </row>
    <row r="2172" spans="1:17" x14ac:dyDescent="0.3">
      <c r="A2172" t="s">
        <v>3218</v>
      </c>
      <c r="B2172" s="6">
        <v>45067</v>
      </c>
      <c r="C2172" s="6" t="str">
        <f t="shared" si="99"/>
        <v>May</v>
      </c>
      <c r="D2172" t="s">
        <v>245</v>
      </c>
      <c r="E2172" t="s">
        <v>19</v>
      </c>
      <c r="F2172" t="s">
        <v>520</v>
      </c>
      <c r="G2172">
        <v>8</v>
      </c>
      <c r="H2172" s="7">
        <v>146.49</v>
      </c>
      <c r="I2172" t="s">
        <v>21</v>
      </c>
      <c r="J2172" t="s">
        <v>42</v>
      </c>
      <c r="K2172">
        <v>0</v>
      </c>
      <c r="L2172" s="7">
        <f t="shared" si="100"/>
        <v>1171.92</v>
      </c>
      <c r="M2172" s="7"/>
      <c r="O2172">
        <f t="shared" si="101"/>
        <v>2</v>
      </c>
      <c r="Q2172" t="s">
        <v>23</v>
      </c>
    </row>
    <row r="2173" spans="1:17" x14ac:dyDescent="0.3">
      <c r="A2173" t="s">
        <v>3219</v>
      </c>
      <c r="B2173" s="6">
        <v>45157</v>
      </c>
      <c r="C2173" s="6" t="str">
        <f t="shared" si="99"/>
        <v>Aug</v>
      </c>
      <c r="D2173" t="s">
        <v>1368</v>
      </c>
      <c r="E2173" t="s">
        <v>19</v>
      </c>
      <c r="F2173" t="s">
        <v>51</v>
      </c>
      <c r="G2173">
        <v>3</v>
      </c>
      <c r="H2173" s="7">
        <v>40.200000000000003</v>
      </c>
      <c r="I2173" t="s">
        <v>21</v>
      </c>
      <c r="J2173" t="s">
        <v>42</v>
      </c>
      <c r="K2173">
        <v>15</v>
      </c>
      <c r="L2173" s="7">
        <f t="shared" si="100"/>
        <v>120.60000000000001</v>
      </c>
      <c r="M2173" s="7"/>
      <c r="O2173">
        <f t="shared" si="101"/>
        <v>2</v>
      </c>
      <c r="Q2173" t="s">
        <v>23</v>
      </c>
    </row>
    <row r="2174" spans="1:17" x14ac:dyDescent="0.3">
      <c r="A2174" t="s">
        <v>3220</v>
      </c>
      <c r="B2174" s="6">
        <v>45108</v>
      </c>
      <c r="C2174" s="6" t="str">
        <f t="shared" si="99"/>
        <v>Jul</v>
      </c>
      <c r="D2174" t="s">
        <v>1458</v>
      </c>
      <c r="E2174" t="s">
        <v>50</v>
      </c>
      <c r="F2174" t="s">
        <v>445</v>
      </c>
      <c r="G2174">
        <v>5</v>
      </c>
      <c r="H2174" s="7">
        <v>252.16</v>
      </c>
      <c r="I2174" t="s">
        <v>19</v>
      </c>
      <c r="J2174" t="s">
        <v>22</v>
      </c>
      <c r="K2174">
        <v>20</v>
      </c>
      <c r="L2174" s="7">
        <f t="shared" si="100"/>
        <v>1260.8</v>
      </c>
      <c r="M2174" s="7"/>
      <c r="O2174">
        <f t="shared" si="101"/>
        <v>2</v>
      </c>
      <c r="Q2174" t="s">
        <v>19</v>
      </c>
    </row>
    <row r="2175" spans="1:17" x14ac:dyDescent="0.3">
      <c r="A2175" t="s">
        <v>3221</v>
      </c>
      <c r="B2175" s="6">
        <v>45235</v>
      </c>
      <c r="C2175" s="6" t="str">
        <f t="shared" si="99"/>
        <v>Nov</v>
      </c>
      <c r="D2175" t="s">
        <v>374</v>
      </c>
      <c r="E2175" t="s">
        <v>36</v>
      </c>
      <c r="F2175" t="s">
        <v>713</v>
      </c>
      <c r="G2175">
        <v>4</v>
      </c>
      <c r="H2175" s="7">
        <v>372.93</v>
      </c>
      <c r="I2175" t="s">
        <v>46</v>
      </c>
      <c r="J2175" t="s">
        <v>72</v>
      </c>
      <c r="K2175">
        <v>20</v>
      </c>
      <c r="L2175" s="7">
        <f t="shared" si="100"/>
        <v>1491.72</v>
      </c>
      <c r="M2175" s="7"/>
      <c r="O2175">
        <f t="shared" si="101"/>
        <v>2</v>
      </c>
      <c r="Q2175" t="s">
        <v>47</v>
      </c>
    </row>
    <row r="2176" spans="1:17" x14ac:dyDescent="0.3">
      <c r="A2176" t="s">
        <v>3222</v>
      </c>
      <c r="B2176" s="6">
        <v>45082</v>
      </c>
      <c r="C2176" s="6" t="str">
        <f t="shared" si="99"/>
        <v>Jun</v>
      </c>
      <c r="D2176" t="s">
        <v>891</v>
      </c>
      <c r="E2176" t="s">
        <v>36</v>
      </c>
      <c r="F2176" t="s">
        <v>983</v>
      </c>
      <c r="G2176">
        <v>4</v>
      </c>
      <c r="H2176" s="7">
        <v>221.87</v>
      </c>
      <c r="I2176" t="s">
        <v>103</v>
      </c>
      <c r="J2176" t="s">
        <v>28</v>
      </c>
      <c r="K2176">
        <v>20</v>
      </c>
      <c r="L2176" s="7">
        <f t="shared" si="100"/>
        <v>887.48</v>
      </c>
      <c r="M2176" s="7"/>
      <c r="O2176">
        <f t="shared" si="101"/>
        <v>2</v>
      </c>
      <c r="Q2176" t="s">
        <v>104</v>
      </c>
    </row>
    <row r="2177" spans="1:17" x14ac:dyDescent="0.3">
      <c r="A2177" t="s">
        <v>3223</v>
      </c>
      <c r="B2177" s="6">
        <v>45236</v>
      </c>
      <c r="C2177" s="6" t="str">
        <f t="shared" si="99"/>
        <v>Nov</v>
      </c>
      <c r="D2177" t="s">
        <v>742</v>
      </c>
      <c r="E2177" t="s">
        <v>50</v>
      </c>
      <c r="F2177" t="s">
        <v>1182</v>
      </c>
      <c r="G2177">
        <v>4</v>
      </c>
      <c r="H2177" s="7">
        <v>252.16</v>
      </c>
      <c r="I2177" t="s">
        <v>46</v>
      </c>
      <c r="J2177" t="s">
        <v>42</v>
      </c>
      <c r="K2177">
        <v>10</v>
      </c>
      <c r="L2177" s="7">
        <f t="shared" si="100"/>
        <v>1008.64</v>
      </c>
      <c r="M2177" s="7"/>
      <c r="O2177">
        <f t="shared" si="101"/>
        <v>2</v>
      </c>
      <c r="Q2177" t="s">
        <v>47</v>
      </c>
    </row>
    <row r="2178" spans="1:17" x14ac:dyDescent="0.3">
      <c r="A2178" t="s">
        <v>3224</v>
      </c>
      <c r="B2178" s="6">
        <v>45068</v>
      </c>
      <c r="C2178" s="6" t="str">
        <f t="shared" si="99"/>
        <v>May</v>
      </c>
      <c r="D2178" t="s">
        <v>3225</v>
      </c>
      <c r="E2178" t="s">
        <v>19</v>
      </c>
      <c r="F2178" t="s">
        <v>598</v>
      </c>
      <c r="G2178">
        <v>8</v>
      </c>
      <c r="H2178" s="7">
        <v>276.92</v>
      </c>
      <c r="I2178" t="s">
        <v>46</v>
      </c>
      <c r="J2178" t="s">
        <v>28</v>
      </c>
      <c r="K2178">
        <v>10</v>
      </c>
      <c r="L2178" s="7">
        <f t="shared" si="100"/>
        <v>2215.36</v>
      </c>
      <c r="M2178" s="7"/>
      <c r="O2178">
        <f t="shared" si="101"/>
        <v>2</v>
      </c>
      <c r="Q2178" t="s">
        <v>47</v>
      </c>
    </row>
    <row r="2179" spans="1:17" x14ac:dyDescent="0.3">
      <c r="A2179" t="s">
        <v>3226</v>
      </c>
      <c r="B2179" s="6">
        <v>45043</v>
      </c>
      <c r="C2179" s="6" t="str">
        <f t="shared" ref="C2179:C2242" si="102">TEXT(B2179,"MMM")</f>
        <v>Apr</v>
      </c>
      <c r="D2179" t="s">
        <v>3227</v>
      </c>
      <c r="E2179" t="s">
        <v>19</v>
      </c>
      <c r="F2179" t="s">
        <v>887</v>
      </c>
      <c r="G2179">
        <v>6</v>
      </c>
      <c r="H2179" s="7">
        <v>465.25</v>
      </c>
      <c r="I2179" t="s">
        <v>32</v>
      </c>
      <c r="J2179" t="s">
        <v>42</v>
      </c>
      <c r="K2179">
        <v>20</v>
      </c>
      <c r="L2179" s="7">
        <f t="shared" ref="L2179:L2242" si="103">G2179*H2179</f>
        <v>2791.5</v>
      </c>
      <c r="M2179" s="7"/>
      <c r="O2179">
        <f t="shared" si="101"/>
        <v>3</v>
      </c>
      <c r="Q2179" t="s">
        <v>33</v>
      </c>
    </row>
    <row r="2180" spans="1:17" x14ac:dyDescent="0.3">
      <c r="A2180" t="s">
        <v>3228</v>
      </c>
      <c r="B2180" s="6">
        <v>45233</v>
      </c>
      <c r="C2180" s="6" t="str">
        <f t="shared" si="102"/>
        <v>Nov</v>
      </c>
      <c r="D2180" t="s">
        <v>3229</v>
      </c>
      <c r="E2180" t="s">
        <v>36</v>
      </c>
      <c r="F2180" t="s">
        <v>193</v>
      </c>
      <c r="G2180">
        <v>5</v>
      </c>
      <c r="H2180" s="7">
        <v>474.19</v>
      </c>
      <c r="I2180" t="s">
        <v>32</v>
      </c>
      <c r="J2180" t="s">
        <v>87</v>
      </c>
      <c r="K2180">
        <v>10</v>
      </c>
      <c r="L2180" s="7">
        <f t="shared" si="103"/>
        <v>2370.9499999999998</v>
      </c>
      <c r="M2180" s="7"/>
      <c r="O2180">
        <f t="shared" ref="O2180:O2243" si="104">IF(L2180&gt;3500,5,IF(L2180&gt;3000,4,IF(L2180&gt;2500,3,IF(L2180&gt;2000,2,IF(L2180&gt;1000,2,2)))))</f>
        <v>2</v>
      </c>
      <c r="Q2180" t="s">
        <v>33</v>
      </c>
    </row>
    <row r="2181" spans="1:17" x14ac:dyDescent="0.3">
      <c r="A2181" t="s">
        <v>3230</v>
      </c>
      <c r="B2181" s="6">
        <v>45186</v>
      </c>
      <c r="C2181" s="6" t="str">
        <f t="shared" si="102"/>
        <v>Sep</v>
      </c>
      <c r="D2181" t="s">
        <v>3231</v>
      </c>
      <c r="E2181" t="s">
        <v>40</v>
      </c>
      <c r="F2181" t="s">
        <v>378</v>
      </c>
      <c r="G2181">
        <v>5</v>
      </c>
      <c r="H2181" s="7">
        <v>39.31</v>
      </c>
      <c r="I2181" t="s">
        <v>32</v>
      </c>
      <c r="J2181" t="s">
        <v>42</v>
      </c>
      <c r="K2181">
        <v>15</v>
      </c>
      <c r="L2181" s="7">
        <f t="shared" si="103"/>
        <v>196.55</v>
      </c>
      <c r="M2181" s="7"/>
      <c r="O2181">
        <f t="shared" si="104"/>
        <v>2</v>
      </c>
      <c r="Q2181" t="s">
        <v>33</v>
      </c>
    </row>
    <row r="2182" spans="1:17" x14ac:dyDescent="0.3">
      <c r="A2182" t="s">
        <v>3232</v>
      </c>
      <c r="B2182" s="6">
        <v>45238</v>
      </c>
      <c r="C2182" s="6" t="str">
        <f t="shared" si="102"/>
        <v>Nov</v>
      </c>
      <c r="D2182" t="s">
        <v>3177</v>
      </c>
      <c r="E2182" t="s">
        <v>19</v>
      </c>
      <c r="F2182" t="s">
        <v>54</v>
      </c>
      <c r="G2182">
        <v>6</v>
      </c>
      <c r="H2182" s="7">
        <v>230.92</v>
      </c>
      <c r="I2182" t="s">
        <v>103</v>
      </c>
      <c r="J2182" t="s">
        <v>42</v>
      </c>
      <c r="K2182">
        <v>0</v>
      </c>
      <c r="L2182" s="7">
        <f t="shared" si="103"/>
        <v>1385.52</v>
      </c>
      <c r="M2182" s="7"/>
      <c r="O2182">
        <f t="shared" si="104"/>
        <v>2</v>
      </c>
      <c r="Q2182" t="s">
        <v>104</v>
      </c>
    </row>
    <row r="2183" spans="1:17" x14ac:dyDescent="0.3">
      <c r="A2183" t="s">
        <v>3233</v>
      </c>
      <c r="B2183" s="6">
        <v>44942</v>
      </c>
      <c r="C2183" s="6" t="str">
        <f t="shared" si="102"/>
        <v>Jan</v>
      </c>
      <c r="D2183" t="s">
        <v>1062</v>
      </c>
      <c r="E2183" t="s">
        <v>40</v>
      </c>
      <c r="F2183" t="s">
        <v>474</v>
      </c>
      <c r="G2183">
        <v>5</v>
      </c>
      <c r="H2183" s="7">
        <v>306.8</v>
      </c>
      <c r="I2183" t="s">
        <v>21</v>
      </c>
      <c r="J2183" t="s">
        <v>19</v>
      </c>
      <c r="K2183">
        <v>10</v>
      </c>
      <c r="L2183" s="7">
        <f t="shared" si="103"/>
        <v>1534</v>
      </c>
      <c r="M2183" s="7"/>
      <c r="O2183">
        <f t="shared" si="104"/>
        <v>2</v>
      </c>
      <c r="Q2183" t="s">
        <v>23</v>
      </c>
    </row>
    <row r="2184" spans="1:17" x14ac:dyDescent="0.3">
      <c r="A2184" t="s">
        <v>3234</v>
      </c>
      <c r="B2184" s="6">
        <v>45202</v>
      </c>
      <c r="C2184" s="6" t="str">
        <f t="shared" si="102"/>
        <v>Oct</v>
      </c>
      <c r="D2184" t="s">
        <v>951</v>
      </c>
      <c r="E2184" t="s">
        <v>31</v>
      </c>
      <c r="F2184" t="s">
        <v>520</v>
      </c>
      <c r="G2184">
        <v>6</v>
      </c>
      <c r="H2184" s="7">
        <v>131.66</v>
      </c>
      <c r="I2184" t="s">
        <v>21</v>
      </c>
      <c r="J2184" t="s">
        <v>19</v>
      </c>
      <c r="K2184">
        <v>5</v>
      </c>
      <c r="L2184" s="7">
        <f t="shared" si="103"/>
        <v>789.96</v>
      </c>
      <c r="M2184" s="7"/>
      <c r="O2184">
        <f t="shared" si="104"/>
        <v>2</v>
      </c>
      <c r="Q2184" t="s">
        <v>23</v>
      </c>
    </row>
    <row r="2185" spans="1:17" x14ac:dyDescent="0.3">
      <c r="A2185" t="s">
        <v>3235</v>
      </c>
      <c r="B2185" s="6">
        <v>45036</v>
      </c>
      <c r="C2185" s="6" t="str">
        <f t="shared" si="102"/>
        <v>Apr</v>
      </c>
      <c r="D2185" t="s">
        <v>112</v>
      </c>
      <c r="E2185" t="s">
        <v>36</v>
      </c>
      <c r="F2185" t="s">
        <v>375</v>
      </c>
      <c r="G2185">
        <v>5</v>
      </c>
      <c r="H2185" s="7">
        <v>206.5</v>
      </c>
      <c r="I2185" t="s">
        <v>103</v>
      </c>
      <c r="J2185" t="s">
        <v>22</v>
      </c>
      <c r="K2185">
        <v>10</v>
      </c>
      <c r="L2185" s="7">
        <f t="shared" si="103"/>
        <v>1032.5</v>
      </c>
      <c r="M2185" s="7"/>
      <c r="O2185">
        <f t="shared" si="104"/>
        <v>2</v>
      </c>
      <c r="Q2185" t="s">
        <v>104</v>
      </c>
    </row>
    <row r="2186" spans="1:17" x14ac:dyDescent="0.3">
      <c r="A2186" t="s">
        <v>3236</v>
      </c>
      <c r="B2186" s="6">
        <v>45254</v>
      </c>
      <c r="C2186" s="6" t="str">
        <f t="shared" si="102"/>
        <v>Nov</v>
      </c>
      <c r="D2186" t="s">
        <v>860</v>
      </c>
      <c r="E2186" t="s">
        <v>40</v>
      </c>
      <c r="F2186" t="s">
        <v>148</v>
      </c>
      <c r="G2186">
        <v>7</v>
      </c>
      <c r="H2186" s="7">
        <v>252.16</v>
      </c>
      <c r="I2186" t="s">
        <v>64</v>
      </c>
      <c r="J2186" t="s">
        <v>72</v>
      </c>
      <c r="K2186">
        <v>15</v>
      </c>
      <c r="L2186" s="7">
        <f t="shared" si="103"/>
        <v>1765.12</v>
      </c>
      <c r="M2186" s="7"/>
      <c r="O2186">
        <f t="shared" si="104"/>
        <v>2</v>
      </c>
      <c r="Q2186" t="s">
        <v>65</v>
      </c>
    </row>
    <row r="2187" spans="1:17" x14ac:dyDescent="0.3">
      <c r="A2187" t="s">
        <v>3237</v>
      </c>
      <c r="B2187" s="6">
        <v>44964</v>
      </c>
      <c r="C2187" s="6" t="str">
        <f t="shared" si="102"/>
        <v>Feb</v>
      </c>
      <c r="D2187" t="s">
        <v>312</v>
      </c>
      <c r="E2187" t="s">
        <v>19</v>
      </c>
      <c r="F2187" t="s">
        <v>420</v>
      </c>
      <c r="G2187">
        <v>5</v>
      </c>
      <c r="H2187" s="7">
        <v>117.23</v>
      </c>
      <c r="I2187" t="s">
        <v>19</v>
      </c>
      <c r="J2187" t="s">
        <v>22</v>
      </c>
      <c r="K2187">
        <v>15</v>
      </c>
      <c r="L2187" s="7">
        <f t="shared" si="103"/>
        <v>586.15</v>
      </c>
      <c r="M2187" s="7"/>
      <c r="O2187">
        <f t="shared" si="104"/>
        <v>2</v>
      </c>
      <c r="Q2187" t="s">
        <v>19</v>
      </c>
    </row>
    <row r="2188" spans="1:17" x14ac:dyDescent="0.3">
      <c r="A2188" t="s">
        <v>3238</v>
      </c>
      <c r="B2188" s="6">
        <v>45045</v>
      </c>
      <c r="C2188" s="6" t="str">
        <f t="shared" si="102"/>
        <v>Apr</v>
      </c>
      <c r="D2188" t="s">
        <v>382</v>
      </c>
      <c r="E2188" t="s">
        <v>50</v>
      </c>
      <c r="F2188" t="s">
        <v>284</v>
      </c>
      <c r="G2188">
        <v>6</v>
      </c>
      <c r="H2188" s="7">
        <v>302.98</v>
      </c>
      <c r="I2188" t="s">
        <v>19</v>
      </c>
      <c r="J2188" t="s">
        <v>22</v>
      </c>
      <c r="K2188">
        <v>5</v>
      </c>
      <c r="L2188" s="7">
        <f t="shared" si="103"/>
        <v>1817.88</v>
      </c>
      <c r="M2188" s="7"/>
      <c r="O2188">
        <f t="shared" si="104"/>
        <v>2</v>
      </c>
      <c r="Q2188" t="s">
        <v>19</v>
      </c>
    </row>
    <row r="2189" spans="1:17" x14ac:dyDescent="0.3">
      <c r="A2189" t="s">
        <v>3239</v>
      </c>
      <c r="B2189" s="6">
        <v>45106</v>
      </c>
      <c r="C2189" s="6" t="str">
        <f t="shared" si="102"/>
        <v>Jun</v>
      </c>
      <c r="D2189" t="s">
        <v>1775</v>
      </c>
      <c r="E2189" t="s">
        <v>62</v>
      </c>
      <c r="F2189" t="s">
        <v>134</v>
      </c>
      <c r="G2189">
        <v>4</v>
      </c>
      <c r="H2189" s="7">
        <v>350.24</v>
      </c>
      <c r="I2189" t="s">
        <v>19</v>
      </c>
      <c r="J2189" t="s">
        <v>72</v>
      </c>
      <c r="K2189">
        <v>5</v>
      </c>
      <c r="L2189" s="7">
        <f t="shared" si="103"/>
        <v>1400.96</v>
      </c>
      <c r="M2189" s="7"/>
      <c r="O2189">
        <f t="shared" si="104"/>
        <v>2</v>
      </c>
      <c r="Q2189" t="s">
        <v>19</v>
      </c>
    </row>
    <row r="2190" spans="1:17" x14ac:dyDescent="0.3">
      <c r="A2190" t="s">
        <v>3240</v>
      </c>
      <c r="B2190" s="6">
        <v>45281</v>
      </c>
      <c r="C2190" s="6" t="str">
        <f t="shared" si="102"/>
        <v>Dec</v>
      </c>
      <c r="D2190" t="s">
        <v>824</v>
      </c>
      <c r="E2190" t="s">
        <v>19</v>
      </c>
      <c r="F2190" t="s">
        <v>217</v>
      </c>
      <c r="G2190">
        <v>9</v>
      </c>
      <c r="H2190" s="7">
        <v>49.8</v>
      </c>
      <c r="I2190" t="s">
        <v>46</v>
      </c>
      <c r="J2190" t="s">
        <v>72</v>
      </c>
      <c r="K2190">
        <v>15</v>
      </c>
      <c r="L2190" s="7">
        <f t="shared" si="103"/>
        <v>448.2</v>
      </c>
      <c r="M2190" s="7"/>
      <c r="O2190">
        <f t="shared" si="104"/>
        <v>2</v>
      </c>
      <c r="Q2190" t="s">
        <v>47</v>
      </c>
    </row>
    <row r="2191" spans="1:17" x14ac:dyDescent="0.3">
      <c r="A2191" t="s">
        <v>3241</v>
      </c>
      <c r="B2191" s="6">
        <v>45068</v>
      </c>
      <c r="C2191" s="6" t="str">
        <f t="shared" si="102"/>
        <v>May</v>
      </c>
      <c r="D2191" t="s">
        <v>832</v>
      </c>
      <c r="E2191" t="s">
        <v>36</v>
      </c>
      <c r="F2191" t="s">
        <v>208</v>
      </c>
      <c r="G2191">
        <v>4</v>
      </c>
      <c r="H2191" s="7">
        <v>251.28</v>
      </c>
      <c r="I2191" t="s">
        <v>32</v>
      </c>
      <c r="J2191" t="s">
        <v>28</v>
      </c>
      <c r="K2191">
        <v>5</v>
      </c>
      <c r="L2191" s="7">
        <f t="shared" si="103"/>
        <v>1005.12</v>
      </c>
      <c r="M2191" s="7"/>
      <c r="O2191">
        <f t="shared" si="104"/>
        <v>2</v>
      </c>
      <c r="Q2191" t="s">
        <v>33</v>
      </c>
    </row>
    <row r="2192" spans="1:17" x14ac:dyDescent="0.3">
      <c r="A2192" t="s">
        <v>3242</v>
      </c>
      <c r="B2192" s="6">
        <v>45256</v>
      </c>
      <c r="C2192" s="6" t="str">
        <f t="shared" si="102"/>
        <v>Nov</v>
      </c>
      <c r="D2192" t="s">
        <v>400</v>
      </c>
      <c r="E2192" t="s">
        <v>36</v>
      </c>
      <c r="F2192" t="s">
        <v>190</v>
      </c>
      <c r="G2192">
        <v>1</v>
      </c>
      <c r="H2192" s="7">
        <v>252.16</v>
      </c>
      <c r="I2192" t="s">
        <v>32</v>
      </c>
      <c r="J2192" t="s">
        <v>42</v>
      </c>
      <c r="K2192">
        <v>15</v>
      </c>
      <c r="L2192" s="7">
        <f t="shared" si="103"/>
        <v>252.16</v>
      </c>
      <c r="M2192" s="7"/>
      <c r="O2192">
        <f t="shared" si="104"/>
        <v>2</v>
      </c>
      <c r="Q2192" t="s">
        <v>33</v>
      </c>
    </row>
    <row r="2193" spans="1:17" x14ac:dyDescent="0.3">
      <c r="A2193" t="s">
        <v>3243</v>
      </c>
      <c r="B2193" s="6">
        <v>45136</v>
      </c>
      <c r="C2193" s="6" t="str">
        <f t="shared" si="102"/>
        <v>Jul</v>
      </c>
      <c r="D2193" t="s">
        <v>3244</v>
      </c>
      <c r="E2193" t="s">
        <v>19</v>
      </c>
      <c r="F2193" t="s">
        <v>719</v>
      </c>
      <c r="G2193">
        <v>7</v>
      </c>
      <c r="H2193" s="7">
        <v>363.57</v>
      </c>
      <c r="I2193" t="s">
        <v>19</v>
      </c>
      <c r="J2193" t="s">
        <v>72</v>
      </c>
      <c r="K2193">
        <v>10</v>
      </c>
      <c r="L2193" s="7">
        <f t="shared" si="103"/>
        <v>2544.9899999999998</v>
      </c>
      <c r="M2193" s="7"/>
      <c r="O2193">
        <f t="shared" si="104"/>
        <v>3</v>
      </c>
      <c r="Q2193" t="s">
        <v>19</v>
      </c>
    </row>
    <row r="2194" spans="1:17" x14ac:dyDescent="0.3">
      <c r="A2194" t="s">
        <v>3245</v>
      </c>
      <c r="B2194" s="6">
        <v>44971</v>
      </c>
      <c r="C2194" s="6" t="str">
        <f t="shared" si="102"/>
        <v>Feb</v>
      </c>
      <c r="D2194" t="s">
        <v>1605</v>
      </c>
      <c r="E2194" t="s">
        <v>31</v>
      </c>
      <c r="F2194" t="s">
        <v>254</v>
      </c>
      <c r="G2194">
        <v>7</v>
      </c>
      <c r="H2194" s="7">
        <v>98.83</v>
      </c>
      <c r="I2194" t="s">
        <v>64</v>
      </c>
      <c r="J2194" t="s">
        <v>72</v>
      </c>
      <c r="K2194">
        <v>5</v>
      </c>
      <c r="L2194" s="7">
        <f t="shared" si="103"/>
        <v>691.81</v>
      </c>
      <c r="M2194" s="7"/>
      <c r="O2194">
        <f t="shared" si="104"/>
        <v>2</v>
      </c>
      <c r="Q2194" t="s">
        <v>65</v>
      </c>
    </row>
    <row r="2195" spans="1:17" x14ac:dyDescent="0.3">
      <c r="A2195" t="s">
        <v>3246</v>
      </c>
      <c r="B2195" s="6">
        <v>45145</v>
      </c>
      <c r="C2195" s="6" t="str">
        <f t="shared" si="102"/>
        <v>Aug</v>
      </c>
      <c r="D2195" t="s">
        <v>1258</v>
      </c>
      <c r="E2195" t="s">
        <v>62</v>
      </c>
      <c r="F2195" t="s">
        <v>239</v>
      </c>
      <c r="G2195">
        <v>4</v>
      </c>
      <c r="H2195" s="7">
        <v>252.16</v>
      </c>
      <c r="I2195" t="s">
        <v>46</v>
      </c>
      <c r="J2195" t="s">
        <v>28</v>
      </c>
      <c r="K2195">
        <v>10</v>
      </c>
      <c r="L2195" s="7">
        <f t="shared" si="103"/>
        <v>1008.64</v>
      </c>
      <c r="M2195" s="7"/>
      <c r="O2195">
        <f t="shared" si="104"/>
        <v>2</v>
      </c>
      <c r="Q2195" t="s">
        <v>47</v>
      </c>
    </row>
    <row r="2196" spans="1:17" x14ac:dyDescent="0.3">
      <c r="A2196" t="s">
        <v>3247</v>
      </c>
      <c r="B2196" s="6">
        <v>45138</v>
      </c>
      <c r="C2196" s="6" t="str">
        <f t="shared" si="102"/>
        <v>Jul</v>
      </c>
      <c r="D2196" t="s">
        <v>1916</v>
      </c>
      <c r="E2196" t="s">
        <v>36</v>
      </c>
      <c r="F2196" t="s">
        <v>586</v>
      </c>
      <c r="G2196">
        <v>3</v>
      </c>
      <c r="H2196" s="7">
        <v>252.16</v>
      </c>
      <c r="I2196" t="s">
        <v>32</v>
      </c>
      <c r="J2196" t="s">
        <v>87</v>
      </c>
      <c r="K2196">
        <v>10</v>
      </c>
      <c r="L2196" s="7">
        <f t="shared" si="103"/>
        <v>756.48</v>
      </c>
      <c r="M2196" s="7"/>
      <c r="O2196">
        <f t="shared" si="104"/>
        <v>2</v>
      </c>
      <c r="Q2196" t="s">
        <v>33</v>
      </c>
    </row>
    <row r="2197" spans="1:17" x14ac:dyDescent="0.3">
      <c r="A2197" t="s">
        <v>3248</v>
      </c>
      <c r="B2197" s="6">
        <v>45138</v>
      </c>
      <c r="C2197" s="6" t="str">
        <f t="shared" si="102"/>
        <v>Jul</v>
      </c>
      <c r="D2197" t="s">
        <v>414</v>
      </c>
      <c r="E2197" t="s">
        <v>19</v>
      </c>
      <c r="F2197" t="s">
        <v>687</v>
      </c>
      <c r="G2197">
        <v>8</v>
      </c>
      <c r="H2197" s="7">
        <v>103.01</v>
      </c>
      <c r="I2197" t="s">
        <v>21</v>
      </c>
      <c r="J2197" t="s">
        <v>19</v>
      </c>
      <c r="K2197">
        <v>5</v>
      </c>
      <c r="L2197" s="7">
        <f t="shared" si="103"/>
        <v>824.08</v>
      </c>
      <c r="M2197" s="7"/>
      <c r="O2197">
        <f t="shared" si="104"/>
        <v>2</v>
      </c>
      <c r="Q2197" t="s">
        <v>23</v>
      </c>
    </row>
    <row r="2198" spans="1:17" x14ac:dyDescent="0.3">
      <c r="A2198" t="s">
        <v>3249</v>
      </c>
      <c r="B2198" s="6">
        <v>44974</v>
      </c>
      <c r="C2198" s="6" t="str">
        <f t="shared" si="102"/>
        <v>Feb</v>
      </c>
      <c r="D2198" t="s">
        <v>1156</v>
      </c>
      <c r="E2198" t="s">
        <v>31</v>
      </c>
      <c r="F2198" t="s">
        <v>887</v>
      </c>
      <c r="G2198">
        <v>5</v>
      </c>
      <c r="H2198" s="7">
        <v>221.82</v>
      </c>
      <c r="I2198" t="s">
        <v>64</v>
      </c>
      <c r="J2198" t="s">
        <v>42</v>
      </c>
      <c r="K2198">
        <v>15</v>
      </c>
      <c r="L2198" s="7">
        <f t="shared" si="103"/>
        <v>1109.0999999999999</v>
      </c>
      <c r="M2198" s="7"/>
      <c r="O2198">
        <f t="shared" si="104"/>
        <v>2</v>
      </c>
      <c r="Q2198" t="s">
        <v>65</v>
      </c>
    </row>
    <row r="2199" spans="1:17" x14ac:dyDescent="0.3">
      <c r="A2199" t="s">
        <v>3250</v>
      </c>
      <c r="B2199" s="6">
        <v>45184</v>
      </c>
      <c r="C2199" s="6" t="str">
        <f t="shared" si="102"/>
        <v>Sep</v>
      </c>
      <c r="D2199" t="s">
        <v>2085</v>
      </c>
      <c r="E2199" t="s">
        <v>40</v>
      </c>
      <c r="F2199" t="s">
        <v>71</v>
      </c>
      <c r="G2199">
        <v>7</v>
      </c>
      <c r="H2199" s="7">
        <v>207.33</v>
      </c>
      <c r="I2199" t="s">
        <v>21</v>
      </c>
      <c r="J2199" t="s">
        <v>42</v>
      </c>
      <c r="K2199">
        <v>20</v>
      </c>
      <c r="L2199" s="7">
        <f t="shared" si="103"/>
        <v>1451.3100000000002</v>
      </c>
      <c r="M2199" s="7"/>
      <c r="O2199">
        <f t="shared" si="104"/>
        <v>2</v>
      </c>
      <c r="Q2199" t="s">
        <v>23</v>
      </c>
    </row>
    <row r="2200" spans="1:17" x14ac:dyDescent="0.3">
      <c r="A2200" t="s">
        <v>3251</v>
      </c>
      <c r="B2200" s="6">
        <v>45274</v>
      </c>
      <c r="C2200" s="6" t="str">
        <f t="shared" si="102"/>
        <v>Dec</v>
      </c>
      <c r="D2200" t="s">
        <v>1209</v>
      </c>
      <c r="E2200" t="s">
        <v>62</v>
      </c>
      <c r="F2200" t="s">
        <v>341</v>
      </c>
      <c r="G2200">
        <v>4</v>
      </c>
      <c r="H2200" s="7">
        <v>217.31</v>
      </c>
      <c r="I2200" t="s">
        <v>64</v>
      </c>
      <c r="J2200" t="s">
        <v>42</v>
      </c>
      <c r="K2200">
        <v>15</v>
      </c>
      <c r="L2200" s="7">
        <f t="shared" si="103"/>
        <v>869.24</v>
      </c>
      <c r="M2200" s="7"/>
      <c r="O2200">
        <f t="shared" si="104"/>
        <v>2</v>
      </c>
      <c r="Q2200" t="s">
        <v>65</v>
      </c>
    </row>
    <row r="2201" spans="1:17" x14ac:dyDescent="0.3">
      <c r="A2201" t="s">
        <v>3252</v>
      </c>
      <c r="B2201" s="6">
        <v>44993</v>
      </c>
      <c r="C2201" s="6" t="str">
        <f t="shared" si="102"/>
        <v>Mar</v>
      </c>
      <c r="D2201" t="s">
        <v>471</v>
      </c>
      <c r="E2201" t="s">
        <v>50</v>
      </c>
      <c r="F2201" t="s">
        <v>1325</v>
      </c>
      <c r="G2201">
        <v>4</v>
      </c>
      <c r="H2201" s="7">
        <v>294.85000000000002</v>
      </c>
      <c r="I2201" t="s">
        <v>64</v>
      </c>
      <c r="J2201" t="s">
        <v>42</v>
      </c>
      <c r="K2201">
        <v>0</v>
      </c>
      <c r="L2201" s="7">
        <f t="shared" si="103"/>
        <v>1179.4000000000001</v>
      </c>
      <c r="M2201" s="7"/>
      <c r="O2201">
        <f t="shared" si="104"/>
        <v>2</v>
      </c>
      <c r="Q2201" t="s">
        <v>65</v>
      </c>
    </row>
    <row r="2202" spans="1:17" x14ac:dyDescent="0.3">
      <c r="A2202" t="s">
        <v>3253</v>
      </c>
      <c r="B2202" s="6">
        <v>45223</v>
      </c>
      <c r="C2202" s="6" t="str">
        <f t="shared" si="102"/>
        <v>Oct</v>
      </c>
      <c r="D2202" t="s">
        <v>2079</v>
      </c>
      <c r="E2202" t="s">
        <v>36</v>
      </c>
      <c r="F2202" t="s">
        <v>173</v>
      </c>
      <c r="G2202">
        <v>8</v>
      </c>
      <c r="H2202" s="7">
        <v>262.98</v>
      </c>
      <c r="I2202" t="s">
        <v>21</v>
      </c>
      <c r="J2202" t="s">
        <v>28</v>
      </c>
      <c r="K2202">
        <v>5</v>
      </c>
      <c r="L2202" s="7">
        <f t="shared" si="103"/>
        <v>2103.84</v>
      </c>
      <c r="M2202" s="7"/>
      <c r="O2202">
        <f t="shared" si="104"/>
        <v>2</v>
      </c>
      <c r="Q2202" t="s">
        <v>23</v>
      </c>
    </row>
    <row r="2203" spans="1:17" x14ac:dyDescent="0.3">
      <c r="A2203" t="s">
        <v>3254</v>
      </c>
      <c r="B2203" s="6">
        <v>45265</v>
      </c>
      <c r="C2203" s="6" t="str">
        <f t="shared" si="102"/>
        <v>Dec</v>
      </c>
      <c r="D2203" t="s">
        <v>1152</v>
      </c>
      <c r="E2203" t="s">
        <v>19</v>
      </c>
      <c r="F2203" t="s">
        <v>900</v>
      </c>
      <c r="G2203">
        <v>8</v>
      </c>
      <c r="H2203" s="7">
        <v>79.14</v>
      </c>
      <c r="I2203" t="s">
        <v>21</v>
      </c>
      <c r="J2203" t="s">
        <v>19</v>
      </c>
      <c r="K2203">
        <v>10</v>
      </c>
      <c r="L2203" s="7">
        <f t="shared" si="103"/>
        <v>633.12</v>
      </c>
      <c r="M2203" s="7"/>
      <c r="O2203">
        <f t="shared" si="104"/>
        <v>2</v>
      </c>
      <c r="Q2203" t="s">
        <v>23</v>
      </c>
    </row>
    <row r="2204" spans="1:17" x14ac:dyDescent="0.3">
      <c r="A2204" t="s">
        <v>3255</v>
      </c>
      <c r="B2204" s="6">
        <v>45257</v>
      </c>
      <c r="C2204" s="6" t="str">
        <f t="shared" si="102"/>
        <v>Nov</v>
      </c>
      <c r="D2204" t="s">
        <v>2912</v>
      </c>
      <c r="E2204" t="s">
        <v>40</v>
      </c>
      <c r="F2204" t="s">
        <v>71</v>
      </c>
      <c r="G2204">
        <v>2</v>
      </c>
      <c r="H2204" s="7">
        <v>37.46</v>
      </c>
      <c r="I2204" t="s">
        <v>21</v>
      </c>
      <c r="J2204" t="s">
        <v>22</v>
      </c>
      <c r="K2204">
        <v>5</v>
      </c>
      <c r="L2204" s="7">
        <f t="shared" si="103"/>
        <v>74.92</v>
      </c>
      <c r="M2204" s="7"/>
      <c r="O2204">
        <f t="shared" si="104"/>
        <v>2</v>
      </c>
      <c r="Q2204" t="s">
        <v>23</v>
      </c>
    </row>
    <row r="2205" spans="1:17" x14ac:dyDescent="0.3">
      <c r="A2205" t="s">
        <v>3256</v>
      </c>
      <c r="B2205" s="6">
        <v>45245</v>
      </c>
      <c r="C2205" s="6" t="str">
        <f t="shared" si="102"/>
        <v>Nov</v>
      </c>
      <c r="D2205" t="s">
        <v>496</v>
      </c>
      <c r="E2205" t="s">
        <v>19</v>
      </c>
      <c r="F2205" t="s">
        <v>99</v>
      </c>
      <c r="G2205">
        <v>2</v>
      </c>
      <c r="H2205" s="7">
        <v>366.06</v>
      </c>
      <c r="I2205" t="s">
        <v>19</v>
      </c>
      <c r="J2205" t="s">
        <v>28</v>
      </c>
      <c r="K2205">
        <v>0</v>
      </c>
      <c r="L2205" s="7">
        <f t="shared" si="103"/>
        <v>732.12</v>
      </c>
      <c r="M2205" s="7"/>
      <c r="O2205">
        <f t="shared" si="104"/>
        <v>2</v>
      </c>
      <c r="Q2205" t="s">
        <v>19</v>
      </c>
    </row>
    <row r="2206" spans="1:17" x14ac:dyDescent="0.3">
      <c r="A2206" t="s">
        <v>3257</v>
      </c>
      <c r="B2206" s="6">
        <v>44949</v>
      </c>
      <c r="C2206" s="6" t="str">
        <f t="shared" si="102"/>
        <v>Jan</v>
      </c>
      <c r="D2206" t="s">
        <v>2119</v>
      </c>
      <c r="E2206" t="s">
        <v>36</v>
      </c>
      <c r="F2206" t="s">
        <v>822</v>
      </c>
      <c r="G2206">
        <v>3</v>
      </c>
      <c r="H2206" s="7">
        <v>282.06</v>
      </c>
      <c r="I2206" t="s">
        <v>19</v>
      </c>
      <c r="J2206" t="s">
        <v>72</v>
      </c>
      <c r="K2206">
        <v>10</v>
      </c>
      <c r="L2206" s="7">
        <f t="shared" si="103"/>
        <v>846.18000000000006</v>
      </c>
      <c r="M2206" s="7"/>
      <c r="O2206">
        <f t="shared" si="104"/>
        <v>2</v>
      </c>
      <c r="Q2206" t="s">
        <v>19</v>
      </c>
    </row>
    <row r="2207" spans="1:17" x14ac:dyDescent="0.3">
      <c r="A2207" t="s">
        <v>3258</v>
      </c>
      <c r="B2207" s="6">
        <v>45058</v>
      </c>
      <c r="C2207" s="6" t="str">
        <f t="shared" si="102"/>
        <v>May</v>
      </c>
      <c r="D2207" t="s">
        <v>3259</v>
      </c>
      <c r="E2207" t="s">
        <v>40</v>
      </c>
      <c r="F2207" t="s">
        <v>289</v>
      </c>
      <c r="G2207">
        <v>3</v>
      </c>
      <c r="H2207" s="7">
        <v>182.71</v>
      </c>
      <c r="I2207" t="s">
        <v>64</v>
      </c>
      <c r="J2207" t="s">
        <v>19</v>
      </c>
      <c r="K2207">
        <v>10</v>
      </c>
      <c r="L2207" s="7">
        <f t="shared" si="103"/>
        <v>548.13</v>
      </c>
      <c r="M2207" s="7"/>
      <c r="O2207">
        <f t="shared" si="104"/>
        <v>2</v>
      </c>
      <c r="Q2207" t="s">
        <v>65</v>
      </c>
    </row>
    <row r="2208" spans="1:17" x14ac:dyDescent="0.3">
      <c r="A2208" t="s">
        <v>3260</v>
      </c>
      <c r="B2208" s="6">
        <v>45035</v>
      </c>
      <c r="C2208" s="6" t="str">
        <f t="shared" si="102"/>
        <v>Apr</v>
      </c>
      <c r="D2208" t="s">
        <v>600</v>
      </c>
      <c r="E2208" t="s">
        <v>19</v>
      </c>
      <c r="F2208" t="s">
        <v>517</v>
      </c>
      <c r="G2208">
        <v>1</v>
      </c>
      <c r="H2208" s="7">
        <v>405.14</v>
      </c>
      <c r="I2208" t="s">
        <v>103</v>
      </c>
      <c r="J2208" t="s">
        <v>72</v>
      </c>
      <c r="K2208">
        <v>10</v>
      </c>
      <c r="L2208" s="7">
        <f t="shared" si="103"/>
        <v>405.14</v>
      </c>
      <c r="M2208" s="7"/>
      <c r="O2208">
        <f t="shared" si="104"/>
        <v>2</v>
      </c>
      <c r="Q2208" t="s">
        <v>104</v>
      </c>
    </row>
    <row r="2209" spans="1:17" x14ac:dyDescent="0.3">
      <c r="A2209" t="s">
        <v>3261</v>
      </c>
      <c r="B2209" s="6">
        <v>45189</v>
      </c>
      <c r="C2209" s="6" t="str">
        <f t="shared" si="102"/>
        <v>Sep</v>
      </c>
      <c r="D2209" t="s">
        <v>2342</v>
      </c>
      <c r="E2209" t="s">
        <v>26</v>
      </c>
      <c r="F2209" t="s">
        <v>730</v>
      </c>
      <c r="G2209">
        <v>3</v>
      </c>
      <c r="H2209" s="7">
        <v>197.09</v>
      </c>
      <c r="I2209" t="s">
        <v>19</v>
      </c>
      <c r="J2209" t="s">
        <v>87</v>
      </c>
      <c r="K2209">
        <v>15</v>
      </c>
      <c r="L2209" s="7">
        <f t="shared" si="103"/>
        <v>591.27</v>
      </c>
      <c r="M2209" s="7"/>
      <c r="O2209">
        <f t="shared" si="104"/>
        <v>2</v>
      </c>
      <c r="Q2209" t="s">
        <v>19</v>
      </c>
    </row>
    <row r="2210" spans="1:17" x14ac:dyDescent="0.3">
      <c r="A2210" t="s">
        <v>3262</v>
      </c>
      <c r="B2210" s="6">
        <v>45051</v>
      </c>
      <c r="C2210" s="6" t="str">
        <f t="shared" si="102"/>
        <v>May</v>
      </c>
      <c r="D2210" t="s">
        <v>799</v>
      </c>
      <c r="E2210" t="s">
        <v>26</v>
      </c>
      <c r="F2210" t="s">
        <v>480</v>
      </c>
      <c r="G2210">
        <v>6</v>
      </c>
      <c r="H2210" s="7">
        <v>399</v>
      </c>
      <c r="I2210" t="s">
        <v>103</v>
      </c>
      <c r="J2210" t="s">
        <v>72</v>
      </c>
      <c r="K2210">
        <v>20</v>
      </c>
      <c r="L2210" s="7">
        <f t="shared" si="103"/>
        <v>2394</v>
      </c>
      <c r="M2210" s="7"/>
      <c r="O2210">
        <f t="shared" si="104"/>
        <v>2</v>
      </c>
      <c r="Q2210" t="s">
        <v>104</v>
      </c>
    </row>
    <row r="2211" spans="1:17" x14ac:dyDescent="0.3">
      <c r="A2211" t="s">
        <v>3263</v>
      </c>
      <c r="B2211" s="6">
        <v>45097</v>
      </c>
      <c r="C2211" s="6" t="str">
        <f t="shared" si="102"/>
        <v>Jun</v>
      </c>
      <c r="D2211" t="s">
        <v>1368</v>
      </c>
      <c r="E2211" t="s">
        <v>19</v>
      </c>
      <c r="F2211" t="s">
        <v>586</v>
      </c>
      <c r="G2211">
        <v>8</v>
      </c>
      <c r="H2211" s="7">
        <v>156.35</v>
      </c>
      <c r="I2211" t="s">
        <v>19</v>
      </c>
      <c r="J2211" t="s">
        <v>28</v>
      </c>
      <c r="K2211">
        <v>15</v>
      </c>
      <c r="L2211" s="7">
        <f t="shared" si="103"/>
        <v>1250.8</v>
      </c>
      <c r="M2211" s="7"/>
      <c r="O2211">
        <f t="shared" si="104"/>
        <v>2</v>
      </c>
      <c r="Q2211" t="s">
        <v>19</v>
      </c>
    </row>
    <row r="2212" spans="1:17" x14ac:dyDescent="0.3">
      <c r="A2212" t="s">
        <v>3264</v>
      </c>
      <c r="B2212" s="6">
        <v>45289</v>
      </c>
      <c r="C2212" s="6" t="str">
        <f t="shared" si="102"/>
        <v>Dec</v>
      </c>
      <c r="D2212" t="s">
        <v>1812</v>
      </c>
      <c r="E2212" t="s">
        <v>36</v>
      </c>
      <c r="F2212" t="s">
        <v>231</v>
      </c>
      <c r="G2212">
        <v>6</v>
      </c>
      <c r="H2212" s="7">
        <v>41.06</v>
      </c>
      <c r="I2212" t="s">
        <v>64</v>
      </c>
      <c r="J2212" t="s">
        <v>72</v>
      </c>
      <c r="K2212">
        <v>10</v>
      </c>
      <c r="L2212" s="7">
        <f t="shared" si="103"/>
        <v>246.36</v>
      </c>
      <c r="M2212" s="7"/>
      <c r="O2212">
        <f t="shared" si="104"/>
        <v>2</v>
      </c>
      <c r="Q2212" t="s">
        <v>65</v>
      </c>
    </row>
    <row r="2213" spans="1:17" x14ac:dyDescent="0.3">
      <c r="A2213" t="s">
        <v>3265</v>
      </c>
      <c r="B2213" s="6">
        <v>45005</v>
      </c>
      <c r="C2213" s="6" t="str">
        <f t="shared" si="102"/>
        <v>Mar</v>
      </c>
      <c r="D2213" t="s">
        <v>1600</v>
      </c>
      <c r="E2213" t="s">
        <v>40</v>
      </c>
      <c r="F2213" t="s">
        <v>499</v>
      </c>
      <c r="G2213">
        <v>5</v>
      </c>
      <c r="H2213" s="7">
        <v>466.66</v>
      </c>
      <c r="I2213" t="s">
        <v>21</v>
      </c>
      <c r="J2213" t="s">
        <v>42</v>
      </c>
      <c r="K2213">
        <v>10</v>
      </c>
      <c r="L2213" s="7">
        <f t="shared" si="103"/>
        <v>2333.3000000000002</v>
      </c>
      <c r="M2213" s="7"/>
      <c r="O2213">
        <f t="shared" si="104"/>
        <v>2</v>
      </c>
      <c r="Q2213" t="s">
        <v>23</v>
      </c>
    </row>
    <row r="2214" spans="1:17" x14ac:dyDescent="0.3">
      <c r="A2214" t="s">
        <v>3266</v>
      </c>
      <c r="B2214" s="6">
        <v>44949</v>
      </c>
      <c r="C2214" s="6" t="str">
        <f t="shared" si="102"/>
        <v>Jan</v>
      </c>
      <c r="D2214" t="s">
        <v>3267</v>
      </c>
      <c r="E2214" t="s">
        <v>19</v>
      </c>
      <c r="F2214" t="s">
        <v>107</v>
      </c>
      <c r="G2214">
        <v>4</v>
      </c>
      <c r="H2214" s="7">
        <v>200.3</v>
      </c>
      <c r="I2214" t="s">
        <v>103</v>
      </c>
      <c r="J2214" t="s">
        <v>87</v>
      </c>
      <c r="K2214">
        <v>20</v>
      </c>
      <c r="L2214" s="7">
        <f t="shared" si="103"/>
        <v>801.2</v>
      </c>
      <c r="M2214" s="7"/>
      <c r="O2214">
        <f t="shared" si="104"/>
        <v>2</v>
      </c>
      <c r="Q2214" t="s">
        <v>104</v>
      </c>
    </row>
    <row r="2215" spans="1:17" x14ac:dyDescent="0.3">
      <c r="A2215" t="s">
        <v>3268</v>
      </c>
      <c r="B2215" s="6">
        <v>44949</v>
      </c>
      <c r="C2215" s="6" t="str">
        <f t="shared" si="102"/>
        <v>Jan</v>
      </c>
      <c r="D2215" t="s">
        <v>346</v>
      </c>
      <c r="E2215" t="s">
        <v>19</v>
      </c>
      <c r="F2215" t="s">
        <v>353</v>
      </c>
      <c r="G2215">
        <v>3</v>
      </c>
      <c r="H2215" s="7">
        <v>397.38</v>
      </c>
      <c r="I2215" t="s">
        <v>64</v>
      </c>
      <c r="J2215" t="s">
        <v>28</v>
      </c>
      <c r="K2215">
        <v>5</v>
      </c>
      <c r="L2215" s="7">
        <f t="shared" si="103"/>
        <v>1192.1399999999999</v>
      </c>
      <c r="M2215" s="7"/>
      <c r="O2215">
        <f t="shared" si="104"/>
        <v>2</v>
      </c>
      <c r="Q2215" t="s">
        <v>65</v>
      </c>
    </row>
    <row r="2216" spans="1:17" x14ac:dyDescent="0.3">
      <c r="A2216" t="s">
        <v>3269</v>
      </c>
      <c r="B2216" s="6">
        <v>44998</v>
      </c>
      <c r="C2216" s="6" t="str">
        <f t="shared" si="102"/>
        <v>Mar</v>
      </c>
      <c r="D2216" t="s">
        <v>2134</v>
      </c>
      <c r="E2216" t="s">
        <v>19</v>
      </c>
      <c r="F2216" t="s">
        <v>1461</v>
      </c>
      <c r="G2216">
        <v>4</v>
      </c>
      <c r="H2216" s="7">
        <v>143.18</v>
      </c>
      <c r="I2216" t="s">
        <v>19</v>
      </c>
      <c r="J2216" t="s">
        <v>28</v>
      </c>
      <c r="K2216">
        <v>20</v>
      </c>
      <c r="L2216" s="7">
        <f t="shared" si="103"/>
        <v>572.72</v>
      </c>
      <c r="M2216" s="7"/>
      <c r="O2216">
        <f t="shared" si="104"/>
        <v>2</v>
      </c>
      <c r="Q2216" t="s">
        <v>19</v>
      </c>
    </row>
    <row r="2217" spans="1:17" x14ac:dyDescent="0.3">
      <c r="A2217" t="s">
        <v>3270</v>
      </c>
      <c r="B2217" s="6">
        <v>44947</v>
      </c>
      <c r="C2217" s="6" t="str">
        <f t="shared" si="102"/>
        <v>Jan</v>
      </c>
      <c r="D2217" t="s">
        <v>1245</v>
      </c>
      <c r="E2217" t="s">
        <v>62</v>
      </c>
      <c r="F2217" t="s">
        <v>436</v>
      </c>
      <c r="G2217">
        <v>7</v>
      </c>
      <c r="H2217" s="7">
        <v>324.95</v>
      </c>
      <c r="I2217" t="s">
        <v>46</v>
      </c>
      <c r="J2217" t="s">
        <v>19</v>
      </c>
      <c r="K2217">
        <v>10</v>
      </c>
      <c r="L2217" s="7">
        <f t="shared" si="103"/>
        <v>2274.65</v>
      </c>
      <c r="M2217" s="7"/>
      <c r="O2217">
        <f t="shared" si="104"/>
        <v>2</v>
      </c>
      <c r="Q2217" t="s">
        <v>47</v>
      </c>
    </row>
    <row r="2218" spans="1:17" x14ac:dyDescent="0.3">
      <c r="A2218" t="s">
        <v>3271</v>
      </c>
      <c r="B2218" s="6">
        <v>45182</v>
      </c>
      <c r="C2218" s="6" t="str">
        <f t="shared" si="102"/>
        <v>Sep</v>
      </c>
      <c r="D2218" t="s">
        <v>717</v>
      </c>
      <c r="E2218" t="s">
        <v>40</v>
      </c>
      <c r="F2218" t="s">
        <v>499</v>
      </c>
      <c r="G2218">
        <v>1</v>
      </c>
      <c r="H2218" s="7">
        <v>437.29</v>
      </c>
      <c r="I2218" t="s">
        <v>19</v>
      </c>
      <c r="J2218" t="s">
        <v>28</v>
      </c>
      <c r="K2218">
        <v>15</v>
      </c>
      <c r="L2218" s="7">
        <f t="shared" si="103"/>
        <v>437.29</v>
      </c>
      <c r="M2218" s="7"/>
      <c r="O2218">
        <f t="shared" si="104"/>
        <v>2</v>
      </c>
      <c r="Q2218" t="s">
        <v>19</v>
      </c>
    </row>
    <row r="2219" spans="1:17" x14ac:dyDescent="0.3">
      <c r="A2219" t="s">
        <v>3272</v>
      </c>
      <c r="B2219" s="6">
        <v>44977</v>
      </c>
      <c r="C2219" s="6" t="str">
        <f t="shared" si="102"/>
        <v>Feb</v>
      </c>
      <c r="D2219" t="s">
        <v>1898</v>
      </c>
      <c r="E2219" t="s">
        <v>31</v>
      </c>
      <c r="F2219" t="s">
        <v>257</v>
      </c>
      <c r="G2219">
        <v>7</v>
      </c>
      <c r="H2219" s="7">
        <v>25.61</v>
      </c>
      <c r="I2219" t="s">
        <v>64</v>
      </c>
      <c r="J2219" t="s">
        <v>22</v>
      </c>
      <c r="K2219">
        <v>5</v>
      </c>
      <c r="L2219" s="7">
        <f t="shared" si="103"/>
        <v>179.26999999999998</v>
      </c>
      <c r="M2219" s="7"/>
      <c r="O2219">
        <f t="shared" si="104"/>
        <v>2</v>
      </c>
      <c r="Q2219" t="s">
        <v>65</v>
      </c>
    </row>
    <row r="2220" spans="1:17" x14ac:dyDescent="0.3">
      <c r="A2220" t="s">
        <v>3273</v>
      </c>
      <c r="B2220" s="6">
        <v>45217</v>
      </c>
      <c r="C2220" s="6" t="str">
        <f t="shared" si="102"/>
        <v>Oct</v>
      </c>
      <c r="D2220" t="s">
        <v>960</v>
      </c>
      <c r="E2220" t="s">
        <v>19</v>
      </c>
      <c r="F2220" t="s">
        <v>833</v>
      </c>
      <c r="G2220">
        <v>1</v>
      </c>
      <c r="H2220" s="7">
        <v>416.16</v>
      </c>
      <c r="I2220" t="s">
        <v>21</v>
      </c>
      <c r="J2220" t="s">
        <v>22</v>
      </c>
      <c r="K2220">
        <v>15</v>
      </c>
      <c r="L2220" s="7">
        <f t="shared" si="103"/>
        <v>416.16</v>
      </c>
      <c r="M2220" s="7"/>
      <c r="O2220">
        <f t="shared" si="104"/>
        <v>2</v>
      </c>
      <c r="Q2220" t="s">
        <v>23</v>
      </c>
    </row>
    <row r="2221" spans="1:17" x14ac:dyDescent="0.3">
      <c r="A2221" t="s">
        <v>3274</v>
      </c>
      <c r="B2221" s="6">
        <v>45205</v>
      </c>
      <c r="C2221" s="6" t="str">
        <f t="shared" si="102"/>
        <v>Oct</v>
      </c>
      <c r="D2221" t="s">
        <v>172</v>
      </c>
      <c r="E2221" t="s">
        <v>36</v>
      </c>
      <c r="F2221" t="s">
        <v>538</v>
      </c>
      <c r="G2221">
        <v>2</v>
      </c>
      <c r="H2221" s="7">
        <v>287.81</v>
      </c>
      <c r="I2221" t="s">
        <v>32</v>
      </c>
      <c r="J2221" t="s">
        <v>42</v>
      </c>
      <c r="K2221">
        <v>20</v>
      </c>
      <c r="L2221" s="7">
        <f t="shared" si="103"/>
        <v>575.62</v>
      </c>
      <c r="M2221" s="7"/>
      <c r="O2221">
        <f t="shared" si="104"/>
        <v>2</v>
      </c>
      <c r="Q2221" t="s">
        <v>33</v>
      </c>
    </row>
    <row r="2222" spans="1:17" x14ac:dyDescent="0.3">
      <c r="A2222" t="s">
        <v>3275</v>
      </c>
      <c r="B2222" s="6">
        <v>45195</v>
      </c>
      <c r="C2222" s="6" t="str">
        <f t="shared" si="102"/>
        <v>Sep</v>
      </c>
      <c r="D2222" t="s">
        <v>3276</v>
      </c>
      <c r="E2222" t="s">
        <v>36</v>
      </c>
      <c r="F2222" t="s">
        <v>316</v>
      </c>
      <c r="G2222">
        <v>4</v>
      </c>
      <c r="H2222" s="7">
        <v>305.7</v>
      </c>
      <c r="I2222" t="s">
        <v>32</v>
      </c>
      <c r="J2222" t="s">
        <v>72</v>
      </c>
      <c r="K2222">
        <v>5</v>
      </c>
      <c r="L2222" s="7">
        <f t="shared" si="103"/>
        <v>1222.8</v>
      </c>
      <c r="M2222" s="7"/>
      <c r="O2222">
        <f t="shared" si="104"/>
        <v>2</v>
      </c>
      <c r="Q2222" t="s">
        <v>33</v>
      </c>
    </row>
    <row r="2223" spans="1:17" x14ac:dyDescent="0.3">
      <c r="A2223" t="s">
        <v>3277</v>
      </c>
      <c r="B2223" s="6">
        <v>45264</v>
      </c>
      <c r="C2223" s="6" t="str">
        <f t="shared" si="102"/>
        <v>Dec</v>
      </c>
      <c r="D2223" t="s">
        <v>343</v>
      </c>
      <c r="E2223" t="s">
        <v>36</v>
      </c>
      <c r="F2223" t="s">
        <v>642</v>
      </c>
      <c r="G2223">
        <v>1</v>
      </c>
      <c r="H2223" s="7">
        <v>263.95999999999998</v>
      </c>
      <c r="I2223" t="s">
        <v>103</v>
      </c>
      <c r="J2223" t="s">
        <v>87</v>
      </c>
      <c r="K2223">
        <v>20</v>
      </c>
      <c r="L2223" s="7">
        <f t="shared" si="103"/>
        <v>263.95999999999998</v>
      </c>
      <c r="M2223" s="7"/>
      <c r="O2223">
        <f t="shared" si="104"/>
        <v>2</v>
      </c>
      <c r="Q2223" t="s">
        <v>104</v>
      </c>
    </row>
    <row r="2224" spans="1:17" x14ac:dyDescent="0.3">
      <c r="A2224" t="s">
        <v>3278</v>
      </c>
      <c r="B2224" s="6">
        <v>45079</v>
      </c>
      <c r="C2224" s="6" t="str">
        <f t="shared" si="102"/>
        <v>Jun</v>
      </c>
      <c r="D2224" t="s">
        <v>324</v>
      </c>
      <c r="E2224" t="s">
        <v>31</v>
      </c>
      <c r="F2224" t="s">
        <v>20</v>
      </c>
      <c r="G2224">
        <v>9</v>
      </c>
      <c r="H2224" s="7">
        <v>437.87</v>
      </c>
      <c r="I2224" t="s">
        <v>32</v>
      </c>
      <c r="J2224" t="s">
        <v>42</v>
      </c>
      <c r="K2224">
        <v>10</v>
      </c>
      <c r="L2224" s="7">
        <f t="shared" si="103"/>
        <v>3940.83</v>
      </c>
      <c r="M2224" s="7"/>
      <c r="O2224">
        <f t="shared" si="104"/>
        <v>5</v>
      </c>
      <c r="Q2224" t="s">
        <v>33</v>
      </c>
    </row>
    <row r="2225" spans="1:17" x14ac:dyDescent="0.3">
      <c r="A2225" t="s">
        <v>3279</v>
      </c>
      <c r="B2225" s="6">
        <v>45124</v>
      </c>
      <c r="C2225" s="6" t="str">
        <f t="shared" si="102"/>
        <v>Jul</v>
      </c>
      <c r="D2225" t="s">
        <v>555</v>
      </c>
      <c r="E2225" t="s">
        <v>62</v>
      </c>
      <c r="F2225" t="s">
        <v>486</v>
      </c>
      <c r="G2225">
        <v>6</v>
      </c>
      <c r="H2225" s="7">
        <v>26.5</v>
      </c>
      <c r="I2225" t="s">
        <v>103</v>
      </c>
      <c r="J2225" t="s">
        <v>87</v>
      </c>
      <c r="K2225">
        <v>0</v>
      </c>
      <c r="L2225" s="7">
        <f t="shared" si="103"/>
        <v>159</v>
      </c>
      <c r="M2225" s="7"/>
      <c r="O2225">
        <f t="shared" si="104"/>
        <v>2</v>
      </c>
      <c r="Q2225" t="s">
        <v>104</v>
      </c>
    </row>
    <row r="2226" spans="1:17" x14ac:dyDescent="0.3">
      <c r="A2226" t="s">
        <v>3280</v>
      </c>
      <c r="B2226" s="6">
        <v>44963</v>
      </c>
      <c r="C2226" s="6" t="str">
        <f t="shared" si="102"/>
        <v>Feb</v>
      </c>
      <c r="D2226" t="s">
        <v>1558</v>
      </c>
      <c r="E2226" t="s">
        <v>62</v>
      </c>
      <c r="F2226" t="s">
        <v>182</v>
      </c>
      <c r="G2226">
        <v>5</v>
      </c>
      <c r="H2226" s="7">
        <v>134.21</v>
      </c>
      <c r="I2226" t="s">
        <v>64</v>
      </c>
      <c r="J2226" t="s">
        <v>28</v>
      </c>
      <c r="K2226">
        <v>10</v>
      </c>
      <c r="L2226" s="7">
        <f t="shared" si="103"/>
        <v>671.05000000000007</v>
      </c>
      <c r="M2226" s="7"/>
      <c r="O2226">
        <f t="shared" si="104"/>
        <v>2</v>
      </c>
      <c r="Q2226" t="s">
        <v>65</v>
      </c>
    </row>
    <row r="2227" spans="1:17" x14ac:dyDescent="0.3">
      <c r="A2227" t="s">
        <v>3281</v>
      </c>
      <c r="B2227" s="6">
        <v>45099</v>
      </c>
      <c r="C2227" s="6" t="str">
        <f t="shared" si="102"/>
        <v>Jun</v>
      </c>
      <c r="D2227" t="s">
        <v>3282</v>
      </c>
      <c r="E2227" t="s">
        <v>26</v>
      </c>
      <c r="F2227" t="s">
        <v>273</v>
      </c>
      <c r="G2227">
        <v>5</v>
      </c>
      <c r="H2227" s="7">
        <v>438.5</v>
      </c>
      <c r="I2227" t="s">
        <v>64</v>
      </c>
      <c r="J2227" t="s">
        <v>22</v>
      </c>
      <c r="K2227">
        <v>5</v>
      </c>
      <c r="L2227" s="7">
        <f t="shared" si="103"/>
        <v>2192.5</v>
      </c>
      <c r="M2227" s="7"/>
      <c r="O2227">
        <f t="shared" si="104"/>
        <v>2</v>
      </c>
      <c r="Q2227" t="s">
        <v>65</v>
      </c>
    </row>
    <row r="2228" spans="1:17" x14ac:dyDescent="0.3">
      <c r="A2228" t="s">
        <v>3283</v>
      </c>
      <c r="B2228" s="6">
        <v>45114</v>
      </c>
      <c r="C2228" s="6" t="str">
        <f t="shared" si="102"/>
        <v>Jul</v>
      </c>
      <c r="D2228" t="s">
        <v>897</v>
      </c>
      <c r="E2228" t="s">
        <v>31</v>
      </c>
      <c r="F2228" t="s">
        <v>122</v>
      </c>
      <c r="G2228">
        <v>6</v>
      </c>
      <c r="H2228" s="7">
        <v>377.41</v>
      </c>
      <c r="I2228" t="s">
        <v>21</v>
      </c>
      <c r="J2228" t="s">
        <v>72</v>
      </c>
      <c r="K2228">
        <v>10</v>
      </c>
      <c r="L2228" s="7">
        <f t="shared" si="103"/>
        <v>2264.46</v>
      </c>
      <c r="M2228" s="7"/>
      <c r="O2228">
        <f t="shared" si="104"/>
        <v>2</v>
      </c>
      <c r="Q2228" t="s">
        <v>23</v>
      </c>
    </row>
    <row r="2229" spans="1:17" x14ac:dyDescent="0.3">
      <c r="A2229" t="s">
        <v>3284</v>
      </c>
      <c r="B2229" s="6">
        <v>45126</v>
      </c>
      <c r="C2229" s="6" t="str">
        <f t="shared" si="102"/>
        <v>Jul</v>
      </c>
      <c r="D2229" t="s">
        <v>2173</v>
      </c>
      <c r="E2229" t="s">
        <v>36</v>
      </c>
      <c r="F2229" t="s">
        <v>20</v>
      </c>
      <c r="G2229">
        <v>4</v>
      </c>
      <c r="H2229" s="7">
        <v>13.73</v>
      </c>
      <c r="I2229" t="s">
        <v>103</v>
      </c>
      <c r="J2229" t="s">
        <v>28</v>
      </c>
      <c r="K2229">
        <v>0</v>
      </c>
      <c r="L2229" s="7">
        <f t="shared" si="103"/>
        <v>54.92</v>
      </c>
      <c r="M2229" s="7"/>
      <c r="O2229">
        <f t="shared" si="104"/>
        <v>2</v>
      </c>
      <c r="Q2229" t="s">
        <v>104</v>
      </c>
    </row>
    <row r="2230" spans="1:17" x14ac:dyDescent="0.3">
      <c r="A2230" t="s">
        <v>3285</v>
      </c>
      <c r="B2230" s="6">
        <v>44982</v>
      </c>
      <c r="C2230" s="6" t="str">
        <f t="shared" si="102"/>
        <v>Feb</v>
      </c>
      <c r="D2230" t="s">
        <v>850</v>
      </c>
      <c r="E2230" t="s">
        <v>19</v>
      </c>
      <c r="F2230" t="s">
        <v>176</v>
      </c>
      <c r="G2230">
        <v>4</v>
      </c>
      <c r="H2230" s="7">
        <v>252.16</v>
      </c>
      <c r="I2230" t="s">
        <v>64</v>
      </c>
      <c r="J2230" t="s">
        <v>28</v>
      </c>
      <c r="K2230">
        <v>5</v>
      </c>
      <c r="L2230" s="7">
        <f t="shared" si="103"/>
        <v>1008.64</v>
      </c>
      <c r="M2230" s="7"/>
      <c r="O2230">
        <f t="shared" si="104"/>
        <v>2</v>
      </c>
      <c r="Q2230" t="s">
        <v>65</v>
      </c>
    </row>
    <row r="2231" spans="1:17" x14ac:dyDescent="0.3">
      <c r="A2231" t="s">
        <v>3286</v>
      </c>
      <c r="B2231" s="6">
        <v>45035</v>
      </c>
      <c r="C2231" s="6" t="str">
        <f t="shared" si="102"/>
        <v>Apr</v>
      </c>
      <c r="D2231" t="s">
        <v>346</v>
      </c>
      <c r="E2231" t="s">
        <v>36</v>
      </c>
      <c r="F2231" t="s">
        <v>511</v>
      </c>
      <c r="G2231">
        <v>6</v>
      </c>
      <c r="H2231" s="7">
        <v>267.14</v>
      </c>
      <c r="I2231" t="s">
        <v>32</v>
      </c>
      <c r="J2231" t="s">
        <v>22</v>
      </c>
      <c r="K2231">
        <v>10</v>
      </c>
      <c r="L2231" s="7">
        <f t="shared" si="103"/>
        <v>1602.84</v>
      </c>
      <c r="M2231" s="7"/>
      <c r="O2231">
        <f t="shared" si="104"/>
        <v>2</v>
      </c>
      <c r="Q2231" t="s">
        <v>33</v>
      </c>
    </row>
    <row r="2232" spans="1:17" x14ac:dyDescent="0.3">
      <c r="A2232" t="s">
        <v>3287</v>
      </c>
      <c r="B2232" s="6">
        <v>45048</v>
      </c>
      <c r="C2232" s="6" t="str">
        <f t="shared" si="102"/>
        <v>May</v>
      </c>
      <c r="D2232" t="s">
        <v>682</v>
      </c>
      <c r="E2232" t="s">
        <v>40</v>
      </c>
      <c r="F2232" t="s">
        <v>222</v>
      </c>
      <c r="G2232">
        <v>7</v>
      </c>
      <c r="H2232" s="7">
        <v>203.44</v>
      </c>
      <c r="I2232" t="s">
        <v>46</v>
      </c>
      <c r="J2232" t="s">
        <v>42</v>
      </c>
      <c r="K2232">
        <v>10</v>
      </c>
      <c r="L2232" s="7">
        <f t="shared" si="103"/>
        <v>1424.08</v>
      </c>
      <c r="M2232" s="7"/>
      <c r="O2232">
        <f t="shared" si="104"/>
        <v>2</v>
      </c>
      <c r="Q2232" t="s">
        <v>47</v>
      </c>
    </row>
    <row r="2233" spans="1:17" x14ac:dyDescent="0.3">
      <c r="A2233" t="s">
        <v>3288</v>
      </c>
      <c r="B2233" s="6">
        <v>45023</v>
      </c>
      <c r="C2233" s="6" t="str">
        <f t="shared" si="102"/>
        <v>Apr</v>
      </c>
      <c r="D2233" t="s">
        <v>144</v>
      </c>
      <c r="E2233" t="s">
        <v>36</v>
      </c>
      <c r="F2233" t="s">
        <v>369</v>
      </c>
      <c r="G2233">
        <v>9</v>
      </c>
      <c r="H2233" s="7">
        <v>152.21</v>
      </c>
      <c r="I2233" t="s">
        <v>103</v>
      </c>
      <c r="J2233" t="s">
        <v>87</v>
      </c>
      <c r="K2233">
        <v>5</v>
      </c>
      <c r="L2233" s="7">
        <f t="shared" si="103"/>
        <v>1369.89</v>
      </c>
      <c r="M2233" s="7"/>
      <c r="O2233">
        <f t="shared" si="104"/>
        <v>2</v>
      </c>
      <c r="Q2233" t="s">
        <v>104</v>
      </c>
    </row>
    <row r="2234" spans="1:17" x14ac:dyDescent="0.3">
      <c r="A2234" t="s">
        <v>3289</v>
      </c>
      <c r="B2234" s="6">
        <v>45022</v>
      </c>
      <c r="C2234" s="6" t="str">
        <f t="shared" si="102"/>
        <v>Apr</v>
      </c>
      <c r="D2234" t="s">
        <v>1578</v>
      </c>
      <c r="E2234" t="s">
        <v>36</v>
      </c>
      <c r="F2234" t="s">
        <v>246</v>
      </c>
      <c r="G2234">
        <v>5</v>
      </c>
      <c r="H2234" s="7">
        <v>342.45</v>
      </c>
      <c r="I2234" t="s">
        <v>32</v>
      </c>
      <c r="J2234" t="s">
        <v>87</v>
      </c>
      <c r="K2234">
        <v>10</v>
      </c>
      <c r="L2234" s="7">
        <f t="shared" si="103"/>
        <v>1712.25</v>
      </c>
      <c r="M2234" s="7"/>
      <c r="O2234">
        <f t="shared" si="104"/>
        <v>2</v>
      </c>
      <c r="Q2234" t="s">
        <v>33</v>
      </c>
    </row>
    <row r="2235" spans="1:17" x14ac:dyDescent="0.3">
      <c r="A2235" t="s">
        <v>3290</v>
      </c>
      <c r="B2235" s="6">
        <v>45096</v>
      </c>
      <c r="C2235" s="6" t="str">
        <f t="shared" si="102"/>
        <v>Jun</v>
      </c>
      <c r="D2235" t="s">
        <v>1336</v>
      </c>
      <c r="E2235" t="s">
        <v>19</v>
      </c>
      <c r="F2235" t="s">
        <v>41</v>
      </c>
      <c r="G2235">
        <v>9</v>
      </c>
      <c r="H2235" s="7">
        <v>107.86</v>
      </c>
      <c r="I2235" t="s">
        <v>64</v>
      </c>
      <c r="J2235" t="s">
        <v>42</v>
      </c>
      <c r="K2235">
        <v>10</v>
      </c>
      <c r="L2235" s="7">
        <f t="shared" si="103"/>
        <v>970.74</v>
      </c>
      <c r="M2235" s="7"/>
      <c r="O2235">
        <f t="shared" si="104"/>
        <v>2</v>
      </c>
      <c r="Q2235" t="s">
        <v>65</v>
      </c>
    </row>
    <row r="2236" spans="1:17" x14ac:dyDescent="0.3">
      <c r="A2236" t="s">
        <v>3291</v>
      </c>
      <c r="B2236" s="6">
        <v>45065</v>
      </c>
      <c r="C2236" s="6" t="str">
        <f t="shared" si="102"/>
        <v>May</v>
      </c>
      <c r="D2236" t="s">
        <v>735</v>
      </c>
      <c r="E2236" t="s">
        <v>36</v>
      </c>
      <c r="F2236" t="s">
        <v>719</v>
      </c>
      <c r="G2236">
        <v>4</v>
      </c>
      <c r="H2236" s="7">
        <v>400.48</v>
      </c>
      <c r="I2236" t="s">
        <v>19</v>
      </c>
      <c r="J2236" t="s">
        <v>19</v>
      </c>
      <c r="K2236">
        <v>5</v>
      </c>
      <c r="L2236" s="7">
        <f t="shared" si="103"/>
        <v>1601.92</v>
      </c>
      <c r="M2236" s="7"/>
      <c r="O2236">
        <f t="shared" si="104"/>
        <v>2</v>
      </c>
      <c r="Q2236" t="s">
        <v>19</v>
      </c>
    </row>
    <row r="2237" spans="1:17" x14ac:dyDescent="0.3">
      <c r="A2237" t="s">
        <v>3292</v>
      </c>
      <c r="B2237" s="6">
        <v>45055</v>
      </c>
      <c r="C2237" s="6" t="str">
        <f t="shared" si="102"/>
        <v>May</v>
      </c>
      <c r="D2237" t="s">
        <v>1280</v>
      </c>
      <c r="E2237" t="s">
        <v>40</v>
      </c>
      <c r="F2237" t="s">
        <v>188</v>
      </c>
      <c r="G2237">
        <v>2</v>
      </c>
      <c r="H2237" s="7">
        <v>402.5</v>
      </c>
      <c r="I2237" t="s">
        <v>32</v>
      </c>
      <c r="J2237" t="s">
        <v>87</v>
      </c>
      <c r="K2237">
        <v>10</v>
      </c>
      <c r="L2237" s="7">
        <f t="shared" si="103"/>
        <v>805</v>
      </c>
      <c r="M2237" s="7"/>
      <c r="O2237">
        <f t="shared" si="104"/>
        <v>2</v>
      </c>
      <c r="Q2237" t="s">
        <v>33</v>
      </c>
    </row>
    <row r="2238" spans="1:17" x14ac:dyDescent="0.3">
      <c r="A2238" t="s">
        <v>3293</v>
      </c>
      <c r="B2238" s="6">
        <v>45180</v>
      </c>
      <c r="C2238" s="6" t="str">
        <f t="shared" si="102"/>
        <v>Sep</v>
      </c>
      <c r="D2238" t="s">
        <v>1582</v>
      </c>
      <c r="E2238" t="s">
        <v>62</v>
      </c>
      <c r="F2238" t="s">
        <v>63</v>
      </c>
      <c r="G2238">
        <v>3</v>
      </c>
      <c r="H2238" s="7">
        <v>210.55</v>
      </c>
      <c r="I2238" t="s">
        <v>46</v>
      </c>
      <c r="J2238" t="s">
        <v>22</v>
      </c>
      <c r="K2238">
        <v>10</v>
      </c>
      <c r="L2238" s="7">
        <f t="shared" si="103"/>
        <v>631.65000000000009</v>
      </c>
      <c r="M2238" s="7"/>
      <c r="O2238">
        <f t="shared" si="104"/>
        <v>2</v>
      </c>
      <c r="Q2238" t="s">
        <v>47</v>
      </c>
    </row>
    <row r="2239" spans="1:17" x14ac:dyDescent="0.3">
      <c r="A2239" t="s">
        <v>3294</v>
      </c>
      <c r="B2239" s="6">
        <v>45096</v>
      </c>
      <c r="C2239" s="6" t="str">
        <f t="shared" si="102"/>
        <v>Jun</v>
      </c>
      <c r="D2239" t="s">
        <v>3295</v>
      </c>
      <c r="E2239" t="s">
        <v>26</v>
      </c>
      <c r="F2239" t="s">
        <v>75</v>
      </c>
      <c r="G2239">
        <v>1</v>
      </c>
      <c r="H2239" s="7">
        <v>145.36000000000001</v>
      </c>
      <c r="I2239" t="s">
        <v>103</v>
      </c>
      <c r="J2239" t="s">
        <v>87</v>
      </c>
      <c r="K2239">
        <v>15</v>
      </c>
      <c r="L2239" s="7">
        <f t="shared" si="103"/>
        <v>145.36000000000001</v>
      </c>
      <c r="M2239" s="7"/>
      <c r="O2239">
        <f t="shared" si="104"/>
        <v>2</v>
      </c>
      <c r="Q2239" t="s">
        <v>104</v>
      </c>
    </row>
    <row r="2240" spans="1:17" x14ac:dyDescent="0.3">
      <c r="A2240" t="s">
        <v>3296</v>
      </c>
      <c r="B2240" s="6">
        <v>44983</v>
      </c>
      <c r="C2240" s="6" t="str">
        <f t="shared" si="102"/>
        <v>Feb</v>
      </c>
      <c r="D2240" t="s">
        <v>1280</v>
      </c>
      <c r="E2240" t="s">
        <v>31</v>
      </c>
      <c r="F2240" t="s">
        <v>341</v>
      </c>
      <c r="G2240">
        <v>6</v>
      </c>
      <c r="H2240" s="7">
        <v>145.52000000000001</v>
      </c>
      <c r="I2240" t="s">
        <v>19</v>
      </c>
      <c r="J2240" t="s">
        <v>42</v>
      </c>
      <c r="K2240">
        <v>10</v>
      </c>
      <c r="L2240" s="7">
        <f t="shared" si="103"/>
        <v>873.12000000000012</v>
      </c>
      <c r="M2240" s="7"/>
      <c r="O2240">
        <f t="shared" si="104"/>
        <v>2</v>
      </c>
      <c r="Q2240" t="s">
        <v>19</v>
      </c>
    </row>
    <row r="2241" spans="1:17" x14ac:dyDescent="0.3">
      <c r="A2241" t="s">
        <v>3297</v>
      </c>
      <c r="B2241" s="6">
        <v>45290</v>
      </c>
      <c r="C2241" s="6" t="str">
        <f t="shared" si="102"/>
        <v>Dec</v>
      </c>
      <c r="D2241" t="s">
        <v>1368</v>
      </c>
      <c r="E2241" t="s">
        <v>31</v>
      </c>
      <c r="F2241" t="s">
        <v>1568</v>
      </c>
      <c r="G2241">
        <v>6</v>
      </c>
      <c r="H2241" s="7">
        <v>252.16</v>
      </c>
      <c r="I2241" t="s">
        <v>21</v>
      </c>
      <c r="J2241" t="s">
        <v>19</v>
      </c>
      <c r="K2241">
        <v>15</v>
      </c>
      <c r="L2241" s="7">
        <f t="shared" si="103"/>
        <v>1512.96</v>
      </c>
      <c r="M2241" s="7"/>
      <c r="O2241">
        <f t="shared" si="104"/>
        <v>2</v>
      </c>
      <c r="Q2241" t="s">
        <v>23</v>
      </c>
    </row>
    <row r="2242" spans="1:17" x14ac:dyDescent="0.3">
      <c r="A2242" t="s">
        <v>3298</v>
      </c>
      <c r="B2242" s="6">
        <v>45008</v>
      </c>
      <c r="C2242" s="6" t="str">
        <f t="shared" si="102"/>
        <v>Mar</v>
      </c>
      <c r="D2242" t="s">
        <v>471</v>
      </c>
      <c r="E2242" t="s">
        <v>50</v>
      </c>
      <c r="F2242" t="s">
        <v>732</v>
      </c>
      <c r="G2242">
        <v>1</v>
      </c>
      <c r="H2242" s="7">
        <v>361.19</v>
      </c>
      <c r="I2242" t="s">
        <v>64</v>
      </c>
      <c r="J2242" t="s">
        <v>87</v>
      </c>
      <c r="K2242">
        <v>0</v>
      </c>
      <c r="L2242" s="7">
        <f t="shared" si="103"/>
        <v>361.19</v>
      </c>
      <c r="M2242" s="7"/>
      <c r="O2242">
        <f t="shared" si="104"/>
        <v>2</v>
      </c>
      <c r="Q2242" t="s">
        <v>65</v>
      </c>
    </row>
    <row r="2243" spans="1:17" x14ac:dyDescent="0.3">
      <c r="A2243" t="s">
        <v>3299</v>
      </c>
      <c r="B2243" s="6">
        <v>45090</v>
      </c>
      <c r="C2243" s="6" t="str">
        <f t="shared" ref="C2243:C2306" si="105">TEXT(B2243,"MMM")</f>
        <v>Jun</v>
      </c>
      <c r="D2243" t="s">
        <v>280</v>
      </c>
      <c r="E2243" t="s">
        <v>40</v>
      </c>
      <c r="F2243" t="s">
        <v>78</v>
      </c>
      <c r="G2243">
        <v>3</v>
      </c>
      <c r="H2243" s="7">
        <v>182.64</v>
      </c>
      <c r="I2243" t="s">
        <v>46</v>
      </c>
      <c r="J2243" t="s">
        <v>28</v>
      </c>
      <c r="K2243">
        <v>15</v>
      </c>
      <c r="L2243" s="7">
        <f t="shared" ref="L2243:L2306" si="106">G2243*H2243</f>
        <v>547.91999999999996</v>
      </c>
      <c r="M2243" s="7"/>
      <c r="O2243">
        <f t="shared" si="104"/>
        <v>2</v>
      </c>
      <c r="Q2243" t="s">
        <v>47</v>
      </c>
    </row>
    <row r="2244" spans="1:17" x14ac:dyDescent="0.3">
      <c r="A2244" t="s">
        <v>3300</v>
      </c>
      <c r="B2244" s="6">
        <v>45088</v>
      </c>
      <c r="C2244" s="6" t="str">
        <f t="shared" si="105"/>
        <v>Jun</v>
      </c>
      <c r="D2244" t="s">
        <v>1030</v>
      </c>
      <c r="E2244" t="s">
        <v>26</v>
      </c>
      <c r="F2244" t="s">
        <v>234</v>
      </c>
      <c r="G2244">
        <v>5</v>
      </c>
      <c r="H2244" s="7">
        <v>306.97000000000003</v>
      </c>
      <c r="I2244" t="s">
        <v>64</v>
      </c>
      <c r="J2244" t="s">
        <v>42</v>
      </c>
      <c r="K2244">
        <v>15</v>
      </c>
      <c r="L2244" s="7">
        <f t="shared" si="106"/>
        <v>1534.8500000000001</v>
      </c>
      <c r="M2244" s="7"/>
      <c r="O2244">
        <f t="shared" ref="O2244:O2307" si="107">IF(L2244&gt;3500,5,IF(L2244&gt;3000,4,IF(L2244&gt;2500,3,IF(L2244&gt;2000,2,IF(L2244&gt;1000,2,2)))))</f>
        <v>2</v>
      </c>
      <c r="Q2244" t="s">
        <v>65</v>
      </c>
    </row>
    <row r="2245" spans="1:17" x14ac:dyDescent="0.3">
      <c r="A2245" t="s">
        <v>3301</v>
      </c>
      <c r="B2245" s="6">
        <v>44933</v>
      </c>
      <c r="C2245" s="6" t="str">
        <f t="shared" si="105"/>
        <v>Jan</v>
      </c>
      <c r="D2245" t="s">
        <v>795</v>
      </c>
      <c r="E2245" t="s">
        <v>19</v>
      </c>
      <c r="F2245" t="s">
        <v>237</v>
      </c>
      <c r="G2245">
        <v>3</v>
      </c>
      <c r="H2245" s="7">
        <v>194.33</v>
      </c>
      <c r="I2245" t="s">
        <v>103</v>
      </c>
      <c r="J2245" t="s">
        <v>72</v>
      </c>
      <c r="K2245">
        <v>0</v>
      </c>
      <c r="L2245" s="7">
        <f t="shared" si="106"/>
        <v>582.99</v>
      </c>
      <c r="M2245" s="7"/>
      <c r="O2245">
        <f t="shared" si="107"/>
        <v>2</v>
      </c>
      <c r="Q2245" t="s">
        <v>104</v>
      </c>
    </row>
    <row r="2246" spans="1:17" x14ac:dyDescent="0.3">
      <c r="A2246" t="s">
        <v>3302</v>
      </c>
      <c r="B2246" s="6">
        <v>45021</v>
      </c>
      <c r="C2246" s="6" t="str">
        <f t="shared" si="105"/>
        <v>Apr</v>
      </c>
      <c r="D2246" t="s">
        <v>405</v>
      </c>
      <c r="E2246" t="s">
        <v>40</v>
      </c>
      <c r="F2246" t="s">
        <v>556</v>
      </c>
      <c r="G2246">
        <v>3</v>
      </c>
      <c r="H2246" s="7">
        <v>155.74</v>
      </c>
      <c r="I2246" t="s">
        <v>103</v>
      </c>
      <c r="J2246" t="s">
        <v>87</v>
      </c>
      <c r="K2246">
        <v>10</v>
      </c>
      <c r="L2246" s="7">
        <f t="shared" si="106"/>
        <v>467.22</v>
      </c>
      <c r="M2246" s="7"/>
      <c r="O2246">
        <f t="shared" si="107"/>
        <v>2</v>
      </c>
      <c r="Q2246" t="s">
        <v>104</v>
      </c>
    </row>
    <row r="2247" spans="1:17" x14ac:dyDescent="0.3">
      <c r="A2247" t="s">
        <v>3303</v>
      </c>
      <c r="B2247" s="6">
        <v>45263</v>
      </c>
      <c r="C2247" s="6" t="str">
        <f t="shared" si="105"/>
        <v>Dec</v>
      </c>
      <c r="D2247" t="s">
        <v>3304</v>
      </c>
      <c r="E2247" t="s">
        <v>19</v>
      </c>
      <c r="F2247" t="s">
        <v>350</v>
      </c>
      <c r="G2247">
        <v>3</v>
      </c>
      <c r="H2247" s="7">
        <v>17.309999999999999</v>
      </c>
      <c r="I2247" t="s">
        <v>103</v>
      </c>
      <c r="J2247" t="s">
        <v>72</v>
      </c>
      <c r="K2247">
        <v>10</v>
      </c>
      <c r="L2247" s="7">
        <f t="shared" si="106"/>
        <v>51.929999999999993</v>
      </c>
      <c r="M2247" s="7"/>
      <c r="O2247">
        <f t="shared" si="107"/>
        <v>2</v>
      </c>
      <c r="Q2247" t="s">
        <v>104</v>
      </c>
    </row>
    <row r="2248" spans="1:17" x14ac:dyDescent="0.3">
      <c r="A2248" t="s">
        <v>3305</v>
      </c>
      <c r="B2248" s="6">
        <v>44964</v>
      </c>
      <c r="C2248" s="6" t="str">
        <f t="shared" si="105"/>
        <v>Feb</v>
      </c>
      <c r="D2248" t="s">
        <v>2349</v>
      </c>
      <c r="E2248" t="s">
        <v>31</v>
      </c>
      <c r="F2248" t="s">
        <v>1568</v>
      </c>
      <c r="G2248">
        <v>5</v>
      </c>
      <c r="H2248" s="7">
        <v>6.94</v>
      </c>
      <c r="I2248" t="s">
        <v>46</v>
      </c>
      <c r="J2248" t="s">
        <v>22</v>
      </c>
      <c r="K2248">
        <v>15</v>
      </c>
      <c r="L2248" s="7">
        <f t="shared" si="106"/>
        <v>34.700000000000003</v>
      </c>
      <c r="M2248" s="7"/>
      <c r="O2248">
        <f t="shared" si="107"/>
        <v>2</v>
      </c>
      <c r="Q2248" t="s">
        <v>47</v>
      </c>
    </row>
    <row r="2249" spans="1:17" x14ac:dyDescent="0.3">
      <c r="A2249" t="s">
        <v>3306</v>
      </c>
      <c r="B2249" s="6">
        <v>45137</v>
      </c>
      <c r="C2249" s="6" t="str">
        <f t="shared" si="105"/>
        <v>Jul</v>
      </c>
      <c r="D2249" t="s">
        <v>846</v>
      </c>
      <c r="E2249" t="s">
        <v>31</v>
      </c>
      <c r="F2249" t="s">
        <v>409</v>
      </c>
      <c r="G2249">
        <v>5</v>
      </c>
      <c r="H2249" s="7">
        <v>117.47</v>
      </c>
      <c r="I2249" t="s">
        <v>64</v>
      </c>
      <c r="J2249" t="s">
        <v>22</v>
      </c>
      <c r="K2249">
        <v>0</v>
      </c>
      <c r="L2249" s="7">
        <f t="shared" si="106"/>
        <v>587.35</v>
      </c>
      <c r="M2249" s="7"/>
      <c r="O2249">
        <f t="shared" si="107"/>
        <v>2</v>
      </c>
      <c r="Q2249" t="s">
        <v>65</v>
      </c>
    </row>
    <row r="2250" spans="1:17" x14ac:dyDescent="0.3">
      <c r="A2250" t="s">
        <v>3307</v>
      </c>
      <c r="B2250" s="6">
        <v>44944</v>
      </c>
      <c r="C2250" s="6" t="str">
        <f t="shared" si="105"/>
        <v>Jan</v>
      </c>
      <c r="D2250" t="s">
        <v>1740</v>
      </c>
      <c r="E2250" t="s">
        <v>31</v>
      </c>
      <c r="F2250" t="s">
        <v>278</v>
      </c>
      <c r="G2250">
        <v>4</v>
      </c>
      <c r="H2250" s="7">
        <v>206.17</v>
      </c>
      <c r="I2250" t="s">
        <v>32</v>
      </c>
      <c r="J2250" t="s">
        <v>22</v>
      </c>
      <c r="K2250">
        <v>10</v>
      </c>
      <c r="L2250" s="7">
        <f t="shared" si="106"/>
        <v>824.68</v>
      </c>
      <c r="M2250" s="7"/>
      <c r="O2250">
        <f t="shared" si="107"/>
        <v>2</v>
      </c>
      <c r="Q2250" t="s">
        <v>33</v>
      </c>
    </row>
    <row r="2251" spans="1:17" x14ac:dyDescent="0.3">
      <c r="A2251" t="s">
        <v>3308</v>
      </c>
      <c r="B2251" s="6">
        <v>44988</v>
      </c>
      <c r="C2251" s="6" t="str">
        <f t="shared" si="105"/>
        <v>Mar</v>
      </c>
      <c r="D2251" t="s">
        <v>858</v>
      </c>
      <c r="E2251" t="s">
        <v>36</v>
      </c>
      <c r="F2251" t="s">
        <v>1851</v>
      </c>
      <c r="G2251">
        <v>1</v>
      </c>
      <c r="H2251" s="7">
        <v>426.37</v>
      </c>
      <c r="I2251" t="s">
        <v>64</v>
      </c>
      <c r="J2251" t="s">
        <v>22</v>
      </c>
      <c r="K2251">
        <v>20</v>
      </c>
      <c r="L2251" s="7">
        <f t="shared" si="106"/>
        <v>426.37</v>
      </c>
      <c r="M2251" s="7"/>
      <c r="O2251">
        <f t="shared" si="107"/>
        <v>2</v>
      </c>
      <c r="Q2251" t="s">
        <v>65</v>
      </c>
    </row>
    <row r="2252" spans="1:17" x14ac:dyDescent="0.3">
      <c r="A2252" t="s">
        <v>3309</v>
      </c>
      <c r="B2252" s="6">
        <v>45154</v>
      </c>
      <c r="C2252" s="6" t="str">
        <f t="shared" si="105"/>
        <v>Aug</v>
      </c>
      <c r="D2252" t="s">
        <v>1122</v>
      </c>
      <c r="E2252" t="s">
        <v>50</v>
      </c>
      <c r="F2252" t="s">
        <v>84</v>
      </c>
      <c r="G2252">
        <v>5</v>
      </c>
      <c r="H2252" s="7">
        <v>400.25</v>
      </c>
      <c r="I2252" t="s">
        <v>46</v>
      </c>
      <c r="J2252" t="s">
        <v>72</v>
      </c>
      <c r="K2252">
        <v>5</v>
      </c>
      <c r="L2252" s="7">
        <f t="shared" si="106"/>
        <v>2001.25</v>
      </c>
      <c r="M2252" s="7"/>
      <c r="O2252">
        <f t="shared" si="107"/>
        <v>2</v>
      </c>
      <c r="Q2252" t="s">
        <v>47</v>
      </c>
    </row>
    <row r="2253" spans="1:17" x14ac:dyDescent="0.3">
      <c r="A2253" t="s">
        <v>3310</v>
      </c>
      <c r="B2253" s="6">
        <v>45119</v>
      </c>
      <c r="C2253" s="6" t="str">
        <f t="shared" si="105"/>
        <v>Jul</v>
      </c>
      <c r="D2253" t="s">
        <v>695</v>
      </c>
      <c r="E2253" t="s">
        <v>62</v>
      </c>
      <c r="F2253" t="s">
        <v>417</v>
      </c>
      <c r="G2253">
        <v>5</v>
      </c>
      <c r="H2253" s="7">
        <v>137.25</v>
      </c>
      <c r="I2253" t="s">
        <v>21</v>
      </c>
      <c r="J2253" t="s">
        <v>22</v>
      </c>
      <c r="K2253">
        <v>5</v>
      </c>
      <c r="L2253" s="7">
        <f t="shared" si="106"/>
        <v>686.25</v>
      </c>
      <c r="M2253" s="7"/>
      <c r="O2253">
        <f t="shared" si="107"/>
        <v>2</v>
      </c>
      <c r="Q2253" t="s">
        <v>23</v>
      </c>
    </row>
    <row r="2254" spans="1:17" x14ac:dyDescent="0.3">
      <c r="A2254" t="s">
        <v>3311</v>
      </c>
      <c r="B2254" s="6">
        <v>45211</v>
      </c>
      <c r="C2254" s="6" t="str">
        <f t="shared" si="105"/>
        <v>Oct</v>
      </c>
      <c r="D2254" t="s">
        <v>106</v>
      </c>
      <c r="E2254" t="s">
        <v>19</v>
      </c>
      <c r="F2254" t="s">
        <v>383</v>
      </c>
      <c r="G2254">
        <v>4</v>
      </c>
      <c r="H2254" s="7">
        <v>126.05</v>
      </c>
      <c r="I2254" t="s">
        <v>19</v>
      </c>
      <c r="J2254" t="s">
        <v>28</v>
      </c>
      <c r="K2254">
        <v>10</v>
      </c>
      <c r="L2254" s="7">
        <f t="shared" si="106"/>
        <v>504.2</v>
      </c>
      <c r="M2254" s="7"/>
      <c r="O2254">
        <f t="shared" si="107"/>
        <v>2</v>
      </c>
      <c r="Q2254" t="s">
        <v>19</v>
      </c>
    </row>
    <row r="2255" spans="1:17" x14ac:dyDescent="0.3">
      <c r="A2255" t="s">
        <v>3312</v>
      </c>
      <c r="B2255" s="6">
        <v>44956</v>
      </c>
      <c r="C2255" s="6" t="str">
        <f t="shared" si="105"/>
        <v>Jan</v>
      </c>
      <c r="D2255" t="s">
        <v>2222</v>
      </c>
      <c r="E2255" t="s">
        <v>36</v>
      </c>
      <c r="F2255" t="s">
        <v>179</v>
      </c>
      <c r="G2255">
        <v>6</v>
      </c>
      <c r="H2255" s="7">
        <v>117.52</v>
      </c>
      <c r="I2255" t="s">
        <v>21</v>
      </c>
      <c r="J2255" t="s">
        <v>22</v>
      </c>
      <c r="K2255">
        <v>5</v>
      </c>
      <c r="L2255" s="7">
        <f t="shared" si="106"/>
        <v>705.12</v>
      </c>
      <c r="M2255" s="7"/>
      <c r="O2255">
        <f t="shared" si="107"/>
        <v>2</v>
      </c>
      <c r="Q2255" t="s">
        <v>23</v>
      </c>
    </row>
    <row r="2256" spans="1:17" x14ac:dyDescent="0.3">
      <c r="A2256" t="s">
        <v>3313</v>
      </c>
      <c r="B2256" s="6">
        <v>45134</v>
      </c>
      <c r="C2256" s="6" t="str">
        <f t="shared" si="105"/>
        <v>Jul</v>
      </c>
      <c r="D2256" t="s">
        <v>1748</v>
      </c>
      <c r="E2256" t="s">
        <v>40</v>
      </c>
      <c r="F2256" t="s">
        <v>662</v>
      </c>
      <c r="G2256">
        <v>4</v>
      </c>
      <c r="H2256" s="7">
        <v>172.92</v>
      </c>
      <c r="I2256" t="s">
        <v>19</v>
      </c>
      <c r="J2256" t="s">
        <v>87</v>
      </c>
      <c r="K2256">
        <v>15</v>
      </c>
      <c r="L2256" s="7">
        <f t="shared" si="106"/>
        <v>691.68</v>
      </c>
      <c r="M2256" s="7"/>
      <c r="O2256">
        <f t="shared" si="107"/>
        <v>2</v>
      </c>
      <c r="Q2256" t="s">
        <v>19</v>
      </c>
    </row>
    <row r="2257" spans="1:17" x14ac:dyDescent="0.3">
      <c r="A2257" t="s">
        <v>3314</v>
      </c>
      <c r="B2257" s="6">
        <v>45011</v>
      </c>
      <c r="C2257" s="6" t="str">
        <f t="shared" si="105"/>
        <v>Mar</v>
      </c>
      <c r="D2257" t="s">
        <v>919</v>
      </c>
      <c r="E2257" t="s">
        <v>36</v>
      </c>
      <c r="F2257" t="s">
        <v>20</v>
      </c>
      <c r="G2257">
        <v>7</v>
      </c>
      <c r="H2257" s="7">
        <v>251.61</v>
      </c>
      <c r="I2257" t="s">
        <v>64</v>
      </c>
      <c r="J2257" t="s">
        <v>87</v>
      </c>
      <c r="K2257">
        <v>5</v>
      </c>
      <c r="L2257" s="7">
        <f t="shared" si="106"/>
        <v>1761.27</v>
      </c>
      <c r="M2257" s="7"/>
      <c r="O2257">
        <f t="shared" si="107"/>
        <v>2</v>
      </c>
      <c r="Q2257" t="s">
        <v>65</v>
      </c>
    </row>
    <row r="2258" spans="1:17" x14ac:dyDescent="0.3">
      <c r="A2258" t="s">
        <v>3315</v>
      </c>
      <c r="B2258" s="6">
        <v>45067</v>
      </c>
      <c r="C2258" s="6" t="str">
        <f t="shared" si="105"/>
        <v>May</v>
      </c>
      <c r="D2258" t="s">
        <v>321</v>
      </c>
      <c r="E2258" t="s">
        <v>36</v>
      </c>
      <c r="F2258" t="s">
        <v>298</v>
      </c>
      <c r="G2258">
        <v>7</v>
      </c>
      <c r="H2258" s="7">
        <v>222.14</v>
      </c>
      <c r="I2258" t="s">
        <v>103</v>
      </c>
      <c r="J2258" t="s">
        <v>22</v>
      </c>
      <c r="K2258">
        <v>5</v>
      </c>
      <c r="L2258" s="7">
        <f t="shared" si="106"/>
        <v>1554.98</v>
      </c>
      <c r="M2258" s="7"/>
      <c r="O2258">
        <f t="shared" si="107"/>
        <v>2</v>
      </c>
      <c r="Q2258" t="s">
        <v>104</v>
      </c>
    </row>
    <row r="2259" spans="1:17" x14ac:dyDescent="0.3">
      <c r="A2259" t="s">
        <v>3316</v>
      </c>
      <c r="B2259" s="6">
        <v>45038</v>
      </c>
      <c r="C2259" s="6" t="str">
        <f t="shared" si="105"/>
        <v>Apr</v>
      </c>
      <c r="D2259" t="s">
        <v>3317</v>
      </c>
      <c r="E2259" t="s">
        <v>19</v>
      </c>
      <c r="F2259" t="s">
        <v>2185</v>
      </c>
      <c r="G2259">
        <v>2</v>
      </c>
      <c r="H2259" s="7">
        <v>113.05</v>
      </c>
      <c r="I2259" t="s">
        <v>103</v>
      </c>
      <c r="J2259" t="s">
        <v>22</v>
      </c>
      <c r="K2259">
        <v>20</v>
      </c>
      <c r="L2259" s="7">
        <f t="shared" si="106"/>
        <v>226.1</v>
      </c>
      <c r="M2259" s="7"/>
      <c r="O2259">
        <f t="shared" si="107"/>
        <v>2</v>
      </c>
      <c r="Q2259" t="s">
        <v>104</v>
      </c>
    </row>
    <row r="2260" spans="1:17" x14ac:dyDescent="0.3">
      <c r="A2260" t="s">
        <v>3318</v>
      </c>
      <c r="B2260" s="6">
        <v>45203</v>
      </c>
      <c r="C2260" s="6" t="str">
        <f t="shared" si="105"/>
        <v>Oct</v>
      </c>
      <c r="D2260" t="s">
        <v>2388</v>
      </c>
      <c r="E2260" t="s">
        <v>36</v>
      </c>
      <c r="F2260" t="s">
        <v>298</v>
      </c>
      <c r="G2260">
        <v>3</v>
      </c>
      <c r="H2260" s="7">
        <v>69.569999999999993</v>
      </c>
      <c r="I2260" t="s">
        <v>32</v>
      </c>
      <c r="J2260" t="s">
        <v>87</v>
      </c>
      <c r="K2260">
        <v>10</v>
      </c>
      <c r="L2260" s="7">
        <f t="shared" si="106"/>
        <v>208.70999999999998</v>
      </c>
      <c r="M2260" s="7"/>
      <c r="O2260">
        <f t="shared" si="107"/>
        <v>2</v>
      </c>
      <c r="Q2260" t="s">
        <v>33</v>
      </c>
    </row>
    <row r="2261" spans="1:17" x14ac:dyDescent="0.3">
      <c r="A2261" t="s">
        <v>3319</v>
      </c>
      <c r="B2261" s="6">
        <v>45156</v>
      </c>
      <c r="C2261" s="6" t="str">
        <f t="shared" si="105"/>
        <v>Aug</v>
      </c>
      <c r="D2261" t="s">
        <v>1511</v>
      </c>
      <c r="E2261" t="s">
        <v>50</v>
      </c>
      <c r="F2261" t="s">
        <v>415</v>
      </c>
      <c r="G2261">
        <v>1</v>
      </c>
      <c r="H2261" s="7">
        <v>11.23</v>
      </c>
      <c r="I2261" t="s">
        <v>19</v>
      </c>
      <c r="J2261" t="s">
        <v>28</v>
      </c>
      <c r="K2261">
        <v>20</v>
      </c>
      <c r="L2261" s="7">
        <f t="shared" si="106"/>
        <v>11.23</v>
      </c>
      <c r="M2261" s="7"/>
      <c r="O2261">
        <f t="shared" si="107"/>
        <v>2</v>
      </c>
      <c r="Q2261" t="s">
        <v>19</v>
      </c>
    </row>
    <row r="2262" spans="1:17" x14ac:dyDescent="0.3">
      <c r="A2262" t="s">
        <v>3320</v>
      </c>
      <c r="B2262" s="6">
        <v>45248</v>
      </c>
      <c r="C2262" s="6" t="str">
        <f t="shared" si="105"/>
        <v>Nov</v>
      </c>
      <c r="D2262" t="s">
        <v>1647</v>
      </c>
      <c r="E2262" t="s">
        <v>31</v>
      </c>
      <c r="F2262" t="s">
        <v>504</v>
      </c>
      <c r="G2262">
        <v>8</v>
      </c>
      <c r="H2262" s="7">
        <v>81.209999999999994</v>
      </c>
      <c r="I2262" t="s">
        <v>103</v>
      </c>
      <c r="J2262" t="s">
        <v>22</v>
      </c>
      <c r="K2262">
        <v>15</v>
      </c>
      <c r="L2262" s="7">
        <f t="shared" si="106"/>
        <v>649.67999999999995</v>
      </c>
      <c r="M2262" s="7"/>
      <c r="O2262">
        <f t="shared" si="107"/>
        <v>2</v>
      </c>
      <c r="Q2262" t="s">
        <v>104</v>
      </c>
    </row>
    <row r="2263" spans="1:17" x14ac:dyDescent="0.3">
      <c r="A2263" t="s">
        <v>3321</v>
      </c>
      <c r="B2263" s="6">
        <v>45274</v>
      </c>
      <c r="C2263" s="6" t="str">
        <f t="shared" si="105"/>
        <v>Dec</v>
      </c>
      <c r="D2263" t="s">
        <v>1433</v>
      </c>
      <c r="E2263" t="s">
        <v>19</v>
      </c>
      <c r="F2263" t="s">
        <v>423</v>
      </c>
      <c r="G2263">
        <v>9</v>
      </c>
      <c r="H2263" s="7">
        <v>354.15</v>
      </c>
      <c r="I2263" t="s">
        <v>64</v>
      </c>
      <c r="J2263" t="s">
        <v>28</v>
      </c>
      <c r="K2263">
        <v>5</v>
      </c>
      <c r="L2263" s="7">
        <f t="shared" si="106"/>
        <v>3187.35</v>
      </c>
      <c r="M2263" s="7"/>
      <c r="O2263">
        <f t="shared" si="107"/>
        <v>4</v>
      </c>
      <c r="Q2263" t="s">
        <v>65</v>
      </c>
    </row>
    <row r="2264" spans="1:17" x14ac:dyDescent="0.3">
      <c r="A2264" t="s">
        <v>3322</v>
      </c>
      <c r="B2264" s="6">
        <v>45232</v>
      </c>
      <c r="C2264" s="6" t="str">
        <f t="shared" si="105"/>
        <v>Nov</v>
      </c>
      <c r="D2264" t="s">
        <v>127</v>
      </c>
      <c r="E2264" t="s">
        <v>50</v>
      </c>
      <c r="F2264" t="s">
        <v>436</v>
      </c>
      <c r="G2264">
        <v>5</v>
      </c>
      <c r="H2264" s="7">
        <v>125.6</v>
      </c>
      <c r="I2264" t="s">
        <v>19</v>
      </c>
      <c r="J2264" t="s">
        <v>42</v>
      </c>
      <c r="K2264">
        <v>10</v>
      </c>
      <c r="L2264" s="7">
        <f t="shared" si="106"/>
        <v>628</v>
      </c>
      <c r="M2264" s="7"/>
      <c r="O2264">
        <f t="shared" si="107"/>
        <v>2</v>
      </c>
      <c r="Q2264" t="s">
        <v>19</v>
      </c>
    </row>
    <row r="2265" spans="1:17" x14ac:dyDescent="0.3">
      <c r="A2265" t="s">
        <v>3323</v>
      </c>
      <c r="B2265" s="6">
        <v>44943</v>
      </c>
      <c r="C2265" s="6" t="str">
        <f t="shared" si="105"/>
        <v>Jan</v>
      </c>
      <c r="D2265" t="s">
        <v>382</v>
      </c>
      <c r="E2265" t="s">
        <v>62</v>
      </c>
      <c r="F2265" t="s">
        <v>450</v>
      </c>
      <c r="G2265">
        <v>6</v>
      </c>
      <c r="H2265" s="7">
        <v>236.96</v>
      </c>
      <c r="I2265" t="s">
        <v>19</v>
      </c>
      <c r="J2265" t="s">
        <v>22</v>
      </c>
      <c r="K2265">
        <v>10</v>
      </c>
      <c r="L2265" s="7">
        <f t="shared" si="106"/>
        <v>1421.76</v>
      </c>
      <c r="M2265" s="7"/>
      <c r="O2265">
        <f t="shared" si="107"/>
        <v>2</v>
      </c>
      <c r="Q2265" t="s">
        <v>19</v>
      </c>
    </row>
    <row r="2266" spans="1:17" x14ac:dyDescent="0.3">
      <c r="A2266" t="s">
        <v>3324</v>
      </c>
      <c r="B2266" s="6">
        <v>45281</v>
      </c>
      <c r="C2266" s="6" t="str">
        <f t="shared" si="105"/>
        <v>Dec</v>
      </c>
      <c r="D2266" t="s">
        <v>3325</v>
      </c>
      <c r="E2266" t="s">
        <v>36</v>
      </c>
      <c r="F2266" t="s">
        <v>165</v>
      </c>
      <c r="G2266">
        <v>9</v>
      </c>
      <c r="H2266" s="7">
        <v>297.69</v>
      </c>
      <c r="I2266" t="s">
        <v>21</v>
      </c>
      <c r="J2266" t="s">
        <v>42</v>
      </c>
      <c r="K2266">
        <v>10</v>
      </c>
      <c r="L2266" s="7">
        <f t="shared" si="106"/>
        <v>2679.21</v>
      </c>
      <c r="M2266" s="7"/>
      <c r="O2266">
        <f t="shared" si="107"/>
        <v>3</v>
      </c>
      <c r="Q2266" t="s">
        <v>23</v>
      </c>
    </row>
    <row r="2267" spans="1:17" x14ac:dyDescent="0.3">
      <c r="A2267" t="s">
        <v>3326</v>
      </c>
      <c r="B2267" s="6">
        <v>45071</v>
      </c>
      <c r="C2267" s="6" t="str">
        <f t="shared" si="105"/>
        <v>May</v>
      </c>
      <c r="D2267" t="s">
        <v>541</v>
      </c>
      <c r="E2267" t="s">
        <v>31</v>
      </c>
      <c r="F2267" t="s">
        <v>190</v>
      </c>
      <c r="G2267">
        <v>6</v>
      </c>
      <c r="H2267" s="7">
        <v>443.99</v>
      </c>
      <c r="I2267" t="s">
        <v>103</v>
      </c>
      <c r="J2267" t="s">
        <v>28</v>
      </c>
      <c r="K2267">
        <v>5</v>
      </c>
      <c r="L2267" s="7">
        <f t="shared" si="106"/>
        <v>2663.94</v>
      </c>
      <c r="M2267" s="7"/>
      <c r="O2267">
        <f t="shared" si="107"/>
        <v>3</v>
      </c>
      <c r="Q2267" t="s">
        <v>104</v>
      </c>
    </row>
    <row r="2268" spans="1:17" x14ac:dyDescent="0.3">
      <c r="A2268" t="s">
        <v>3327</v>
      </c>
      <c r="B2268" s="6">
        <v>45160</v>
      </c>
      <c r="C2268" s="6" t="str">
        <f t="shared" si="105"/>
        <v>Aug</v>
      </c>
      <c r="D2268" t="s">
        <v>1864</v>
      </c>
      <c r="E2268" t="s">
        <v>50</v>
      </c>
      <c r="F2268" t="s">
        <v>1085</v>
      </c>
      <c r="G2268">
        <v>9</v>
      </c>
      <c r="H2268" s="7">
        <v>444.98</v>
      </c>
      <c r="I2268" t="s">
        <v>103</v>
      </c>
      <c r="J2268" t="s">
        <v>72</v>
      </c>
      <c r="K2268">
        <v>5</v>
      </c>
      <c r="L2268" s="7">
        <f t="shared" si="106"/>
        <v>4004.82</v>
      </c>
      <c r="M2268" s="7"/>
      <c r="O2268">
        <f t="shared" si="107"/>
        <v>5</v>
      </c>
      <c r="Q2268" t="s">
        <v>104</v>
      </c>
    </row>
    <row r="2269" spans="1:17" x14ac:dyDescent="0.3">
      <c r="A2269" t="s">
        <v>3328</v>
      </c>
      <c r="B2269" s="6">
        <v>45209</v>
      </c>
      <c r="C2269" s="6" t="str">
        <f t="shared" si="105"/>
        <v>Oct</v>
      </c>
      <c r="D2269" t="s">
        <v>2545</v>
      </c>
      <c r="E2269" t="s">
        <v>19</v>
      </c>
      <c r="F2269" t="s">
        <v>237</v>
      </c>
      <c r="G2269">
        <v>4</v>
      </c>
      <c r="H2269" s="7">
        <v>374.14</v>
      </c>
      <c r="I2269" t="s">
        <v>46</v>
      </c>
      <c r="J2269" t="s">
        <v>87</v>
      </c>
      <c r="K2269">
        <v>10</v>
      </c>
      <c r="L2269" s="7">
        <f t="shared" si="106"/>
        <v>1496.56</v>
      </c>
      <c r="M2269" s="7"/>
      <c r="O2269">
        <f t="shared" si="107"/>
        <v>2</v>
      </c>
      <c r="Q2269" t="s">
        <v>47</v>
      </c>
    </row>
    <row r="2270" spans="1:17" x14ac:dyDescent="0.3">
      <c r="A2270" t="s">
        <v>3329</v>
      </c>
      <c r="B2270" s="6">
        <v>45131</v>
      </c>
      <c r="C2270" s="6" t="str">
        <f t="shared" si="105"/>
        <v>Jul</v>
      </c>
      <c r="D2270" t="s">
        <v>600</v>
      </c>
      <c r="E2270" t="s">
        <v>50</v>
      </c>
      <c r="F2270" t="s">
        <v>239</v>
      </c>
      <c r="G2270">
        <v>8</v>
      </c>
      <c r="H2270" s="7">
        <v>22.4</v>
      </c>
      <c r="I2270" t="s">
        <v>19</v>
      </c>
      <c r="J2270" t="s">
        <v>72</v>
      </c>
      <c r="K2270">
        <v>10</v>
      </c>
      <c r="L2270" s="7">
        <f t="shared" si="106"/>
        <v>179.2</v>
      </c>
      <c r="M2270" s="7"/>
      <c r="O2270">
        <f t="shared" si="107"/>
        <v>2</v>
      </c>
      <c r="Q2270" t="s">
        <v>19</v>
      </c>
    </row>
    <row r="2271" spans="1:17" x14ac:dyDescent="0.3">
      <c r="A2271" t="s">
        <v>3330</v>
      </c>
      <c r="B2271" s="6">
        <v>45057</v>
      </c>
      <c r="C2271" s="6" t="str">
        <f t="shared" si="105"/>
        <v>May</v>
      </c>
      <c r="D2271" t="s">
        <v>889</v>
      </c>
      <c r="E2271" t="s">
        <v>50</v>
      </c>
      <c r="F2271" t="s">
        <v>344</v>
      </c>
      <c r="G2271">
        <v>9</v>
      </c>
      <c r="H2271" s="7">
        <v>289.66000000000003</v>
      </c>
      <c r="I2271" t="s">
        <v>21</v>
      </c>
      <c r="J2271" t="s">
        <v>22</v>
      </c>
      <c r="K2271">
        <v>15</v>
      </c>
      <c r="L2271" s="7">
        <f t="shared" si="106"/>
        <v>2606.94</v>
      </c>
      <c r="M2271" s="7"/>
      <c r="O2271">
        <f t="shared" si="107"/>
        <v>3</v>
      </c>
      <c r="Q2271" t="s">
        <v>23</v>
      </c>
    </row>
    <row r="2272" spans="1:17" x14ac:dyDescent="0.3">
      <c r="A2272" t="s">
        <v>3331</v>
      </c>
      <c r="B2272" s="6">
        <v>45237</v>
      </c>
      <c r="C2272" s="6" t="str">
        <f t="shared" si="105"/>
        <v>Nov</v>
      </c>
      <c r="D2272" t="s">
        <v>2108</v>
      </c>
      <c r="E2272" t="s">
        <v>40</v>
      </c>
      <c r="F2272" t="s">
        <v>198</v>
      </c>
      <c r="G2272">
        <v>4</v>
      </c>
      <c r="H2272" s="7">
        <v>394.36</v>
      </c>
      <c r="I2272" t="s">
        <v>21</v>
      </c>
      <c r="J2272" t="s">
        <v>28</v>
      </c>
      <c r="K2272">
        <v>5</v>
      </c>
      <c r="L2272" s="7">
        <f t="shared" si="106"/>
        <v>1577.44</v>
      </c>
      <c r="M2272" s="7"/>
      <c r="O2272">
        <f t="shared" si="107"/>
        <v>2</v>
      </c>
      <c r="Q2272" t="s">
        <v>23</v>
      </c>
    </row>
    <row r="2273" spans="1:17" x14ac:dyDescent="0.3">
      <c r="A2273" t="s">
        <v>3332</v>
      </c>
      <c r="B2273" s="6">
        <v>45218</v>
      </c>
      <c r="C2273" s="6" t="str">
        <f t="shared" si="105"/>
        <v>Oct</v>
      </c>
      <c r="D2273" t="s">
        <v>2684</v>
      </c>
      <c r="E2273" t="s">
        <v>40</v>
      </c>
      <c r="F2273" t="s">
        <v>732</v>
      </c>
      <c r="G2273">
        <v>5</v>
      </c>
      <c r="H2273" s="7">
        <v>13.56</v>
      </c>
      <c r="I2273" t="s">
        <v>103</v>
      </c>
      <c r="J2273" t="s">
        <v>72</v>
      </c>
      <c r="K2273">
        <v>10</v>
      </c>
      <c r="L2273" s="7">
        <f t="shared" si="106"/>
        <v>67.8</v>
      </c>
      <c r="M2273" s="7"/>
      <c r="O2273">
        <f t="shared" si="107"/>
        <v>2</v>
      </c>
      <c r="Q2273" t="s">
        <v>104</v>
      </c>
    </row>
    <row r="2274" spans="1:17" x14ac:dyDescent="0.3">
      <c r="A2274" t="s">
        <v>3333</v>
      </c>
      <c r="B2274" s="6">
        <v>44937</v>
      </c>
      <c r="C2274" s="6" t="str">
        <f t="shared" si="105"/>
        <v>Jan</v>
      </c>
      <c r="D2274" t="s">
        <v>899</v>
      </c>
      <c r="E2274" t="s">
        <v>31</v>
      </c>
      <c r="F2274" t="s">
        <v>1618</v>
      </c>
      <c r="G2274">
        <v>8</v>
      </c>
      <c r="H2274" s="7">
        <v>277.08999999999997</v>
      </c>
      <c r="I2274" t="s">
        <v>64</v>
      </c>
      <c r="J2274" t="s">
        <v>87</v>
      </c>
      <c r="K2274">
        <v>0</v>
      </c>
      <c r="L2274" s="7">
        <f t="shared" si="106"/>
        <v>2216.7199999999998</v>
      </c>
      <c r="M2274" s="7"/>
      <c r="O2274">
        <f t="shared" si="107"/>
        <v>2</v>
      </c>
      <c r="Q2274" t="s">
        <v>65</v>
      </c>
    </row>
    <row r="2275" spans="1:17" x14ac:dyDescent="0.3">
      <c r="A2275" t="s">
        <v>3334</v>
      </c>
      <c r="B2275" s="6">
        <v>45262</v>
      </c>
      <c r="C2275" s="6" t="str">
        <f t="shared" si="105"/>
        <v>Dec</v>
      </c>
      <c r="D2275" t="s">
        <v>1856</v>
      </c>
      <c r="E2275" t="s">
        <v>50</v>
      </c>
      <c r="F2275" t="s">
        <v>523</v>
      </c>
      <c r="G2275">
        <v>6</v>
      </c>
      <c r="H2275" s="7">
        <v>429.59</v>
      </c>
      <c r="I2275" t="s">
        <v>64</v>
      </c>
      <c r="J2275" t="s">
        <v>72</v>
      </c>
      <c r="K2275">
        <v>10</v>
      </c>
      <c r="L2275" s="7">
        <f t="shared" si="106"/>
        <v>2577.54</v>
      </c>
      <c r="M2275" s="7"/>
      <c r="O2275">
        <f t="shared" si="107"/>
        <v>3</v>
      </c>
      <c r="Q2275" t="s">
        <v>65</v>
      </c>
    </row>
    <row r="2276" spans="1:17" x14ac:dyDescent="0.3">
      <c r="A2276" t="s">
        <v>3335</v>
      </c>
      <c r="B2276" s="6">
        <v>45217</v>
      </c>
      <c r="C2276" s="6" t="str">
        <f t="shared" si="105"/>
        <v>Oct</v>
      </c>
      <c r="D2276" t="s">
        <v>3177</v>
      </c>
      <c r="E2276" t="s">
        <v>62</v>
      </c>
      <c r="F2276" t="s">
        <v>246</v>
      </c>
      <c r="G2276">
        <v>7</v>
      </c>
      <c r="H2276" s="7">
        <v>239.68</v>
      </c>
      <c r="I2276" t="s">
        <v>32</v>
      </c>
      <c r="J2276" t="s">
        <v>22</v>
      </c>
      <c r="K2276">
        <v>10</v>
      </c>
      <c r="L2276" s="7">
        <f t="shared" si="106"/>
        <v>1677.76</v>
      </c>
      <c r="M2276" s="7"/>
      <c r="O2276">
        <f t="shared" si="107"/>
        <v>2</v>
      </c>
      <c r="Q2276" t="s">
        <v>33</v>
      </c>
    </row>
    <row r="2277" spans="1:17" x14ac:dyDescent="0.3">
      <c r="A2277" t="s">
        <v>3336</v>
      </c>
      <c r="B2277" s="6">
        <v>45095</v>
      </c>
      <c r="C2277" s="6" t="str">
        <f t="shared" si="105"/>
        <v>Jun</v>
      </c>
      <c r="D2277" t="s">
        <v>3282</v>
      </c>
      <c r="E2277" t="s">
        <v>40</v>
      </c>
      <c r="F2277" t="s">
        <v>328</v>
      </c>
      <c r="G2277">
        <v>3</v>
      </c>
      <c r="H2277" s="7">
        <v>7.03</v>
      </c>
      <c r="I2277" t="s">
        <v>19</v>
      </c>
      <c r="J2277" t="s">
        <v>19</v>
      </c>
      <c r="K2277">
        <v>10</v>
      </c>
      <c r="L2277" s="7">
        <f t="shared" si="106"/>
        <v>21.09</v>
      </c>
      <c r="M2277" s="7"/>
      <c r="O2277">
        <f t="shared" si="107"/>
        <v>2</v>
      </c>
      <c r="Q2277" t="s">
        <v>19</v>
      </c>
    </row>
    <row r="2278" spans="1:17" x14ac:dyDescent="0.3">
      <c r="A2278" t="s">
        <v>3337</v>
      </c>
      <c r="B2278" s="6">
        <v>45258</v>
      </c>
      <c r="C2278" s="6" t="str">
        <f t="shared" si="105"/>
        <v>Nov</v>
      </c>
      <c r="D2278" t="s">
        <v>118</v>
      </c>
      <c r="E2278" t="s">
        <v>36</v>
      </c>
      <c r="F2278" t="s">
        <v>749</v>
      </c>
      <c r="G2278">
        <v>7</v>
      </c>
      <c r="H2278" s="7">
        <v>10.45</v>
      </c>
      <c r="I2278" t="s">
        <v>21</v>
      </c>
      <c r="J2278" t="s">
        <v>87</v>
      </c>
      <c r="K2278">
        <v>0</v>
      </c>
      <c r="L2278" s="7">
        <f t="shared" si="106"/>
        <v>73.149999999999991</v>
      </c>
      <c r="M2278" s="7"/>
      <c r="O2278">
        <f t="shared" si="107"/>
        <v>2</v>
      </c>
      <c r="Q2278" t="s">
        <v>23</v>
      </c>
    </row>
    <row r="2279" spans="1:17" x14ac:dyDescent="0.3">
      <c r="A2279" t="s">
        <v>3338</v>
      </c>
      <c r="B2279" s="6">
        <v>44950</v>
      </c>
      <c r="C2279" s="6" t="str">
        <f t="shared" si="105"/>
        <v>Jan</v>
      </c>
      <c r="D2279" t="s">
        <v>1362</v>
      </c>
      <c r="E2279" t="s">
        <v>36</v>
      </c>
      <c r="F2279" t="s">
        <v>71</v>
      </c>
      <c r="G2279">
        <v>8</v>
      </c>
      <c r="H2279" s="7">
        <v>211.23</v>
      </c>
      <c r="I2279" t="s">
        <v>19</v>
      </c>
      <c r="J2279" t="s">
        <v>87</v>
      </c>
      <c r="K2279">
        <v>15</v>
      </c>
      <c r="L2279" s="7">
        <f t="shared" si="106"/>
        <v>1689.84</v>
      </c>
      <c r="M2279" s="7"/>
      <c r="O2279">
        <f t="shared" si="107"/>
        <v>2</v>
      </c>
      <c r="Q2279" t="s">
        <v>19</v>
      </c>
    </row>
    <row r="2280" spans="1:17" x14ac:dyDescent="0.3">
      <c r="A2280" t="s">
        <v>3339</v>
      </c>
      <c r="B2280" s="6">
        <v>44945</v>
      </c>
      <c r="C2280" s="6" t="str">
        <f t="shared" si="105"/>
        <v>Jan</v>
      </c>
      <c r="D2280" t="s">
        <v>2201</v>
      </c>
      <c r="E2280" t="s">
        <v>40</v>
      </c>
      <c r="F2280" t="s">
        <v>341</v>
      </c>
      <c r="G2280">
        <v>6</v>
      </c>
      <c r="H2280" s="7">
        <v>81.73</v>
      </c>
      <c r="I2280" t="s">
        <v>46</v>
      </c>
      <c r="J2280" t="s">
        <v>72</v>
      </c>
      <c r="K2280">
        <v>5</v>
      </c>
      <c r="L2280" s="7">
        <f t="shared" si="106"/>
        <v>490.38</v>
      </c>
      <c r="M2280" s="7"/>
      <c r="O2280">
        <f t="shared" si="107"/>
        <v>2</v>
      </c>
      <c r="Q2280" t="s">
        <v>47</v>
      </c>
    </row>
    <row r="2281" spans="1:17" x14ac:dyDescent="0.3">
      <c r="A2281" t="s">
        <v>3340</v>
      </c>
      <c r="B2281" s="6">
        <v>45093</v>
      </c>
      <c r="C2281" s="6" t="str">
        <f t="shared" si="105"/>
        <v>Jun</v>
      </c>
      <c r="D2281" t="s">
        <v>3225</v>
      </c>
      <c r="E2281" t="s">
        <v>40</v>
      </c>
      <c r="F2281" t="s">
        <v>480</v>
      </c>
      <c r="G2281">
        <v>9</v>
      </c>
      <c r="H2281" s="7">
        <v>252.16</v>
      </c>
      <c r="I2281" t="s">
        <v>21</v>
      </c>
      <c r="J2281" t="s">
        <v>28</v>
      </c>
      <c r="K2281">
        <v>5</v>
      </c>
      <c r="L2281" s="7">
        <f t="shared" si="106"/>
        <v>2269.44</v>
      </c>
      <c r="M2281" s="7"/>
      <c r="O2281">
        <f t="shared" si="107"/>
        <v>2</v>
      </c>
      <c r="Q2281" t="s">
        <v>23</v>
      </c>
    </row>
    <row r="2282" spans="1:17" x14ac:dyDescent="0.3">
      <c r="A2282" t="s">
        <v>3341</v>
      </c>
      <c r="B2282" s="6">
        <v>44938</v>
      </c>
      <c r="C2282" s="6" t="str">
        <f t="shared" si="105"/>
        <v>Jan</v>
      </c>
      <c r="D2282" t="s">
        <v>2044</v>
      </c>
      <c r="E2282" t="s">
        <v>36</v>
      </c>
      <c r="F2282" t="s">
        <v>944</v>
      </c>
      <c r="G2282">
        <v>6</v>
      </c>
      <c r="H2282" s="7">
        <v>355.86</v>
      </c>
      <c r="I2282" t="s">
        <v>46</v>
      </c>
      <c r="J2282" t="s">
        <v>42</v>
      </c>
      <c r="K2282">
        <v>10</v>
      </c>
      <c r="L2282" s="7">
        <f t="shared" si="106"/>
        <v>2135.16</v>
      </c>
      <c r="M2282" s="7"/>
      <c r="O2282">
        <f t="shared" si="107"/>
        <v>2</v>
      </c>
      <c r="Q2282" t="s">
        <v>47</v>
      </c>
    </row>
    <row r="2283" spans="1:17" x14ac:dyDescent="0.3">
      <c r="A2283" t="s">
        <v>3342</v>
      </c>
      <c r="B2283" s="6">
        <v>45146</v>
      </c>
      <c r="C2283" s="6" t="str">
        <f t="shared" si="105"/>
        <v>Aug</v>
      </c>
      <c r="D2283" t="s">
        <v>1832</v>
      </c>
      <c r="E2283" t="s">
        <v>50</v>
      </c>
      <c r="F2283" t="s">
        <v>270</v>
      </c>
      <c r="G2283">
        <v>9</v>
      </c>
      <c r="H2283" s="7">
        <v>93.05</v>
      </c>
      <c r="I2283" t="s">
        <v>46</v>
      </c>
      <c r="J2283" t="s">
        <v>28</v>
      </c>
      <c r="K2283">
        <v>10</v>
      </c>
      <c r="L2283" s="7">
        <f t="shared" si="106"/>
        <v>837.44999999999993</v>
      </c>
      <c r="M2283" s="7"/>
      <c r="O2283">
        <f t="shared" si="107"/>
        <v>2</v>
      </c>
      <c r="Q2283" t="s">
        <v>47</v>
      </c>
    </row>
    <row r="2284" spans="1:17" x14ac:dyDescent="0.3">
      <c r="A2284" t="s">
        <v>3343</v>
      </c>
      <c r="B2284" s="6">
        <v>45059</v>
      </c>
      <c r="C2284" s="6" t="str">
        <f t="shared" si="105"/>
        <v>May</v>
      </c>
      <c r="D2284" t="s">
        <v>3344</v>
      </c>
      <c r="E2284" t="s">
        <v>36</v>
      </c>
      <c r="F2284" t="s">
        <v>242</v>
      </c>
      <c r="G2284">
        <v>4</v>
      </c>
      <c r="H2284" s="7">
        <v>444.82</v>
      </c>
      <c r="I2284" t="s">
        <v>32</v>
      </c>
      <c r="J2284" t="s">
        <v>87</v>
      </c>
      <c r="K2284">
        <v>15</v>
      </c>
      <c r="L2284" s="7">
        <f t="shared" si="106"/>
        <v>1779.28</v>
      </c>
      <c r="M2284" s="7"/>
      <c r="O2284">
        <f t="shared" si="107"/>
        <v>2</v>
      </c>
      <c r="Q2284" t="s">
        <v>33</v>
      </c>
    </row>
    <row r="2285" spans="1:17" x14ac:dyDescent="0.3">
      <c r="A2285" t="s">
        <v>3345</v>
      </c>
      <c r="B2285" s="6">
        <v>45264</v>
      </c>
      <c r="C2285" s="6" t="str">
        <f t="shared" si="105"/>
        <v>Dec</v>
      </c>
      <c r="D2285" t="s">
        <v>1795</v>
      </c>
      <c r="E2285" t="s">
        <v>62</v>
      </c>
      <c r="F2285" t="s">
        <v>1328</v>
      </c>
      <c r="G2285">
        <v>8</v>
      </c>
      <c r="H2285" s="7">
        <v>223.74</v>
      </c>
      <c r="I2285" t="s">
        <v>103</v>
      </c>
      <c r="J2285" t="s">
        <v>19</v>
      </c>
      <c r="K2285">
        <v>15</v>
      </c>
      <c r="L2285" s="7">
        <f t="shared" si="106"/>
        <v>1789.92</v>
      </c>
      <c r="M2285" s="7"/>
      <c r="O2285">
        <f t="shared" si="107"/>
        <v>2</v>
      </c>
      <c r="Q2285" t="s">
        <v>104</v>
      </c>
    </row>
    <row r="2286" spans="1:17" x14ac:dyDescent="0.3">
      <c r="A2286" t="s">
        <v>3346</v>
      </c>
      <c r="B2286" s="6">
        <v>45263</v>
      </c>
      <c r="C2286" s="6" t="str">
        <f t="shared" si="105"/>
        <v>Dec</v>
      </c>
      <c r="D2286" t="s">
        <v>2277</v>
      </c>
      <c r="E2286" t="s">
        <v>19</v>
      </c>
      <c r="F2286" t="s">
        <v>432</v>
      </c>
      <c r="G2286">
        <v>4</v>
      </c>
      <c r="H2286" s="7">
        <v>75.709999999999994</v>
      </c>
      <c r="I2286" t="s">
        <v>103</v>
      </c>
      <c r="J2286" t="s">
        <v>19</v>
      </c>
      <c r="K2286">
        <v>15</v>
      </c>
      <c r="L2286" s="7">
        <f t="shared" si="106"/>
        <v>302.83999999999997</v>
      </c>
      <c r="M2286" s="7"/>
      <c r="O2286">
        <f t="shared" si="107"/>
        <v>2</v>
      </c>
      <c r="Q2286" t="s">
        <v>104</v>
      </c>
    </row>
    <row r="2287" spans="1:17" x14ac:dyDescent="0.3">
      <c r="A2287" t="s">
        <v>3347</v>
      </c>
      <c r="B2287" s="6">
        <v>45151</v>
      </c>
      <c r="C2287" s="6" t="str">
        <f t="shared" si="105"/>
        <v>Aug</v>
      </c>
      <c r="D2287" t="s">
        <v>216</v>
      </c>
      <c r="E2287" t="s">
        <v>40</v>
      </c>
      <c r="F2287" t="s">
        <v>295</v>
      </c>
      <c r="G2287">
        <v>2</v>
      </c>
      <c r="H2287" s="7">
        <v>383.3</v>
      </c>
      <c r="I2287" t="s">
        <v>64</v>
      </c>
      <c r="J2287" t="s">
        <v>87</v>
      </c>
      <c r="K2287">
        <v>10</v>
      </c>
      <c r="L2287" s="7">
        <f t="shared" si="106"/>
        <v>766.6</v>
      </c>
      <c r="M2287" s="7"/>
      <c r="O2287">
        <f t="shared" si="107"/>
        <v>2</v>
      </c>
      <c r="Q2287" t="s">
        <v>65</v>
      </c>
    </row>
    <row r="2288" spans="1:17" x14ac:dyDescent="0.3">
      <c r="A2288" t="s">
        <v>3348</v>
      </c>
      <c r="B2288" s="6">
        <v>45129</v>
      </c>
      <c r="C2288" s="6" t="str">
        <f t="shared" si="105"/>
        <v>Jul</v>
      </c>
      <c r="D2288" t="s">
        <v>1975</v>
      </c>
      <c r="E2288" t="s">
        <v>19</v>
      </c>
      <c r="F2288" t="s">
        <v>303</v>
      </c>
      <c r="G2288">
        <v>9</v>
      </c>
      <c r="H2288" s="7">
        <v>396.04</v>
      </c>
      <c r="I2288" t="s">
        <v>21</v>
      </c>
      <c r="J2288" t="s">
        <v>42</v>
      </c>
      <c r="K2288">
        <v>5</v>
      </c>
      <c r="L2288" s="7">
        <f t="shared" si="106"/>
        <v>3564.36</v>
      </c>
      <c r="M2288" s="7"/>
      <c r="O2288">
        <f t="shared" si="107"/>
        <v>5</v>
      </c>
      <c r="Q2288" t="s">
        <v>23</v>
      </c>
    </row>
    <row r="2289" spans="1:17" x14ac:dyDescent="0.3">
      <c r="A2289" t="s">
        <v>3349</v>
      </c>
      <c r="B2289" s="6">
        <v>45076</v>
      </c>
      <c r="C2289" s="6" t="str">
        <f t="shared" si="105"/>
        <v>May</v>
      </c>
      <c r="D2289" t="s">
        <v>1368</v>
      </c>
      <c r="E2289" t="s">
        <v>50</v>
      </c>
      <c r="F2289" t="s">
        <v>319</v>
      </c>
      <c r="G2289">
        <v>5</v>
      </c>
      <c r="H2289" s="7">
        <v>321.45</v>
      </c>
      <c r="I2289" t="s">
        <v>103</v>
      </c>
      <c r="J2289" t="s">
        <v>42</v>
      </c>
      <c r="K2289">
        <v>15</v>
      </c>
      <c r="L2289" s="7">
        <f t="shared" si="106"/>
        <v>1607.25</v>
      </c>
      <c r="M2289" s="7"/>
      <c r="O2289">
        <f t="shared" si="107"/>
        <v>2</v>
      </c>
      <c r="Q2289" t="s">
        <v>104</v>
      </c>
    </row>
    <row r="2290" spans="1:17" x14ac:dyDescent="0.3">
      <c r="A2290" t="s">
        <v>3350</v>
      </c>
      <c r="B2290" s="6">
        <v>45143</v>
      </c>
      <c r="C2290" s="6" t="str">
        <f t="shared" si="105"/>
        <v>Aug</v>
      </c>
      <c r="D2290" t="s">
        <v>1073</v>
      </c>
      <c r="E2290" t="s">
        <v>62</v>
      </c>
      <c r="F2290" t="s">
        <v>148</v>
      </c>
      <c r="G2290">
        <v>4</v>
      </c>
      <c r="H2290" s="7">
        <v>427.47</v>
      </c>
      <c r="I2290" t="s">
        <v>19</v>
      </c>
      <c r="J2290" t="s">
        <v>19</v>
      </c>
      <c r="K2290">
        <v>10</v>
      </c>
      <c r="L2290" s="7">
        <f t="shared" si="106"/>
        <v>1709.88</v>
      </c>
      <c r="M2290" s="7"/>
      <c r="O2290">
        <f t="shared" si="107"/>
        <v>2</v>
      </c>
      <c r="Q2290" t="s">
        <v>19</v>
      </c>
    </row>
    <row r="2291" spans="1:17" x14ac:dyDescent="0.3">
      <c r="A2291" t="s">
        <v>3351</v>
      </c>
      <c r="B2291" s="6">
        <v>45264</v>
      </c>
      <c r="C2291" s="6" t="str">
        <f t="shared" si="105"/>
        <v>Dec</v>
      </c>
      <c r="D2291" t="s">
        <v>830</v>
      </c>
      <c r="E2291" t="s">
        <v>50</v>
      </c>
      <c r="F2291" t="s">
        <v>708</v>
      </c>
      <c r="G2291">
        <v>2</v>
      </c>
      <c r="H2291" s="7">
        <v>370</v>
      </c>
      <c r="I2291" t="s">
        <v>103</v>
      </c>
      <c r="J2291" t="s">
        <v>42</v>
      </c>
      <c r="K2291">
        <v>10</v>
      </c>
      <c r="L2291" s="7">
        <f t="shared" si="106"/>
        <v>740</v>
      </c>
      <c r="M2291" s="7"/>
      <c r="O2291">
        <f t="shared" si="107"/>
        <v>2</v>
      </c>
      <c r="Q2291" t="s">
        <v>104</v>
      </c>
    </row>
    <row r="2292" spans="1:17" x14ac:dyDescent="0.3">
      <c r="A2292" t="s">
        <v>3352</v>
      </c>
      <c r="B2292" s="6">
        <v>45151</v>
      </c>
      <c r="C2292" s="6" t="str">
        <f t="shared" si="105"/>
        <v>Aug</v>
      </c>
      <c r="D2292" t="s">
        <v>938</v>
      </c>
      <c r="E2292" t="s">
        <v>31</v>
      </c>
      <c r="F2292" t="s">
        <v>211</v>
      </c>
      <c r="G2292">
        <v>1</v>
      </c>
      <c r="H2292" s="7">
        <v>441.69</v>
      </c>
      <c r="I2292" t="s">
        <v>64</v>
      </c>
      <c r="J2292" t="s">
        <v>42</v>
      </c>
      <c r="K2292">
        <v>0</v>
      </c>
      <c r="L2292" s="7">
        <f t="shared" si="106"/>
        <v>441.69</v>
      </c>
      <c r="M2292" s="7"/>
      <c r="O2292">
        <f t="shared" si="107"/>
        <v>2</v>
      </c>
      <c r="Q2292" t="s">
        <v>65</v>
      </c>
    </row>
    <row r="2293" spans="1:17" x14ac:dyDescent="0.3">
      <c r="A2293" t="s">
        <v>3353</v>
      </c>
      <c r="B2293" s="6">
        <v>45199</v>
      </c>
      <c r="C2293" s="6" t="str">
        <f t="shared" si="105"/>
        <v>Sep</v>
      </c>
      <c r="D2293" t="s">
        <v>3354</v>
      </c>
      <c r="E2293" t="s">
        <v>50</v>
      </c>
      <c r="F2293" t="s">
        <v>833</v>
      </c>
      <c r="G2293">
        <v>7</v>
      </c>
      <c r="H2293" s="7">
        <v>219.77</v>
      </c>
      <c r="I2293" t="s">
        <v>21</v>
      </c>
      <c r="J2293" t="s">
        <v>87</v>
      </c>
      <c r="K2293">
        <v>20</v>
      </c>
      <c r="L2293" s="7">
        <f t="shared" si="106"/>
        <v>1538.39</v>
      </c>
      <c r="M2293" s="7"/>
      <c r="O2293">
        <f t="shared" si="107"/>
        <v>2</v>
      </c>
      <c r="Q2293" t="s">
        <v>23</v>
      </c>
    </row>
    <row r="2294" spans="1:17" x14ac:dyDescent="0.3">
      <c r="A2294" t="s">
        <v>3355</v>
      </c>
      <c r="B2294" s="6">
        <v>45271</v>
      </c>
      <c r="C2294" s="6" t="str">
        <f t="shared" si="105"/>
        <v>Dec</v>
      </c>
      <c r="D2294" t="s">
        <v>98</v>
      </c>
      <c r="E2294" t="s">
        <v>36</v>
      </c>
      <c r="F2294" t="s">
        <v>51</v>
      </c>
      <c r="G2294">
        <v>6</v>
      </c>
      <c r="H2294" s="7">
        <v>375.06</v>
      </c>
      <c r="I2294" t="s">
        <v>103</v>
      </c>
      <c r="J2294" t="s">
        <v>19</v>
      </c>
      <c r="K2294">
        <v>15</v>
      </c>
      <c r="L2294" s="7">
        <f t="shared" si="106"/>
        <v>2250.36</v>
      </c>
      <c r="M2294" s="7"/>
      <c r="O2294">
        <f t="shared" si="107"/>
        <v>2</v>
      </c>
      <c r="Q2294" t="s">
        <v>104</v>
      </c>
    </row>
    <row r="2295" spans="1:17" x14ac:dyDescent="0.3">
      <c r="A2295" t="s">
        <v>3356</v>
      </c>
      <c r="B2295" s="6">
        <v>45012</v>
      </c>
      <c r="C2295" s="6" t="str">
        <f t="shared" si="105"/>
        <v>Mar</v>
      </c>
      <c r="D2295" t="s">
        <v>1421</v>
      </c>
      <c r="E2295" t="s">
        <v>62</v>
      </c>
      <c r="F2295" t="s">
        <v>270</v>
      </c>
      <c r="G2295">
        <v>2</v>
      </c>
      <c r="H2295" s="7">
        <v>252.16</v>
      </c>
      <c r="I2295" t="s">
        <v>64</v>
      </c>
      <c r="J2295" t="s">
        <v>87</v>
      </c>
      <c r="K2295">
        <v>20</v>
      </c>
      <c r="L2295" s="7">
        <f t="shared" si="106"/>
        <v>504.32</v>
      </c>
      <c r="M2295" s="7"/>
      <c r="O2295">
        <f t="shared" si="107"/>
        <v>2</v>
      </c>
      <c r="Q2295" t="s">
        <v>65</v>
      </c>
    </row>
    <row r="2296" spans="1:17" x14ac:dyDescent="0.3">
      <c r="A2296" t="s">
        <v>3357</v>
      </c>
      <c r="B2296" s="6">
        <v>45217</v>
      </c>
      <c r="C2296" s="6" t="str">
        <f t="shared" si="105"/>
        <v>Oct</v>
      </c>
      <c r="D2296" t="s">
        <v>1546</v>
      </c>
      <c r="E2296" t="s">
        <v>62</v>
      </c>
      <c r="F2296" t="s">
        <v>134</v>
      </c>
      <c r="G2296">
        <v>8</v>
      </c>
      <c r="H2296" s="7">
        <v>363.84</v>
      </c>
      <c r="I2296" t="s">
        <v>32</v>
      </c>
      <c r="J2296" t="s">
        <v>19</v>
      </c>
      <c r="K2296">
        <v>5</v>
      </c>
      <c r="L2296" s="7">
        <f t="shared" si="106"/>
        <v>2910.72</v>
      </c>
      <c r="M2296" s="7"/>
      <c r="O2296">
        <f t="shared" si="107"/>
        <v>3</v>
      </c>
      <c r="Q2296" t="s">
        <v>33</v>
      </c>
    </row>
    <row r="2297" spans="1:17" x14ac:dyDescent="0.3">
      <c r="A2297" t="s">
        <v>3358</v>
      </c>
      <c r="B2297" s="6">
        <v>44964</v>
      </c>
      <c r="C2297" s="6" t="str">
        <f t="shared" si="105"/>
        <v>Feb</v>
      </c>
      <c r="D2297" t="s">
        <v>1848</v>
      </c>
      <c r="E2297" t="s">
        <v>50</v>
      </c>
      <c r="F2297" t="s">
        <v>170</v>
      </c>
      <c r="G2297">
        <v>4</v>
      </c>
      <c r="H2297" s="7">
        <v>61.52</v>
      </c>
      <c r="I2297" t="s">
        <v>103</v>
      </c>
      <c r="J2297" t="s">
        <v>87</v>
      </c>
      <c r="K2297">
        <v>10</v>
      </c>
      <c r="L2297" s="7">
        <f t="shared" si="106"/>
        <v>246.08</v>
      </c>
      <c r="M2297" s="7"/>
      <c r="O2297">
        <f t="shared" si="107"/>
        <v>2</v>
      </c>
      <c r="Q2297" t="s">
        <v>104</v>
      </c>
    </row>
    <row r="2298" spans="1:17" x14ac:dyDescent="0.3">
      <c r="A2298" t="s">
        <v>3359</v>
      </c>
      <c r="B2298" s="6">
        <v>45144</v>
      </c>
      <c r="C2298" s="6" t="str">
        <f t="shared" si="105"/>
        <v>Aug</v>
      </c>
      <c r="D2298" t="s">
        <v>2349</v>
      </c>
      <c r="E2298" t="s">
        <v>26</v>
      </c>
      <c r="F2298" t="s">
        <v>1251</v>
      </c>
      <c r="G2298">
        <v>8</v>
      </c>
      <c r="H2298" s="7">
        <v>261.57</v>
      </c>
      <c r="I2298" t="s">
        <v>21</v>
      </c>
      <c r="J2298" t="s">
        <v>87</v>
      </c>
      <c r="K2298">
        <v>15</v>
      </c>
      <c r="L2298" s="7">
        <f t="shared" si="106"/>
        <v>2092.56</v>
      </c>
      <c r="M2298" s="7"/>
      <c r="O2298">
        <f t="shared" si="107"/>
        <v>2</v>
      </c>
      <c r="Q2298" t="s">
        <v>23</v>
      </c>
    </row>
    <row r="2299" spans="1:17" x14ac:dyDescent="0.3">
      <c r="A2299" t="s">
        <v>3360</v>
      </c>
      <c r="B2299" s="6">
        <v>45030</v>
      </c>
      <c r="C2299" s="6" t="str">
        <f t="shared" si="105"/>
        <v>Apr</v>
      </c>
      <c r="D2299" t="s">
        <v>938</v>
      </c>
      <c r="E2299" t="s">
        <v>40</v>
      </c>
      <c r="F2299" t="s">
        <v>1085</v>
      </c>
      <c r="G2299">
        <v>7</v>
      </c>
      <c r="H2299" s="7">
        <v>252.16</v>
      </c>
      <c r="I2299" t="s">
        <v>46</v>
      </c>
      <c r="J2299" t="s">
        <v>28</v>
      </c>
      <c r="K2299">
        <v>10</v>
      </c>
      <c r="L2299" s="7">
        <f t="shared" si="106"/>
        <v>1765.12</v>
      </c>
      <c r="M2299" s="7"/>
      <c r="O2299">
        <f t="shared" si="107"/>
        <v>2</v>
      </c>
      <c r="Q2299" t="s">
        <v>47</v>
      </c>
    </row>
    <row r="2300" spans="1:17" x14ac:dyDescent="0.3">
      <c r="A2300" t="s">
        <v>3361</v>
      </c>
      <c r="B2300" s="6">
        <v>44996</v>
      </c>
      <c r="C2300" s="6" t="str">
        <f t="shared" si="105"/>
        <v>Mar</v>
      </c>
      <c r="D2300" t="s">
        <v>1368</v>
      </c>
      <c r="E2300" t="s">
        <v>50</v>
      </c>
      <c r="F2300" t="s">
        <v>237</v>
      </c>
      <c r="G2300">
        <v>5</v>
      </c>
      <c r="H2300" s="7">
        <v>91.23</v>
      </c>
      <c r="I2300" t="s">
        <v>64</v>
      </c>
      <c r="J2300" t="s">
        <v>87</v>
      </c>
      <c r="K2300">
        <v>5</v>
      </c>
      <c r="L2300" s="7">
        <f t="shared" si="106"/>
        <v>456.15000000000003</v>
      </c>
      <c r="M2300" s="7"/>
      <c r="O2300">
        <f t="shared" si="107"/>
        <v>2</v>
      </c>
      <c r="Q2300" t="s">
        <v>65</v>
      </c>
    </row>
    <row r="2301" spans="1:17" x14ac:dyDescent="0.3">
      <c r="A2301" t="s">
        <v>3362</v>
      </c>
      <c r="B2301" s="6">
        <v>45024</v>
      </c>
      <c r="C2301" s="6" t="str">
        <f t="shared" si="105"/>
        <v>Apr</v>
      </c>
      <c r="D2301" t="s">
        <v>18</v>
      </c>
      <c r="E2301" t="s">
        <v>50</v>
      </c>
      <c r="F2301" t="s">
        <v>292</v>
      </c>
      <c r="G2301">
        <v>8</v>
      </c>
      <c r="H2301" s="7">
        <v>481.63</v>
      </c>
      <c r="I2301" t="s">
        <v>46</v>
      </c>
      <c r="J2301" t="s">
        <v>22</v>
      </c>
      <c r="K2301">
        <v>0</v>
      </c>
      <c r="L2301" s="7">
        <f t="shared" si="106"/>
        <v>3853.04</v>
      </c>
      <c r="M2301" s="7"/>
      <c r="O2301">
        <f t="shared" si="107"/>
        <v>5</v>
      </c>
      <c r="Q2301" t="s">
        <v>47</v>
      </c>
    </row>
    <row r="2302" spans="1:17" x14ac:dyDescent="0.3">
      <c r="A2302" t="s">
        <v>3363</v>
      </c>
      <c r="B2302" s="6">
        <v>45008</v>
      </c>
      <c r="C2302" s="6" t="str">
        <f t="shared" si="105"/>
        <v>Mar</v>
      </c>
      <c r="D2302" t="s">
        <v>2797</v>
      </c>
      <c r="E2302" t="s">
        <v>31</v>
      </c>
      <c r="F2302" t="s">
        <v>706</v>
      </c>
      <c r="G2302">
        <v>9</v>
      </c>
      <c r="H2302" s="7">
        <v>91.91</v>
      </c>
      <c r="I2302" t="s">
        <v>21</v>
      </c>
      <c r="J2302" t="s">
        <v>42</v>
      </c>
      <c r="K2302">
        <v>0</v>
      </c>
      <c r="L2302" s="7">
        <f t="shared" si="106"/>
        <v>827.18999999999994</v>
      </c>
      <c r="M2302" s="7"/>
      <c r="O2302">
        <f t="shared" si="107"/>
        <v>2</v>
      </c>
      <c r="Q2302" t="s">
        <v>23</v>
      </c>
    </row>
    <row r="2303" spans="1:17" x14ac:dyDescent="0.3">
      <c r="A2303" t="s">
        <v>3364</v>
      </c>
      <c r="B2303" s="6">
        <v>45074</v>
      </c>
      <c r="C2303" s="6" t="str">
        <f t="shared" si="105"/>
        <v>May</v>
      </c>
      <c r="D2303" t="s">
        <v>18</v>
      </c>
      <c r="E2303" t="s">
        <v>31</v>
      </c>
      <c r="F2303" t="s">
        <v>359</v>
      </c>
      <c r="G2303">
        <v>5</v>
      </c>
      <c r="H2303" s="7">
        <v>92.89</v>
      </c>
      <c r="I2303" t="s">
        <v>64</v>
      </c>
      <c r="J2303" t="s">
        <v>87</v>
      </c>
      <c r="K2303">
        <v>20</v>
      </c>
      <c r="L2303" s="7">
        <f t="shared" si="106"/>
        <v>464.45</v>
      </c>
      <c r="M2303" s="7"/>
      <c r="O2303">
        <f t="shared" si="107"/>
        <v>2</v>
      </c>
      <c r="Q2303" t="s">
        <v>65</v>
      </c>
    </row>
    <row r="2304" spans="1:17" x14ac:dyDescent="0.3">
      <c r="A2304" t="s">
        <v>3365</v>
      </c>
      <c r="B2304" s="6">
        <v>44966</v>
      </c>
      <c r="C2304" s="6" t="str">
        <f t="shared" si="105"/>
        <v>Feb</v>
      </c>
      <c r="D2304" t="s">
        <v>1124</v>
      </c>
      <c r="E2304" t="s">
        <v>62</v>
      </c>
      <c r="F2304" t="s">
        <v>214</v>
      </c>
      <c r="G2304">
        <v>5</v>
      </c>
      <c r="H2304" s="7">
        <v>458.01</v>
      </c>
      <c r="I2304" t="s">
        <v>103</v>
      </c>
      <c r="J2304" t="s">
        <v>72</v>
      </c>
      <c r="K2304">
        <v>10</v>
      </c>
      <c r="L2304" s="7">
        <f t="shared" si="106"/>
        <v>2290.0500000000002</v>
      </c>
      <c r="M2304" s="7"/>
      <c r="O2304">
        <f t="shared" si="107"/>
        <v>2</v>
      </c>
      <c r="Q2304" t="s">
        <v>104</v>
      </c>
    </row>
    <row r="2305" spans="1:17" x14ac:dyDescent="0.3">
      <c r="A2305" t="s">
        <v>3366</v>
      </c>
      <c r="B2305" s="6">
        <v>44971</v>
      </c>
      <c r="C2305" s="6" t="str">
        <f t="shared" si="105"/>
        <v>Feb</v>
      </c>
      <c r="D2305" t="s">
        <v>3295</v>
      </c>
      <c r="E2305" t="s">
        <v>19</v>
      </c>
      <c r="F2305" t="s">
        <v>45</v>
      </c>
      <c r="G2305">
        <v>2</v>
      </c>
      <c r="H2305" s="7">
        <v>235.28</v>
      </c>
      <c r="I2305" t="s">
        <v>103</v>
      </c>
      <c r="J2305" t="s">
        <v>22</v>
      </c>
      <c r="K2305">
        <v>20</v>
      </c>
      <c r="L2305" s="7">
        <f t="shared" si="106"/>
        <v>470.56</v>
      </c>
      <c r="M2305" s="7"/>
      <c r="O2305">
        <f t="shared" si="107"/>
        <v>2</v>
      </c>
      <c r="Q2305" t="s">
        <v>104</v>
      </c>
    </row>
    <row r="2306" spans="1:17" x14ac:dyDescent="0.3">
      <c r="A2306" t="s">
        <v>3367</v>
      </c>
      <c r="B2306" s="6">
        <v>45108</v>
      </c>
      <c r="C2306" s="6" t="str">
        <f t="shared" si="105"/>
        <v>Jul</v>
      </c>
      <c r="D2306" t="s">
        <v>2022</v>
      </c>
      <c r="E2306" t="s">
        <v>62</v>
      </c>
      <c r="F2306" t="s">
        <v>45</v>
      </c>
      <c r="G2306">
        <v>5</v>
      </c>
      <c r="H2306" s="7">
        <v>36.28</v>
      </c>
      <c r="I2306" t="s">
        <v>19</v>
      </c>
      <c r="J2306" t="s">
        <v>19</v>
      </c>
      <c r="K2306">
        <v>10</v>
      </c>
      <c r="L2306" s="7">
        <f t="shared" si="106"/>
        <v>181.4</v>
      </c>
      <c r="M2306" s="7"/>
      <c r="O2306">
        <f t="shared" si="107"/>
        <v>2</v>
      </c>
      <c r="Q2306" t="s">
        <v>19</v>
      </c>
    </row>
    <row r="2307" spans="1:17" x14ac:dyDescent="0.3">
      <c r="A2307" t="s">
        <v>3368</v>
      </c>
      <c r="B2307" s="6">
        <v>44951</v>
      </c>
      <c r="C2307" s="6" t="str">
        <f t="shared" ref="C2307:C2370" si="108">TEXT(B2307,"MMM")</f>
        <v>Jan</v>
      </c>
      <c r="D2307" t="s">
        <v>195</v>
      </c>
      <c r="E2307" t="s">
        <v>62</v>
      </c>
      <c r="F2307" t="s">
        <v>201</v>
      </c>
      <c r="G2307">
        <v>3</v>
      </c>
      <c r="H2307" s="7">
        <v>301.10000000000002</v>
      </c>
      <c r="I2307" t="s">
        <v>19</v>
      </c>
      <c r="J2307" t="s">
        <v>72</v>
      </c>
      <c r="K2307">
        <v>10</v>
      </c>
      <c r="L2307" s="7">
        <f t="shared" ref="L2307:L2370" si="109">G2307*H2307</f>
        <v>903.30000000000007</v>
      </c>
      <c r="M2307" s="7"/>
      <c r="O2307">
        <f t="shared" si="107"/>
        <v>2</v>
      </c>
      <c r="Q2307" t="s">
        <v>19</v>
      </c>
    </row>
    <row r="2308" spans="1:17" x14ac:dyDescent="0.3">
      <c r="A2308" t="s">
        <v>3369</v>
      </c>
      <c r="B2308" s="6">
        <v>45147</v>
      </c>
      <c r="C2308" s="6" t="str">
        <f t="shared" si="108"/>
        <v>Aug</v>
      </c>
      <c r="D2308" t="s">
        <v>395</v>
      </c>
      <c r="E2308" t="s">
        <v>50</v>
      </c>
      <c r="F2308" t="s">
        <v>417</v>
      </c>
      <c r="G2308">
        <v>7</v>
      </c>
      <c r="H2308" s="7">
        <v>302.89999999999998</v>
      </c>
      <c r="I2308" t="s">
        <v>103</v>
      </c>
      <c r="J2308" t="s">
        <v>28</v>
      </c>
      <c r="K2308">
        <v>0</v>
      </c>
      <c r="L2308" s="7">
        <f t="shared" si="109"/>
        <v>2120.2999999999997</v>
      </c>
      <c r="M2308" s="7"/>
      <c r="O2308">
        <f t="shared" ref="O2308:O2371" si="110">IF(L2308&gt;3500,5,IF(L2308&gt;3000,4,IF(L2308&gt;2500,3,IF(L2308&gt;2000,2,IF(L2308&gt;1000,2,2)))))</f>
        <v>2</v>
      </c>
      <c r="Q2308" t="s">
        <v>104</v>
      </c>
    </row>
    <row r="2309" spans="1:17" x14ac:dyDescent="0.3">
      <c r="A2309" t="s">
        <v>3370</v>
      </c>
      <c r="B2309" s="6">
        <v>44992</v>
      </c>
      <c r="C2309" s="6" t="str">
        <f t="shared" si="108"/>
        <v>Mar</v>
      </c>
      <c r="D2309" t="s">
        <v>3039</v>
      </c>
      <c r="E2309" t="s">
        <v>26</v>
      </c>
      <c r="F2309" t="s">
        <v>134</v>
      </c>
      <c r="G2309">
        <v>5</v>
      </c>
      <c r="H2309" s="7">
        <v>36.93</v>
      </c>
      <c r="I2309" t="s">
        <v>46</v>
      </c>
      <c r="J2309" t="s">
        <v>19</v>
      </c>
      <c r="K2309">
        <v>15</v>
      </c>
      <c r="L2309" s="7">
        <f t="shared" si="109"/>
        <v>184.65</v>
      </c>
      <c r="M2309" s="7"/>
      <c r="O2309">
        <f t="shared" si="110"/>
        <v>2</v>
      </c>
      <c r="Q2309" t="s">
        <v>47</v>
      </c>
    </row>
    <row r="2310" spans="1:17" x14ac:dyDescent="0.3">
      <c r="A2310" t="s">
        <v>3371</v>
      </c>
      <c r="B2310" s="6">
        <v>45114</v>
      </c>
      <c r="C2310" s="6" t="str">
        <f t="shared" si="108"/>
        <v>Jul</v>
      </c>
      <c r="D2310" t="s">
        <v>583</v>
      </c>
      <c r="E2310" t="s">
        <v>50</v>
      </c>
      <c r="F2310" t="s">
        <v>157</v>
      </c>
      <c r="G2310">
        <v>8</v>
      </c>
      <c r="H2310" s="7">
        <v>486.4</v>
      </c>
      <c r="I2310" t="s">
        <v>64</v>
      </c>
      <c r="J2310" t="s">
        <v>42</v>
      </c>
      <c r="K2310">
        <v>0</v>
      </c>
      <c r="L2310" s="7">
        <f t="shared" si="109"/>
        <v>3891.2</v>
      </c>
      <c r="M2310" s="7"/>
      <c r="O2310">
        <f t="shared" si="110"/>
        <v>5</v>
      </c>
      <c r="Q2310" t="s">
        <v>65</v>
      </c>
    </row>
    <row r="2311" spans="1:17" x14ac:dyDescent="0.3">
      <c r="A2311" t="s">
        <v>3372</v>
      </c>
      <c r="B2311" s="6">
        <v>45048</v>
      </c>
      <c r="C2311" s="6" t="str">
        <f t="shared" si="108"/>
        <v>May</v>
      </c>
      <c r="D2311" t="s">
        <v>535</v>
      </c>
      <c r="E2311" t="s">
        <v>36</v>
      </c>
      <c r="F2311" t="s">
        <v>27</v>
      </c>
      <c r="G2311">
        <v>1</v>
      </c>
      <c r="H2311" s="7">
        <v>274.29000000000002</v>
      </c>
      <c r="I2311" t="s">
        <v>32</v>
      </c>
      <c r="J2311" t="s">
        <v>28</v>
      </c>
      <c r="K2311">
        <v>0</v>
      </c>
      <c r="L2311" s="7">
        <f t="shared" si="109"/>
        <v>274.29000000000002</v>
      </c>
      <c r="M2311" s="7"/>
      <c r="O2311">
        <f t="shared" si="110"/>
        <v>2</v>
      </c>
      <c r="Q2311" t="s">
        <v>33</v>
      </c>
    </row>
    <row r="2312" spans="1:17" x14ac:dyDescent="0.3">
      <c r="A2312" t="s">
        <v>3373</v>
      </c>
      <c r="B2312" s="6">
        <v>44996</v>
      </c>
      <c r="C2312" s="6" t="str">
        <f t="shared" si="108"/>
        <v>Mar</v>
      </c>
      <c r="D2312" t="s">
        <v>1056</v>
      </c>
      <c r="E2312" t="s">
        <v>40</v>
      </c>
      <c r="F2312" t="s">
        <v>248</v>
      </c>
      <c r="G2312">
        <v>3</v>
      </c>
      <c r="H2312" s="7">
        <v>282.10000000000002</v>
      </c>
      <c r="I2312" t="s">
        <v>19</v>
      </c>
      <c r="J2312" t="s">
        <v>22</v>
      </c>
      <c r="K2312">
        <v>10</v>
      </c>
      <c r="L2312" s="7">
        <f t="shared" si="109"/>
        <v>846.30000000000007</v>
      </c>
      <c r="M2312" s="7"/>
      <c r="O2312">
        <f t="shared" si="110"/>
        <v>2</v>
      </c>
      <c r="Q2312" t="s">
        <v>19</v>
      </c>
    </row>
    <row r="2313" spans="1:17" x14ac:dyDescent="0.3">
      <c r="A2313" t="s">
        <v>3374</v>
      </c>
      <c r="B2313" s="6">
        <v>45175</v>
      </c>
      <c r="C2313" s="6" t="str">
        <f t="shared" si="108"/>
        <v>Sep</v>
      </c>
      <c r="D2313" t="s">
        <v>1171</v>
      </c>
      <c r="E2313" t="s">
        <v>36</v>
      </c>
      <c r="F2313" t="s">
        <v>366</v>
      </c>
      <c r="G2313">
        <v>3</v>
      </c>
      <c r="H2313" s="7">
        <v>262.45999999999998</v>
      </c>
      <c r="I2313" t="s">
        <v>19</v>
      </c>
      <c r="J2313" t="s">
        <v>19</v>
      </c>
      <c r="K2313">
        <v>20</v>
      </c>
      <c r="L2313" s="7">
        <f t="shared" si="109"/>
        <v>787.37999999999988</v>
      </c>
      <c r="M2313" s="7"/>
      <c r="O2313">
        <f t="shared" si="110"/>
        <v>2</v>
      </c>
      <c r="Q2313" t="s">
        <v>19</v>
      </c>
    </row>
    <row r="2314" spans="1:17" x14ac:dyDescent="0.3">
      <c r="A2314" t="s">
        <v>3375</v>
      </c>
      <c r="B2314" s="6">
        <v>45143</v>
      </c>
      <c r="C2314" s="6" t="str">
        <f t="shared" si="108"/>
        <v>Aug</v>
      </c>
      <c r="D2314" t="s">
        <v>1638</v>
      </c>
      <c r="E2314" t="s">
        <v>19</v>
      </c>
      <c r="F2314" t="s">
        <v>90</v>
      </c>
      <c r="G2314">
        <v>9</v>
      </c>
      <c r="H2314" s="7">
        <v>307.31</v>
      </c>
      <c r="I2314" t="s">
        <v>21</v>
      </c>
      <c r="J2314" t="s">
        <v>28</v>
      </c>
      <c r="K2314">
        <v>10</v>
      </c>
      <c r="L2314" s="7">
        <f t="shared" si="109"/>
        <v>2765.79</v>
      </c>
      <c r="M2314" s="7"/>
      <c r="O2314">
        <f t="shared" si="110"/>
        <v>3</v>
      </c>
      <c r="Q2314" t="s">
        <v>23</v>
      </c>
    </row>
    <row r="2315" spans="1:17" x14ac:dyDescent="0.3">
      <c r="A2315" t="s">
        <v>3376</v>
      </c>
      <c r="B2315" s="6">
        <v>45152</v>
      </c>
      <c r="C2315" s="6" t="str">
        <f t="shared" si="108"/>
        <v>Aug</v>
      </c>
      <c r="D2315" t="s">
        <v>717</v>
      </c>
      <c r="E2315" t="s">
        <v>19</v>
      </c>
      <c r="F2315" t="s">
        <v>423</v>
      </c>
      <c r="G2315">
        <v>5</v>
      </c>
      <c r="H2315" s="7">
        <v>135.83000000000001</v>
      </c>
      <c r="I2315" t="s">
        <v>32</v>
      </c>
      <c r="J2315" t="s">
        <v>22</v>
      </c>
      <c r="K2315">
        <v>10</v>
      </c>
      <c r="L2315" s="7">
        <f t="shared" si="109"/>
        <v>679.15000000000009</v>
      </c>
      <c r="M2315" s="7"/>
      <c r="O2315">
        <f t="shared" si="110"/>
        <v>2</v>
      </c>
      <c r="Q2315" t="s">
        <v>33</v>
      </c>
    </row>
    <row r="2316" spans="1:17" x14ac:dyDescent="0.3">
      <c r="A2316" t="s">
        <v>3377</v>
      </c>
      <c r="B2316" s="6">
        <v>44983</v>
      </c>
      <c r="C2316" s="6" t="str">
        <f t="shared" si="108"/>
        <v>Feb</v>
      </c>
      <c r="D2316" t="s">
        <v>951</v>
      </c>
      <c r="E2316" t="s">
        <v>26</v>
      </c>
      <c r="F2316" t="s">
        <v>84</v>
      </c>
      <c r="G2316">
        <v>9</v>
      </c>
      <c r="H2316" s="7">
        <v>147.18</v>
      </c>
      <c r="I2316" t="s">
        <v>21</v>
      </c>
      <c r="J2316" t="s">
        <v>22</v>
      </c>
      <c r="K2316">
        <v>10</v>
      </c>
      <c r="L2316" s="7">
        <f t="shared" si="109"/>
        <v>1324.6200000000001</v>
      </c>
      <c r="M2316" s="7"/>
      <c r="O2316">
        <f t="shared" si="110"/>
        <v>2</v>
      </c>
      <c r="Q2316" t="s">
        <v>23</v>
      </c>
    </row>
    <row r="2317" spans="1:17" x14ac:dyDescent="0.3">
      <c r="A2317" t="s">
        <v>3378</v>
      </c>
      <c r="B2317" s="6">
        <v>44932</v>
      </c>
      <c r="C2317" s="6" t="str">
        <f t="shared" si="108"/>
        <v>Jan</v>
      </c>
      <c r="D2317" t="s">
        <v>207</v>
      </c>
      <c r="E2317" t="s">
        <v>19</v>
      </c>
      <c r="F2317" t="s">
        <v>231</v>
      </c>
      <c r="G2317">
        <v>9</v>
      </c>
      <c r="H2317" s="7">
        <v>258.11</v>
      </c>
      <c r="I2317" t="s">
        <v>32</v>
      </c>
      <c r="J2317" t="s">
        <v>87</v>
      </c>
      <c r="K2317">
        <v>10</v>
      </c>
      <c r="L2317" s="7">
        <f t="shared" si="109"/>
        <v>2322.9900000000002</v>
      </c>
      <c r="M2317" s="7"/>
      <c r="O2317">
        <f t="shared" si="110"/>
        <v>2</v>
      </c>
      <c r="Q2317" t="s">
        <v>33</v>
      </c>
    </row>
    <row r="2318" spans="1:17" x14ac:dyDescent="0.3">
      <c r="A2318" t="s">
        <v>3379</v>
      </c>
      <c r="B2318" s="6">
        <v>44959</v>
      </c>
      <c r="C2318" s="6" t="str">
        <f t="shared" si="108"/>
        <v>Feb</v>
      </c>
      <c r="D2318" t="s">
        <v>987</v>
      </c>
      <c r="E2318" t="s">
        <v>19</v>
      </c>
      <c r="F2318" t="s">
        <v>325</v>
      </c>
      <c r="G2318">
        <v>1</v>
      </c>
      <c r="H2318" s="7">
        <v>404.31</v>
      </c>
      <c r="I2318" t="s">
        <v>103</v>
      </c>
      <c r="J2318" t="s">
        <v>19</v>
      </c>
      <c r="K2318">
        <v>0</v>
      </c>
      <c r="L2318" s="7">
        <f t="shared" si="109"/>
        <v>404.31</v>
      </c>
      <c r="M2318" s="7"/>
      <c r="O2318">
        <f t="shared" si="110"/>
        <v>2</v>
      </c>
      <c r="Q2318" t="s">
        <v>104</v>
      </c>
    </row>
    <row r="2319" spans="1:17" x14ac:dyDescent="0.3">
      <c r="A2319" t="s">
        <v>3380</v>
      </c>
      <c r="B2319" s="6">
        <v>45091</v>
      </c>
      <c r="C2319" s="6" t="str">
        <f t="shared" si="108"/>
        <v>Jun</v>
      </c>
      <c r="D2319" t="s">
        <v>77</v>
      </c>
      <c r="E2319" t="s">
        <v>40</v>
      </c>
      <c r="F2319" t="s">
        <v>234</v>
      </c>
      <c r="G2319">
        <v>2</v>
      </c>
      <c r="H2319" s="7">
        <v>29.68</v>
      </c>
      <c r="I2319" t="s">
        <v>46</v>
      </c>
      <c r="J2319" t="s">
        <v>22</v>
      </c>
      <c r="K2319">
        <v>15</v>
      </c>
      <c r="L2319" s="7">
        <f t="shared" si="109"/>
        <v>59.36</v>
      </c>
      <c r="M2319" s="7"/>
      <c r="O2319">
        <f t="shared" si="110"/>
        <v>2</v>
      </c>
      <c r="Q2319" t="s">
        <v>47</v>
      </c>
    </row>
    <row r="2320" spans="1:17" x14ac:dyDescent="0.3">
      <c r="A2320" t="s">
        <v>3381</v>
      </c>
      <c r="B2320" s="6">
        <v>45055</v>
      </c>
      <c r="C2320" s="6" t="str">
        <f t="shared" si="108"/>
        <v>May</v>
      </c>
      <c r="D2320" t="s">
        <v>926</v>
      </c>
      <c r="E2320" t="s">
        <v>50</v>
      </c>
      <c r="F2320" t="s">
        <v>409</v>
      </c>
      <c r="G2320">
        <v>5</v>
      </c>
      <c r="H2320" s="7">
        <v>303.69</v>
      </c>
      <c r="I2320" t="s">
        <v>19</v>
      </c>
      <c r="J2320" t="s">
        <v>22</v>
      </c>
      <c r="K2320">
        <v>0</v>
      </c>
      <c r="L2320" s="7">
        <f t="shared" si="109"/>
        <v>1518.45</v>
      </c>
      <c r="M2320" s="7"/>
      <c r="O2320">
        <f t="shared" si="110"/>
        <v>2</v>
      </c>
      <c r="Q2320" t="s">
        <v>19</v>
      </c>
    </row>
    <row r="2321" spans="1:17" x14ac:dyDescent="0.3">
      <c r="A2321" t="s">
        <v>3382</v>
      </c>
      <c r="B2321" s="6">
        <v>44936</v>
      </c>
      <c r="C2321" s="6" t="str">
        <f t="shared" si="108"/>
        <v>Jan</v>
      </c>
      <c r="D2321" t="s">
        <v>1430</v>
      </c>
      <c r="E2321" t="s">
        <v>19</v>
      </c>
      <c r="F2321" t="s">
        <v>420</v>
      </c>
      <c r="G2321">
        <v>4</v>
      </c>
      <c r="H2321" s="7">
        <v>404.36</v>
      </c>
      <c r="I2321" t="s">
        <v>64</v>
      </c>
      <c r="J2321" t="s">
        <v>87</v>
      </c>
      <c r="K2321">
        <v>5</v>
      </c>
      <c r="L2321" s="7">
        <f t="shared" si="109"/>
        <v>1617.44</v>
      </c>
      <c r="M2321" s="7"/>
      <c r="O2321">
        <f t="shared" si="110"/>
        <v>2</v>
      </c>
      <c r="Q2321" t="s">
        <v>65</v>
      </c>
    </row>
    <row r="2322" spans="1:17" x14ac:dyDescent="0.3">
      <c r="A2322" t="s">
        <v>3383</v>
      </c>
      <c r="B2322" s="6">
        <v>45055</v>
      </c>
      <c r="C2322" s="6" t="str">
        <f t="shared" si="108"/>
        <v>May</v>
      </c>
      <c r="D2322" t="s">
        <v>899</v>
      </c>
      <c r="E2322" t="s">
        <v>19</v>
      </c>
      <c r="F2322" t="s">
        <v>403</v>
      </c>
      <c r="G2322">
        <v>9</v>
      </c>
      <c r="H2322" s="7">
        <v>82.67</v>
      </c>
      <c r="I2322" t="s">
        <v>103</v>
      </c>
      <c r="J2322" t="s">
        <v>22</v>
      </c>
      <c r="K2322">
        <v>10</v>
      </c>
      <c r="L2322" s="7">
        <f t="shared" si="109"/>
        <v>744.03</v>
      </c>
      <c r="M2322" s="7"/>
      <c r="O2322">
        <f t="shared" si="110"/>
        <v>2</v>
      </c>
      <c r="Q2322" t="s">
        <v>104</v>
      </c>
    </row>
    <row r="2323" spans="1:17" x14ac:dyDescent="0.3">
      <c r="A2323" t="s">
        <v>3384</v>
      </c>
      <c r="B2323" s="6">
        <v>44984</v>
      </c>
      <c r="C2323" s="6" t="str">
        <f t="shared" si="108"/>
        <v>Feb</v>
      </c>
      <c r="D2323" t="s">
        <v>1140</v>
      </c>
      <c r="E2323" t="s">
        <v>19</v>
      </c>
      <c r="F2323" t="s">
        <v>968</v>
      </c>
      <c r="G2323">
        <v>7</v>
      </c>
      <c r="H2323" s="7">
        <v>12.44</v>
      </c>
      <c r="I2323" t="s">
        <v>46</v>
      </c>
      <c r="J2323" t="s">
        <v>28</v>
      </c>
      <c r="K2323">
        <v>10</v>
      </c>
      <c r="L2323" s="7">
        <f t="shared" si="109"/>
        <v>87.08</v>
      </c>
      <c r="M2323" s="7"/>
      <c r="O2323">
        <f t="shared" si="110"/>
        <v>2</v>
      </c>
      <c r="Q2323" t="s">
        <v>47</v>
      </c>
    </row>
    <row r="2324" spans="1:17" x14ac:dyDescent="0.3">
      <c r="A2324" t="s">
        <v>3385</v>
      </c>
      <c r="B2324" s="6">
        <v>45246</v>
      </c>
      <c r="C2324" s="6" t="str">
        <f t="shared" si="108"/>
        <v>Nov</v>
      </c>
      <c r="D2324" t="s">
        <v>3386</v>
      </c>
      <c r="E2324" t="s">
        <v>40</v>
      </c>
      <c r="F2324" t="s">
        <v>303</v>
      </c>
      <c r="G2324">
        <v>6</v>
      </c>
      <c r="H2324" s="7">
        <v>159.79</v>
      </c>
      <c r="I2324" t="s">
        <v>19</v>
      </c>
      <c r="J2324" t="s">
        <v>22</v>
      </c>
      <c r="K2324">
        <v>5</v>
      </c>
      <c r="L2324" s="7">
        <f t="shared" si="109"/>
        <v>958.74</v>
      </c>
      <c r="M2324" s="7"/>
      <c r="O2324">
        <f t="shared" si="110"/>
        <v>2</v>
      </c>
      <c r="Q2324" t="s">
        <v>19</v>
      </c>
    </row>
    <row r="2325" spans="1:17" x14ac:dyDescent="0.3">
      <c r="A2325" t="s">
        <v>3387</v>
      </c>
      <c r="B2325" s="6">
        <v>44927</v>
      </c>
      <c r="C2325" s="6" t="str">
        <f t="shared" si="108"/>
        <v>Jan</v>
      </c>
      <c r="D2325" t="s">
        <v>1060</v>
      </c>
      <c r="E2325" t="s">
        <v>62</v>
      </c>
      <c r="F2325" t="s">
        <v>1693</v>
      </c>
      <c r="G2325">
        <v>7</v>
      </c>
      <c r="H2325" s="7">
        <v>296.13</v>
      </c>
      <c r="I2325" t="s">
        <v>64</v>
      </c>
      <c r="J2325" t="s">
        <v>87</v>
      </c>
      <c r="K2325">
        <v>10</v>
      </c>
      <c r="L2325" s="7">
        <f t="shared" si="109"/>
        <v>2072.91</v>
      </c>
      <c r="M2325" s="7"/>
      <c r="O2325">
        <f t="shared" si="110"/>
        <v>2</v>
      </c>
      <c r="Q2325" t="s">
        <v>65</v>
      </c>
    </row>
    <row r="2326" spans="1:17" x14ac:dyDescent="0.3">
      <c r="A2326" t="s">
        <v>3388</v>
      </c>
      <c r="B2326" s="6">
        <v>45158</v>
      </c>
      <c r="C2326" s="6" t="str">
        <f t="shared" si="108"/>
        <v>Aug</v>
      </c>
      <c r="D2326" t="s">
        <v>897</v>
      </c>
      <c r="E2326" t="s">
        <v>62</v>
      </c>
      <c r="F2326" t="s">
        <v>359</v>
      </c>
      <c r="G2326">
        <v>1</v>
      </c>
      <c r="H2326" s="7">
        <v>73.45</v>
      </c>
      <c r="I2326" t="s">
        <v>32</v>
      </c>
      <c r="J2326" t="s">
        <v>87</v>
      </c>
      <c r="K2326">
        <v>10</v>
      </c>
      <c r="L2326" s="7">
        <f t="shared" si="109"/>
        <v>73.45</v>
      </c>
      <c r="M2326" s="7"/>
      <c r="O2326">
        <f t="shared" si="110"/>
        <v>2</v>
      </c>
      <c r="Q2326" t="s">
        <v>33</v>
      </c>
    </row>
    <row r="2327" spans="1:17" x14ac:dyDescent="0.3">
      <c r="A2327" t="s">
        <v>3389</v>
      </c>
      <c r="B2327" s="6">
        <v>45020</v>
      </c>
      <c r="C2327" s="6" t="str">
        <f t="shared" si="108"/>
        <v>Apr</v>
      </c>
      <c r="D2327" t="s">
        <v>866</v>
      </c>
      <c r="E2327" t="s">
        <v>36</v>
      </c>
      <c r="F2327" t="s">
        <v>511</v>
      </c>
      <c r="G2327">
        <v>1</v>
      </c>
      <c r="H2327" s="7">
        <v>215.93</v>
      </c>
      <c r="I2327" t="s">
        <v>21</v>
      </c>
      <c r="J2327" t="s">
        <v>19</v>
      </c>
      <c r="K2327">
        <v>10</v>
      </c>
      <c r="L2327" s="7">
        <f t="shared" si="109"/>
        <v>215.93</v>
      </c>
      <c r="M2327" s="7"/>
      <c r="O2327">
        <f t="shared" si="110"/>
        <v>2</v>
      </c>
      <c r="Q2327" t="s">
        <v>23</v>
      </c>
    </row>
    <row r="2328" spans="1:17" x14ac:dyDescent="0.3">
      <c r="A2328" t="s">
        <v>3390</v>
      </c>
      <c r="B2328" s="6">
        <v>45092</v>
      </c>
      <c r="C2328" s="6" t="str">
        <f t="shared" si="108"/>
        <v>Jun</v>
      </c>
      <c r="D2328" t="s">
        <v>3391</v>
      </c>
      <c r="E2328" t="s">
        <v>26</v>
      </c>
      <c r="F2328" t="s">
        <v>466</v>
      </c>
      <c r="G2328">
        <v>8</v>
      </c>
      <c r="H2328" s="7">
        <v>278.39999999999998</v>
      </c>
      <c r="I2328" t="s">
        <v>19</v>
      </c>
      <c r="J2328" t="s">
        <v>42</v>
      </c>
      <c r="K2328">
        <v>10</v>
      </c>
      <c r="L2328" s="7">
        <f t="shared" si="109"/>
        <v>2227.1999999999998</v>
      </c>
      <c r="M2328" s="7"/>
      <c r="O2328">
        <f t="shared" si="110"/>
        <v>2</v>
      </c>
      <c r="Q2328" t="s">
        <v>19</v>
      </c>
    </row>
    <row r="2329" spans="1:17" x14ac:dyDescent="0.3">
      <c r="A2329" t="s">
        <v>3392</v>
      </c>
      <c r="B2329" s="6">
        <v>45048</v>
      </c>
      <c r="C2329" s="6" t="str">
        <f t="shared" si="108"/>
        <v>May</v>
      </c>
      <c r="D2329" t="s">
        <v>3059</v>
      </c>
      <c r="E2329" t="s">
        <v>50</v>
      </c>
      <c r="F2329" t="s">
        <v>662</v>
      </c>
      <c r="G2329">
        <v>2</v>
      </c>
      <c r="H2329" s="7">
        <v>301.45</v>
      </c>
      <c r="I2329" t="s">
        <v>21</v>
      </c>
      <c r="J2329" t="s">
        <v>42</v>
      </c>
      <c r="K2329">
        <v>5</v>
      </c>
      <c r="L2329" s="7">
        <f t="shared" si="109"/>
        <v>602.9</v>
      </c>
      <c r="M2329" s="7"/>
      <c r="O2329">
        <f t="shared" si="110"/>
        <v>2</v>
      </c>
      <c r="Q2329" t="s">
        <v>23</v>
      </c>
    </row>
    <row r="2330" spans="1:17" x14ac:dyDescent="0.3">
      <c r="A2330" t="s">
        <v>3393</v>
      </c>
      <c r="B2330" s="6">
        <v>44945</v>
      </c>
      <c r="C2330" s="6" t="str">
        <f t="shared" si="108"/>
        <v>Jan</v>
      </c>
      <c r="D2330" t="s">
        <v>1163</v>
      </c>
      <c r="E2330" t="s">
        <v>40</v>
      </c>
      <c r="F2330" t="s">
        <v>125</v>
      </c>
      <c r="G2330">
        <v>9</v>
      </c>
      <c r="H2330" s="7">
        <v>140.83000000000001</v>
      </c>
      <c r="I2330" t="s">
        <v>103</v>
      </c>
      <c r="J2330" t="s">
        <v>22</v>
      </c>
      <c r="K2330">
        <v>0</v>
      </c>
      <c r="L2330" s="7">
        <f t="shared" si="109"/>
        <v>1267.47</v>
      </c>
      <c r="M2330" s="7"/>
      <c r="O2330">
        <f t="shared" si="110"/>
        <v>2</v>
      </c>
      <c r="Q2330" t="s">
        <v>104</v>
      </c>
    </row>
    <row r="2331" spans="1:17" x14ac:dyDescent="0.3">
      <c r="A2331" t="s">
        <v>3394</v>
      </c>
      <c r="B2331" s="6">
        <v>45178</v>
      </c>
      <c r="C2331" s="6" t="str">
        <f t="shared" si="108"/>
        <v>Sep</v>
      </c>
      <c r="D2331" t="s">
        <v>115</v>
      </c>
      <c r="E2331" t="s">
        <v>19</v>
      </c>
      <c r="F2331" t="s">
        <v>176</v>
      </c>
      <c r="G2331">
        <v>7</v>
      </c>
      <c r="H2331" s="7">
        <v>203.01</v>
      </c>
      <c r="I2331" t="s">
        <v>103</v>
      </c>
      <c r="J2331" t="s">
        <v>42</v>
      </c>
      <c r="K2331">
        <v>10</v>
      </c>
      <c r="L2331" s="7">
        <f t="shared" si="109"/>
        <v>1421.07</v>
      </c>
      <c r="M2331" s="7"/>
      <c r="O2331">
        <f t="shared" si="110"/>
        <v>2</v>
      </c>
      <c r="Q2331" t="s">
        <v>104</v>
      </c>
    </row>
    <row r="2332" spans="1:17" x14ac:dyDescent="0.3">
      <c r="A2332" t="s">
        <v>3395</v>
      </c>
      <c r="B2332" s="6">
        <v>44994</v>
      </c>
      <c r="C2332" s="6" t="str">
        <f t="shared" si="108"/>
        <v>Mar</v>
      </c>
      <c r="D2332" t="s">
        <v>1163</v>
      </c>
      <c r="E2332" t="s">
        <v>36</v>
      </c>
      <c r="F2332" t="s">
        <v>341</v>
      </c>
      <c r="G2332">
        <v>6</v>
      </c>
      <c r="H2332" s="7">
        <v>390.28</v>
      </c>
      <c r="I2332" t="s">
        <v>32</v>
      </c>
      <c r="J2332" t="s">
        <v>87</v>
      </c>
      <c r="K2332">
        <v>15</v>
      </c>
      <c r="L2332" s="7">
        <f t="shared" si="109"/>
        <v>2341.6799999999998</v>
      </c>
      <c r="M2332" s="7"/>
      <c r="O2332">
        <f t="shared" si="110"/>
        <v>2</v>
      </c>
      <c r="Q2332" t="s">
        <v>33</v>
      </c>
    </row>
    <row r="2333" spans="1:17" x14ac:dyDescent="0.3">
      <c r="A2333" t="s">
        <v>3396</v>
      </c>
      <c r="B2333" s="6">
        <v>45077</v>
      </c>
      <c r="C2333" s="6" t="str">
        <f t="shared" si="108"/>
        <v>May</v>
      </c>
      <c r="D2333" t="s">
        <v>650</v>
      </c>
      <c r="E2333" t="s">
        <v>19</v>
      </c>
      <c r="F2333" t="s">
        <v>1194</v>
      </c>
      <c r="G2333">
        <v>1</v>
      </c>
      <c r="H2333" s="7">
        <v>470.9</v>
      </c>
      <c r="I2333" t="s">
        <v>46</v>
      </c>
      <c r="J2333" t="s">
        <v>87</v>
      </c>
      <c r="K2333">
        <v>5</v>
      </c>
      <c r="L2333" s="7">
        <f t="shared" si="109"/>
        <v>470.9</v>
      </c>
      <c r="M2333" s="7"/>
      <c r="O2333">
        <f t="shared" si="110"/>
        <v>2</v>
      </c>
      <c r="Q2333" t="s">
        <v>47</v>
      </c>
    </row>
    <row r="2334" spans="1:17" x14ac:dyDescent="0.3">
      <c r="A2334" t="s">
        <v>3397</v>
      </c>
      <c r="B2334" s="6">
        <v>44928</v>
      </c>
      <c r="C2334" s="6" t="str">
        <f t="shared" si="108"/>
        <v>Jan</v>
      </c>
      <c r="D2334" t="s">
        <v>1958</v>
      </c>
      <c r="E2334" t="s">
        <v>36</v>
      </c>
      <c r="F2334" t="s">
        <v>160</v>
      </c>
      <c r="G2334">
        <v>1</v>
      </c>
      <c r="H2334" s="7">
        <v>431.63</v>
      </c>
      <c r="I2334" t="s">
        <v>64</v>
      </c>
      <c r="J2334" t="s">
        <v>28</v>
      </c>
      <c r="K2334">
        <v>20</v>
      </c>
      <c r="L2334" s="7">
        <f t="shared" si="109"/>
        <v>431.63</v>
      </c>
      <c r="M2334" s="7"/>
      <c r="O2334">
        <f t="shared" si="110"/>
        <v>2</v>
      </c>
      <c r="Q2334" t="s">
        <v>65</v>
      </c>
    </row>
    <row r="2335" spans="1:17" x14ac:dyDescent="0.3">
      <c r="A2335" t="s">
        <v>3398</v>
      </c>
      <c r="B2335" s="6">
        <v>45233</v>
      </c>
      <c r="C2335" s="6" t="str">
        <f t="shared" si="108"/>
        <v>Nov</v>
      </c>
      <c r="D2335" t="s">
        <v>737</v>
      </c>
      <c r="E2335" t="s">
        <v>62</v>
      </c>
      <c r="F2335" t="s">
        <v>445</v>
      </c>
      <c r="G2335">
        <v>2</v>
      </c>
      <c r="H2335" s="7">
        <v>284.32</v>
      </c>
      <c r="I2335" t="s">
        <v>46</v>
      </c>
      <c r="J2335" t="s">
        <v>22</v>
      </c>
      <c r="K2335">
        <v>10</v>
      </c>
      <c r="L2335" s="7">
        <f t="shared" si="109"/>
        <v>568.64</v>
      </c>
      <c r="M2335" s="7"/>
      <c r="O2335">
        <f t="shared" si="110"/>
        <v>2</v>
      </c>
      <c r="Q2335" t="s">
        <v>47</v>
      </c>
    </row>
    <row r="2336" spans="1:17" x14ac:dyDescent="0.3">
      <c r="A2336" t="s">
        <v>3399</v>
      </c>
      <c r="B2336" s="6">
        <v>45238</v>
      </c>
      <c r="C2336" s="6" t="str">
        <f t="shared" si="108"/>
        <v>Nov</v>
      </c>
      <c r="D2336" t="s">
        <v>3400</v>
      </c>
      <c r="E2336" t="s">
        <v>26</v>
      </c>
      <c r="F2336" t="s">
        <v>137</v>
      </c>
      <c r="G2336">
        <v>6</v>
      </c>
      <c r="H2336" s="7">
        <v>208.09</v>
      </c>
      <c r="I2336" t="s">
        <v>21</v>
      </c>
      <c r="J2336" t="s">
        <v>42</v>
      </c>
      <c r="K2336">
        <v>5</v>
      </c>
      <c r="L2336" s="7">
        <f t="shared" si="109"/>
        <v>1248.54</v>
      </c>
      <c r="M2336" s="7"/>
      <c r="O2336">
        <f t="shared" si="110"/>
        <v>2</v>
      </c>
      <c r="Q2336" t="s">
        <v>23</v>
      </c>
    </row>
    <row r="2337" spans="1:17" x14ac:dyDescent="0.3">
      <c r="A2337" t="s">
        <v>3401</v>
      </c>
      <c r="B2337" s="6">
        <v>45279</v>
      </c>
      <c r="C2337" s="6" t="str">
        <f t="shared" si="108"/>
        <v>Dec</v>
      </c>
      <c r="D2337" t="s">
        <v>883</v>
      </c>
      <c r="E2337" t="s">
        <v>36</v>
      </c>
      <c r="F2337" t="s">
        <v>246</v>
      </c>
      <c r="G2337">
        <v>6</v>
      </c>
      <c r="H2337" s="7">
        <v>169.81</v>
      </c>
      <c r="I2337" t="s">
        <v>21</v>
      </c>
      <c r="J2337" t="s">
        <v>72</v>
      </c>
      <c r="K2337">
        <v>0</v>
      </c>
      <c r="L2337" s="7">
        <f t="shared" si="109"/>
        <v>1018.86</v>
      </c>
      <c r="M2337" s="7"/>
      <c r="O2337">
        <f t="shared" si="110"/>
        <v>2</v>
      </c>
      <c r="Q2337" t="s">
        <v>23</v>
      </c>
    </row>
    <row r="2338" spans="1:17" x14ac:dyDescent="0.3">
      <c r="A2338" t="s">
        <v>3402</v>
      </c>
      <c r="B2338" s="6">
        <v>45127</v>
      </c>
      <c r="C2338" s="6" t="str">
        <f t="shared" si="108"/>
        <v>Jul</v>
      </c>
      <c r="D2338" t="s">
        <v>1240</v>
      </c>
      <c r="E2338" t="s">
        <v>31</v>
      </c>
      <c r="F2338" t="s">
        <v>369</v>
      </c>
      <c r="G2338">
        <v>2</v>
      </c>
      <c r="H2338" s="7">
        <v>66.849999999999994</v>
      </c>
      <c r="I2338" t="s">
        <v>64</v>
      </c>
      <c r="J2338" t="s">
        <v>19</v>
      </c>
      <c r="K2338">
        <v>5</v>
      </c>
      <c r="L2338" s="7">
        <f t="shared" si="109"/>
        <v>133.69999999999999</v>
      </c>
      <c r="M2338" s="7"/>
      <c r="O2338">
        <f t="shared" si="110"/>
        <v>2</v>
      </c>
      <c r="Q2338" t="s">
        <v>65</v>
      </c>
    </row>
    <row r="2339" spans="1:17" x14ac:dyDescent="0.3">
      <c r="A2339" t="s">
        <v>3403</v>
      </c>
      <c r="B2339" s="6">
        <v>45071</v>
      </c>
      <c r="C2339" s="6" t="str">
        <f t="shared" si="108"/>
        <v>May</v>
      </c>
      <c r="D2339" t="s">
        <v>259</v>
      </c>
      <c r="E2339" t="s">
        <v>26</v>
      </c>
      <c r="F2339" t="s">
        <v>619</v>
      </c>
      <c r="G2339">
        <v>1</v>
      </c>
      <c r="H2339" s="7">
        <v>57.74</v>
      </c>
      <c r="I2339" t="s">
        <v>46</v>
      </c>
      <c r="J2339" t="s">
        <v>19</v>
      </c>
      <c r="K2339">
        <v>20</v>
      </c>
      <c r="L2339" s="7">
        <f t="shared" si="109"/>
        <v>57.74</v>
      </c>
      <c r="M2339" s="7"/>
      <c r="O2339">
        <f t="shared" si="110"/>
        <v>2</v>
      </c>
      <c r="Q2339" t="s">
        <v>47</v>
      </c>
    </row>
    <row r="2340" spans="1:17" x14ac:dyDescent="0.3">
      <c r="A2340" t="s">
        <v>3404</v>
      </c>
      <c r="B2340" s="6">
        <v>44972</v>
      </c>
      <c r="C2340" s="6" t="str">
        <f t="shared" si="108"/>
        <v>Feb</v>
      </c>
      <c r="D2340" t="s">
        <v>1705</v>
      </c>
      <c r="E2340" t="s">
        <v>40</v>
      </c>
      <c r="F2340" t="s">
        <v>316</v>
      </c>
      <c r="G2340">
        <v>5</v>
      </c>
      <c r="H2340" s="7">
        <v>345.74</v>
      </c>
      <c r="I2340" t="s">
        <v>103</v>
      </c>
      <c r="J2340" t="s">
        <v>22</v>
      </c>
      <c r="K2340">
        <v>10</v>
      </c>
      <c r="L2340" s="7">
        <f t="shared" si="109"/>
        <v>1728.7</v>
      </c>
      <c r="M2340" s="7"/>
      <c r="O2340">
        <f t="shared" si="110"/>
        <v>2</v>
      </c>
      <c r="Q2340" t="s">
        <v>104</v>
      </c>
    </row>
    <row r="2341" spans="1:17" x14ac:dyDescent="0.3">
      <c r="A2341" t="s">
        <v>3405</v>
      </c>
      <c r="B2341" s="6">
        <v>45163</v>
      </c>
      <c r="C2341" s="6" t="str">
        <f t="shared" si="108"/>
        <v>Aug</v>
      </c>
      <c r="D2341" t="s">
        <v>641</v>
      </c>
      <c r="E2341" t="s">
        <v>19</v>
      </c>
      <c r="F2341" t="s">
        <v>54</v>
      </c>
      <c r="G2341">
        <v>5</v>
      </c>
      <c r="H2341" s="7">
        <v>133.6</v>
      </c>
      <c r="I2341" t="s">
        <v>64</v>
      </c>
      <c r="J2341" t="s">
        <v>87</v>
      </c>
      <c r="K2341">
        <v>15</v>
      </c>
      <c r="L2341" s="7">
        <f t="shared" si="109"/>
        <v>668</v>
      </c>
      <c r="M2341" s="7"/>
      <c r="O2341">
        <f t="shared" si="110"/>
        <v>2</v>
      </c>
      <c r="Q2341" t="s">
        <v>65</v>
      </c>
    </row>
    <row r="2342" spans="1:17" x14ac:dyDescent="0.3">
      <c r="A2342" t="s">
        <v>3406</v>
      </c>
      <c r="B2342" s="6">
        <v>45194</v>
      </c>
      <c r="C2342" s="6" t="str">
        <f t="shared" si="108"/>
        <v>Sep</v>
      </c>
      <c r="D2342" t="s">
        <v>3304</v>
      </c>
      <c r="E2342" t="s">
        <v>62</v>
      </c>
      <c r="F2342" t="s">
        <v>420</v>
      </c>
      <c r="G2342">
        <v>2</v>
      </c>
      <c r="H2342" s="7">
        <v>131.06</v>
      </c>
      <c r="I2342" t="s">
        <v>21</v>
      </c>
      <c r="J2342" t="s">
        <v>72</v>
      </c>
      <c r="K2342">
        <v>20</v>
      </c>
      <c r="L2342" s="7">
        <f t="shared" si="109"/>
        <v>262.12</v>
      </c>
      <c r="M2342" s="7"/>
      <c r="O2342">
        <f t="shared" si="110"/>
        <v>2</v>
      </c>
      <c r="Q2342" t="s">
        <v>23</v>
      </c>
    </row>
    <row r="2343" spans="1:17" x14ac:dyDescent="0.3">
      <c r="A2343" t="s">
        <v>3407</v>
      </c>
      <c r="B2343" s="6">
        <v>44956</v>
      </c>
      <c r="C2343" s="6" t="str">
        <f t="shared" si="108"/>
        <v>Jan</v>
      </c>
      <c r="D2343" t="s">
        <v>571</v>
      </c>
      <c r="E2343" t="s">
        <v>36</v>
      </c>
      <c r="F2343" t="s">
        <v>684</v>
      </c>
      <c r="G2343">
        <v>6</v>
      </c>
      <c r="H2343" s="7">
        <v>499.11</v>
      </c>
      <c r="I2343" t="s">
        <v>32</v>
      </c>
      <c r="J2343" t="s">
        <v>19</v>
      </c>
      <c r="K2343">
        <v>5</v>
      </c>
      <c r="L2343" s="7">
        <f t="shared" si="109"/>
        <v>2994.66</v>
      </c>
      <c r="M2343" s="7"/>
      <c r="O2343">
        <f t="shared" si="110"/>
        <v>3</v>
      </c>
      <c r="Q2343" t="s">
        <v>33</v>
      </c>
    </row>
    <row r="2344" spans="1:17" x14ac:dyDescent="0.3">
      <c r="A2344" t="s">
        <v>3408</v>
      </c>
      <c r="B2344" s="6">
        <v>44956</v>
      </c>
      <c r="C2344" s="6" t="str">
        <f t="shared" si="108"/>
        <v>Jan</v>
      </c>
      <c r="D2344" t="s">
        <v>3409</v>
      </c>
      <c r="E2344" t="s">
        <v>26</v>
      </c>
      <c r="F2344" t="s">
        <v>1038</v>
      </c>
      <c r="G2344">
        <v>9</v>
      </c>
      <c r="H2344" s="7">
        <v>98.02</v>
      </c>
      <c r="I2344" t="s">
        <v>19</v>
      </c>
      <c r="J2344" t="s">
        <v>72</v>
      </c>
      <c r="K2344">
        <v>20</v>
      </c>
      <c r="L2344" s="7">
        <f t="shared" si="109"/>
        <v>882.18</v>
      </c>
      <c r="M2344" s="7"/>
      <c r="O2344">
        <f t="shared" si="110"/>
        <v>2</v>
      </c>
      <c r="Q2344" t="s">
        <v>19</v>
      </c>
    </row>
    <row r="2345" spans="1:17" x14ac:dyDescent="0.3">
      <c r="A2345" t="s">
        <v>3410</v>
      </c>
      <c r="B2345" s="6">
        <v>44940</v>
      </c>
      <c r="C2345" s="6" t="str">
        <f t="shared" si="108"/>
        <v>Jan</v>
      </c>
      <c r="D2345" t="s">
        <v>1050</v>
      </c>
      <c r="E2345" t="s">
        <v>36</v>
      </c>
      <c r="F2345" t="s">
        <v>749</v>
      </c>
      <c r="G2345">
        <v>2</v>
      </c>
      <c r="H2345" s="7">
        <v>78.290000000000006</v>
      </c>
      <c r="I2345" t="s">
        <v>103</v>
      </c>
      <c r="J2345" t="s">
        <v>42</v>
      </c>
      <c r="K2345">
        <v>5</v>
      </c>
      <c r="L2345" s="7">
        <f t="shared" si="109"/>
        <v>156.58000000000001</v>
      </c>
      <c r="M2345" s="7"/>
      <c r="O2345">
        <f t="shared" si="110"/>
        <v>2</v>
      </c>
      <c r="Q2345" t="s">
        <v>104</v>
      </c>
    </row>
    <row r="2346" spans="1:17" x14ac:dyDescent="0.3">
      <c r="A2346" t="s">
        <v>3411</v>
      </c>
      <c r="B2346" s="6">
        <v>45150</v>
      </c>
      <c r="C2346" s="6" t="str">
        <f t="shared" si="108"/>
        <v>Aug</v>
      </c>
      <c r="D2346" t="s">
        <v>96</v>
      </c>
      <c r="E2346" t="s">
        <v>19</v>
      </c>
      <c r="F2346" t="s">
        <v>81</v>
      </c>
      <c r="G2346">
        <v>2</v>
      </c>
      <c r="H2346" s="7">
        <v>53.85</v>
      </c>
      <c r="I2346" t="s">
        <v>21</v>
      </c>
      <c r="J2346" t="s">
        <v>87</v>
      </c>
      <c r="K2346">
        <v>15</v>
      </c>
      <c r="L2346" s="7">
        <f t="shared" si="109"/>
        <v>107.7</v>
      </c>
      <c r="M2346" s="7"/>
      <c r="O2346">
        <f t="shared" si="110"/>
        <v>2</v>
      </c>
      <c r="Q2346" t="s">
        <v>23</v>
      </c>
    </row>
    <row r="2347" spans="1:17" x14ac:dyDescent="0.3">
      <c r="A2347" t="s">
        <v>3412</v>
      </c>
      <c r="B2347" s="6">
        <v>44964</v>
      </c>
      <c r="C2347" s="6" t="str">
        <f t="shared" si="108"/>
        <v>Feb</v>
      </c>
      <c r="D2347" t="s">
        <v>1988</v>
      </c>
      <c r="E2347" t="s">
        <v>26</v>
      </c>
      <c r="F2347" t="s">
        <v>415</v>
      </c>
      <c r="G2347">
        <v>3</v>
      </c>
      <c r="H2347" s="7">
        <v>292</v>
      </c>
      <c r="I2347" t="s">
        <v>32</v>
      </c>
      <c r="J2347" t="s">
        <v>19</v>
      </c>
      <c r="K2347">
        <v>15</v>
      </c>
      <c r="L2347" s="7">
        <f t="shared" si="109"/>
        <v>876</v>
      </c>
      <c r="M2347" s="7"/>
      <c r="O2347">
        <f t="shared" si="110"/>
        <v>2</v>
      </c>
      <c r="Q2347" t="s">
        <v>33</v>
      </c>
    </row>
    <row r="2348" spans="1:17" x14ac:dyDescent="0.3">
      <c r="A2348" t="s">
        <v>3413</v>
      </c>
      <c r="B2348" s="6">
        <v>45029</v>
      </c>
      <c r="C2348" s="6" t="str">
        <f t="shared" si="108"/>
        <v>Apr</v>
      </c>
      <c r="D2348" t="s">
        <v>2458</v>
      </c>
      <c r="E2348" t="s">
        <v>19</v>
      </c>
      <c r="F2348" t="s">
        <v>807</v>
      </c>
      <c r="G2348">
        <v>7</v>
      </c>
      <c r="H2348" s="7">
        <v>315.79000000000002</v>
      </c>
      <c r="I2348" t="s">
        <v>21</v>
      </c>
      <c r="J2348" t="s">
        <v>87</v>
      </c>
      <c r="K2348">
        <v>0</v>
      </c>
      <c r="L2348" s="7">
        <f t="shared" si="109"/>
        <v>2210.5300000000002</v>
      </c>
      <c r="M2348" s="7"/>
      <c r="O2348">
        <f t="shared" si="110"/>
        <v>2</v>
      </c>
      <c r="Q2348" t="s">
        <v>23</v>
      </c>
    </row>
    <row r="2349" spans="1:17" x14ac:dyDescent="0.3">
      <c r="A2349" t="s">
        <v>3414</v>
      </c>
      <c r="B2349" s="6">
        <v>45185</v>
      </c>
      <c r="C2349" s="6" t="str">
        <f t="shared" si="108"/>
        <v>Sep</v>
      </c>
      <c r="D2349" t="s">
        <v>1591</v>
      </c>
      <c r="E2349" t="s">
        <v>26</v>
      </c>
      <c r="F2349" t="s">
        <v>1142</v>
      </c>
      <c r="G2349">
        <v>6</v>
      </c>
      <c r="H2349" s="7">
        <v>185.79</v>
      </c>
      <c r="I2349" t="s">
        <v>103</v>
      </c>
      <c r="J2349" t="s">
        <v>22</v>
      </c>
      <c r="K2349">
        <v>15</v>
      </c>
      <c r="L2349" s="7">
        <f t="shared" si="109"/>
        <v>1114.74</v>
      </c>
      <c r="M2349" s="7"/>
      <c r="O2349">
        <f t="shared" si="110"/>
        <v>2</v>
      </c>
      <c r="Q2349" t="s">
        <v>104</v>
      </c>
    </row>
    <row r="2350" spans="1:17" x14ac:dyDescent="0.3">
      <c r="A2350" t="s">
        <v>3415</v>
      </c>
      <c r="B2350" s="6">
        <v>44945</v>
      </c>
      <c r="C2350" s="6" t="str">
        <f t="shared" si="108"/>
        <v>Jan</v>
      </c>
      <c r="D2350" t="s">
        <v>863</v>
      </c>
      <c r="E2350" t="s">
        <v>19</v>
      </c>
      <c r="F2350" t="s">
        <v>267</v>
      </c>
      <c r="G2350">
        <v>8</v>
      </c>
      <c r="H2350" s="7">
        <v>270.02999999999997</v>
      </c>
      <c r="I2350" t="s">
        <v>103</v>
      </c>
      <c r="J2350" t="s">
        <v>22</v>
      </c>
      <c r="K2350">
        <v>10</v>
      </c>
      <c r="L2350" s="7">
        <f t="shared" si="109"/>
        <v>2160.2399999999998</v>
      </c>
      <c r="M2350" s="7"/>
      <c r="O2350">
        <f t="shared" si="110"/>
        <v>2</v>
      </c>
      <c r="Q2350" t="s">
        <v>104</v>
      </c>
    </row>
    <row r="2351" spans="1:17" x14ac:dyDescent="0.3">
      <c r="A2351" t="s">
        <v>3416</v>
      </c>
      <c r="B2351" s="6">
        <v>44954</v>
      </c>
      <c r="C2351" s="6" t="str">
        <f t="shared" si="108"/>
        <v>Jan</v>
      </c>
      <c r="D2351" t="s">
        <v>809</v>
      </c>
      <c r="E2351" t="s">
        <v>40</v>
      </c>
      <c r="F2351" t="s">
        <v>278</v>
      </c>
      <c r="G2351">
        <v>8</v>
      </c>
      <c r="H2351" s="7">
        <v>395.26</v>
      </c>
      <c r="I2351" t="s">
        <v>32</v>
      </c>
      <c r="J2351" t="s">
        <v>87</v>
      </c>
      <c r="K2351">
        <v>20</v>
      </c>
      <c r="L2351" s="7">
        <f t="shared" si="109"/>
        <v>3162.08</v>
      </c>
      <c r="M2351" s="7"/>
      <c r="O2351">
        <f t="shared" si="110"/>
        <v>4</v>
      </c>
      <c r="Q2351" t="s">
        <v>33</v>
      </c>
    </row>
    <row r="2352" spans="1:17" x14ac:dyDescent="0.3">
      <c r="A2352" t="s">
        <v>3417</v>
      </c>
      <c r="B2352" s="6">
        <v>45250</v>
      </c>
      <c r="C2352" s="6" t="str">
        <f t="shared" si="108"/>
        <v>Nov</v>
      </c>
      <c r="D2352" t="s">
        <v>1175</v>
      </c>
      <c r="E2352" t="s">
        <v>19</v>
      </c>
      <c r="F2352" t="s">
        <v>366</v>
      </c>
      <c r="G2352">
        <v>6</v>
      </c>
      <c r="H2352" s="7">
        <v>409.96</v>
      </c>
      <c r="I2352" t="s">
        <v>46</v>
      </c>
      <c r="J2352" t="s">
        <v>42</v>
      </c>
      <c r="K2352">
        <v>20</v>
      </c>
      <c r="L2352" s="7">
        <f t="shared" si="109"/>
        <v>2459.7599999999998</v>
      </c>
      <c r="M2352" s="7"/>
      <c r="O2352">
        <f t="shared" si="110"/>
        <v>2</v>
      </c>
      <c r="Q2352" t="s">
        <v>47</v>
      </c>
    </row>
    <row r="2353" spans="1:17" x14ac:dyDescent="0.3">
      <c r="A2353" t="s">
        <v>3418</v>
      </c>
      <c r="B2353" s="6">
        <v>45227</v>
      </c>
      <c r="C2353" s="6" t="str">
        <f t="shared" si="108"/>
        <v>Oct</v>
      </c>
      <c r="D2353" t="s">
        <v>440</v>
      </c>
      <c r="E2353" t="s">
        <v>19</v>
      </c>
      <c r="F2353" t="s">
        <v>586</v>
      </c>
      <c r="G2353">
        <v>3</v>
      </c>
      <c r="H2353" s="7">
        <v>479.17</v>
      </c>
      <c r="I2353" t="s">
        <v>46</v>
      </c>
      <c r="J2353" t="s">
        <v>87</v>
      </c>
      <c r="K2353">
        <v>5</v>
      </c>
      <c r="L2353" s="7">
        <f t="shared" si="109"/>
        <v>1437.51</v>
      </c>
      <c r="M2353" s="7"/>
      <c r="O2353">
        <f t="shared" si="110"/>
        <v>2</v>
      </c>
      <c r="Q2353" t="s">
        <v>47</v>
      </c>
    </row>
    <row r="2354" spans="1:17" x14ac:dyDescent="0.3">
      <c r="A2354" t="s">
        <v>3419</v>
      </c>
      <c r="B2354" s="6">
        <v>45266</v>
      </c>
      <c r="C2354" s="6" t="str">
        <f t="shared" si="108"/>
        <v>Dec</v>
      </c>
      <c r="D2354" t="s">
        <v>1355</v>
      </c>
      <c r="E2354" t="s">
        <v>40</v>
      </c>
      <c r="F2354" t="s">
        <v>84</v>
      </c>
      <c r="G2354">
        <v>3</v>
      </c>
      <c r="H2354" s="7">
        <v>413.01</v>
      </c>
      <c r="I2354" t="s">
        <v>103</v>
      </c>
      <c r="J2354" t="s">
        <v>19</v>
      </c>
      <c r="K2354">
        <v>15</v>
      </c>
      <c r="L2354" s="7">
        <f t="shared" si="109"/>
        <v>1239.03</v>
      </c>
      <c r="M2354" s="7"/>
      <c r="O2354">
        <f t="shared" si="110"/>
        <v>2</v>
      </c>
      <c r="Q2354" t="s">
        <v>104</v>
      </c>
    </row>
    <row r="2355" spans="1:17" x14ac:dyDescent="0.3">
      <c r="A2355" t="s">
        <v>3420</v>
      </c>
      <c r="B2355" s="6">
        <v>44951</v>
      </c>
      <c r="C2355" s="6" t="str">
        <f t="shared" si="108"/>
        <v>Jan</v>
      </c>
      <c r="D2355" t="s">
        <v>1848</v>
      </c>
      <c r="E2355" t="s">
        <v>19</v>
      </c>
      <c r="F2355" t="s">
        <v>298</v>
      </c>
      <c r="G2355">
        <v>1</v>
      </c>
      <c r="H2355" s="7">
        <v>284.60000000000002</v>
      </c>
      <c r="I2355" t="s">
        <v>21</v>
      </c>
      <c r="J2355" t="s">
        <v>22</v>
      </c>
      <c r="K2355">
        <v>0</v>
      </c>
      <c r="L2355" s="7">
        <f t="shared" si="109"/>
        <v>284.60000000000002</v>
      </c>
      <c r="M2355" s="7"/>
      <c r="O2355">
        <f t="shared" si="110"/>
        <v>2</v>
      </c>
      <c r="Q2355" t="s">
        <v>23</v>
      </c>
    </row>
    <row r="2356" spans="1:17" x14ac:dyDescent="0.3">
      <c r="A2356" t="s">
        <v>3421</v>
      </c>
      <c r="B2356" s="6">
        <v>44964</v>
      </c>
      <c r="C2356" s="6" t="str">
        <f t="shared" si="108"/>
        <v>Feb</v>
      </c>
      <c r="D2356" t="s">
        <v>115</v>
      </c>
      <c r="E2356" t="s">
        <v>36</v>
      </c>
      <c r="F2356" t="s">
        <v>409</v>
      </c>
      <c r="G2356">
        <v>7</v>
      </c>
      <c r="H2356" s="7">
        <v>93.93</v>
      </c>
      <c r="I2356" t="s">
        <v>32</v>
      </c>
      <c r="J2356" t="s">
        <v>72</v>
      </c>
      <c r="K2356">
        <v>0</v>
      </c>
      <c r="L2356" s="7">
        <f t="shared" si="109"/>
        <v>657.51</v>
      </c>
      <c r="M2356" s="7"/>
      <c r="O2356">
        <f t="shared" si="110"/>
        <v>2</v>
      </c>
      <c r="Q2356" t="s">
        <v>33</v>
      </c>
    </row>
    <row r="2357" spans="1:17" x14ac:dyDescent="0.3">
      <c r="A2357" t="s">
        <v>3422</v>
      </c>
      <c r="B2357" s="6">
        <v>45262</v>
      </c>
      <c r="C2357" s="6" t="str">
        <f t="shared" si="108"/>
        <v>Dec</v>
      </c>
      <c r="D2357" t="s">
        <v>1635</v>
      </c>
      <c r="E2357" t="s">
        <v>19</v>
      </c>
      <c r="F2357" t="s">
        <v>78</v>
      </c>
      <c r="G2357">
        <v>5</v>
      </c>
      <c r="H2357" s="7">
        <v>54.38</v>
      </c>
      <c r="I2357" t="s">
        <v>46</v>
      </c>
      <c r="J2357" t="s">
        <v>72</v>
      </c>
      <c r="K2357">
        <v>0</v>
      </c>
      <c r="L2357" s="7">
        <f t="shared" si="109"/>
        <v>271.90000000000003</v>
      </c>
      <c r="M2357" s="7"/>
      <c r="O2357">
        <f t="shared" si="110"/>
        <v>2</v>
      </c>
      <c r="Q2357" t="s">
        <v>47</v>
      </c>
    </row>
    <row r="2358" spans="1:17" x14ac:dyDescent="0.3">
      <c r="A2358" t="s">
        <v>3423</v>
      </c>
      <c r="B2358" s="6">
        <v>44966</v>
      </c>
      <c r="C2358" s="6" t="str">
        <f t="shared" si="108"/>
        <v>Feb</v>
      </c>
      <c r="D2358" t="s">
        <v>1525</v>
      </c>
      <c r="E2358" t="s">
        <v>19</v>
      </c>
      <c r="F2358" t="s">
        <v>698</v>
      </c>
      <c r="G2358">
        <v>4</v>
      </c>
      <c r="H2358" s="7">
        <v>31.98</v>
      </c>
      <c r="I2358" t="s">
        <v>21</v>
      </c>
      <c r="J2358" t="s">
        <v>42</v>
      </c>
      <c r="K2358">
        <v>10</v>
      </c>
      <c r="L2358" s="7">
        <f t="shared" si="109"/>
        <v>127.92</v>
      </c>
      <c r="M2358" s="7"/>
      <c r="O2358">
        <f t="shared" si="110"/>
        <v>2</v>
      </c>
      <c r="Q2358" t="s">
        <v>23</v>
      </c>
    </row>
    <row r="2359" spans="1:17" x14ac:dyDescent="0.3">
      <c r="A2359" t="s">
        <v>3424</v>
      </c>
      <c r="B2359" s="6">
        <v>44941</v>
      </c>
      <c r="C2359" s="6" t="str">
        <f t="shared" si="108"/>
        <v>Jan</v>
      </c>
      <c r="D2359" t="s">
        <v>1052</v>
      </c>
      <c r="E2359" t="s">
        <v>40</v>
      </c>
      <c r="F2359" t="s">
        <v>488</v>
      </c>
      <c r="G2359">
        <v>4</v>
      </c>
      <c r="H2359" s="7">
        <v>334.93</v>
      </c>
      <c r="I2359" t="s">
        <v>21</v>
      </c>
      <c r="J2359" t="s">
        <v>72</v>
      </c>
      <c r="K2359">
        <v>10</v>
      </c>
      <c r="L2359" s="7">
        <f t="shared" si="109"/>
        <v>1339.72</v>
      </c>
      <c r="M2359" s="7"/>
      <c r="O2359">
        <f t="shared" si="110"/>
        <v>2</v>
      </c>
      <c r="Q2359" t="s">
        <v>23</v>
      </c>
    </row>
    <row r="2360" spans="1:17" x14ac:dyDescent="0.3">
      <c r="A2360" t="s">
        <v>3425</v>
      </c>
      <c r="B2360" s="6">
        <v>45267</v>
      </c>
      <c r="C2360" s="6" t="str">
        <f t="shared" si="108"/>
        <v>Dec</v>
      </c>
      <c r="D2360" t="s">
        <v>2022</v>
      </c>
      <c r="E2360" t="s">
        <v>36</v>
      </c>
      <c r="F2360" t="s">
        <v>350</v>
      </c>
      <c r="G2360">
        <v>4</v>
      </c>
      <c r="H2360" s="7">
        <v>404.73</v>
      </c>
      <c r="I2360" t="s">
        <v>19</v>
      </c>
      <c r="J2360" t="s">
        <v>28</v>
      </c>
      <c r="K2360">
        <v>15</v>
      </c>
      <c r="L2360" s="7">
        <f t="shared" si="109"/>
        <v>1618.92</v>
      </c>
      <c r="M2360" s="7"/>
      <c r="O2360">
        <f t="shared" si="110"/>
        <v>2</v>
      </c>
      <c r="Q2360" t="s">
        <v>19</v>
      </c>
    </row>
    <row r="2361" spans="1:17" x14ac:dyDescent="0.3">
      <c r="A2361" t="s">
        <v>3426</v>
      </c>
      <c r="B2361" s="6">
        <v>45169</v>
      </c>
      <c r="C2361" s="6" t="str">
        <f t="shared" si="108"/>
        <v>Aug</v>
      </c>
      <c r="D2361" t="s">
        <v>1298</v>
      </c>
      <c r="E2361" t="s">
        <v>19</v>
      </c>
      <c r="F2361" t="s">
        <v>1693</v>
      </c>
      <c r="G2361">
        <v>6</v>
      </c>
      <c r="H2361" s="7">
        <v>256.8</v>
      </c>
      <c r="I2361" t="s">
        <v>32</v>
      </c>
      <c r="J2361" t="s">
        <v>22</v>
      </c>
      <c r="K2361">
        <v>0</v>
      </c>
      <c r="L2361" s="7">
        <f t="shared" si="109"/>
        <v>1540.8000000000002</v>
      </c>
      <c r="M2361" s="7"/>
      <c r="O2361">
        <f t="shared" si="110"/>
        <v>2</v>
      </c>
      <c r="Q2361" t="s">
        <v>33</v>
      </c>
    </row>
    <row r="2362" spans="1:17" x14ac:dyDescent="0.3">
      <c r="A2362" t="s">
        <v>3427</v>
      </c>
      <c r="B2362" s="6">
        <v>45262</v>
      </c>
      <c r="C2362" s="6" t="str">
        <f t="shared" si="108"/>
        <v>Dec</v>
      </c>
      <c r="D2362" t="s">
        <v>1003</v>
      </c>
      <c r="E2362" t="s">
        <v>36</v>
      </c>
      <c r="F2362" t="s">
        <v>78</v>
      </c>
      <c r="G2362">
        <v>8</v>
      </c>
      <c r="H2362" s="7">
        <v>32.08</v>
      </c>
      <c r="I2362" t="s">
        <v>32</v>
      </c>
      <c r="J2362" t="s">
        <v>72</v>
      </c>
      <c r="K2362">
        <v>10</v>
      </c>
      <c r="L2362" s="7">
        <f t="shared" si="109"/>
        <v>256.64</v>
      </c>
      <c r="M2362" s="7"/>
      <c r="O2362">
        <f t="shared" si="110"/>
        <v>2</v>
      </c>
      <c r="Q2362" t="s">
        <v>33</v>
      </c>
    </row>
    <row r="2363" spans="1:17" x14ac:dyDescent="0.3">
      <c r="A2363" t="s">
        <v>3428</v>
      </c>
      <c r="B2363" s="6">
        <v>45009</v>
      </c>
      <c r="C2363" s="6" t="str">
        <f t="shared" si="108"/>
        <v>Mar</v>
      </c>
      <c r="D2363" t="s">
        <v>1743</v>
      </c>
      <c r="E2363" t="s">
        <v>19</v>
      </c>
      <c r="F2363" t="s">
        <v>222</v>
      </c>
      <c r="G2363">
        <v>8</v>
      </c>
      <c r="H2363" s="7">
        <v>270.06</v>
      </c>
      <c r="I2363" t="s">
        <v>19</v>
      </c>
      <c r="J2363" t="s">
        <v>42</v>
      </c>
      <c r="K2363">
        <v>20</v>
      </c>
      <c r="L2363" s="7">
        <f t="shared" si="109"/>
        <v>2160.48</v>
      </c>
      <c r="M2363" s="7"/>
      <c r="O2363">
        <f t="shared" si="110"/>
        <v>2</v>
      </c>
      <c r="Q2363" t="s">
        <v>19</v>
      </c>
    </row>
    <row r="2364" spans="1:17" x14ac:dyDescent="0.3">
      <c r="A2364" t="s">
        <v>3429</v>
      </c>
      <c r="B2364" s="6">
        <v>45234</v>
      </c>
      <c r="C2364" s="6" t="str">
        <f t="shared" si="108"/>
        <v>Nov</v>
      </c>
      <c r="D2364" t="s">
        <v>1922</v>
      </c>
      <c r="E2364" t="s">
        <v>26</v>
      </c>
      <c r="F2364" t="s">
        <v>657</v>
      </c>
      <c r="G2364">
        <v>5</v>
      </c>
      <c r="H2364" s="7">
        <v>468.2</v>
      </c>
      <c r="I2364" t="s">
        <v>46</v>
      </c>
      <c r="J2364" t="s">
        <v>42</v>
      </c>
      <c r="K2364">
        <v>5</v>
      </c>
      <c r="L2364" s="7">
        <f t="shared" si="109"/>
        <v>2341</v>
      </c>
      <c r="M2364" s="7"/>
      <c r="O2364">
        <f t="shared" si="110"/>
        <v>2</v>
      </c>
      <c r="Q2364" t="s">
        <v>47</v>
      </c>
    </row>
    <row r="2365" spans="1:17" x14ac:dyDescent="0.3">
      <c r="A2365" t="s">
        <v>3430</v>
      </c>
      <c r="B2365" s="6">
        <v>45169</v>
      </c>
      <c r="C2365" s="6" t="str">
        <f t="shared" si="108"/>
        <v>Aug</v>
      </c>
      <c r="D2365" t="s">
        <v>519</v>
      </c>
      <c r="E2365" t="s">
        <v>26</v>
      </c>
      <c r="F2365" t="s">
        <v>148</v>
      </c>
      <c r="G2365">
        <v>6</v>
      </c>
      <c r="H2365" s="7">
        <v>300.82</v>
      </c>
      <c r="I2365" t="s">
        <v>21</v>
      </c>
      <c r="J2365" t="s">
        <v>72</v>
      </c>
      <c r="K2365">
        <v>15</v>
      </c>
      <c r="L2365" s="7">
        <f t="shared" si="109"/>
        <v>1804.92</v>
      </c>
      <c r="M2365" s="7"/>
      <c r="O2365">
        <f t="shared" si="110"/>
        <v>2</v>
      </c>
      <c r="Q2365" t="s">
        <v>23</v>
      </c>
    </row>
    <row r="2366" spans="1:17" x14ac:dyDescent="0.3">
      <c r="A2366" t="s">
        <v>3431</v>
      </c>
      <c r="B2366" s="6">
        <v>45072</v>
      </c>
      <c r="C2366" s="6" t="str">
        <f t="shared" si="108"/>
        <v>May</v>
      </c>
      <c r="D2366" t="s">
        <v>972</v>
      </c>
      <c r="E2366" t="s">
        <v>50</v>
      </c>
      <c r="F2366" t="s">
        <v>303</v>
      </c>
      <c r="G2366">
        <v>4</v>
      </c>
      <c r="H2366" s="7">
        <v>405.67</v>
      </c>
      <c r="I2366" t="s">
        <v>19</v>
      </c>
      <c r="J2366" t="s">
        <v>19</v>
      </c>
      <c r="K2366">
        <v>15</v>
      </c>
      <c r="L2366" s="7">
        <f t="shared" si="109"/>
        <v>1622.68</v>
      </c>
      <c r="M2366" s="7"/>
      <c r="O2366">
        <f t="shared" si="110"/>
        <v>2</v>
      </c>
      <c r="Q2366" t="s">
        <v>19</v>
      </c>
    </row>
    <row r="2367" spans="1:17" x14ac:dyDescent="0.3">
      <c r="A2367" t="s">
        <v>3432</v>
      </c>
      <c r="B2367" s="6">
        <v>45285</v>
      </c>
      <c r="C2367" s="6" t="str">
        <f t="shared" si="108"/>
        <v>Dec</v>
      </c>
      <c r="D2367" t="s">
        <v>89</v>
      </c>
      <c r="E2367" t="s">
        <v>40</v>
      </c>
      <c r="F2367" t="s">
        <v>356</v>
      </c>
      <c r="G2367">
        <v>9</v>
      </c>
      <c r="H2367" s="7">
        <v>401.08</v>
      </c>
      <c r="I2367" t="s">
        <v>32</v>
      </c>
      <c r="J2367" t="s">
        <v>72</v>
      </c>
      <c r="K2367">
        <v>10</v>
      </c>
      <c r="L2367" s="7">
        <f t="shared" si="109"/>
        <v>3609.72</v>
      </c>
      <c r="M2367" s="7"/>
      <c r="O2367">
        <f t="shared" si="110"/>
        <v>5</v>
      </c>
      <c r="Q2367" t="s">
        <v>33</v>
      </c>
    </row>
    <row r="2368" spans="1:17" x14ac:dyDescent="0.3">
      <c r="A2368" t="s">
        <v>3433</v>
      </c>
      <c r="B2368" s="6">
        <v>44953</v>
      </c>
      <c r="C2368" s="6" t="str">
        <f t="shared" si="108"/>
        <v>Jan</v>
      </c>
      <c r="D2368" t="s">
        <v>1271</v>
      </c>
      <c r="E2368" t="s">
        <v>62</v>
      </c>
      <c r="F2368" t="s">
        <v>113</v>
      </c>
      <c r="G2368">
        <v>8</v>
      </c>
      <c r="H2368" s="7">
        <v>466.4</v>
      </c>
      <c r="I2368" t="s">
        <v>21</v>
      </c>
      <c r="J2368" t="s">
        <v>72</v>
      </c>
      <c r="K2368">
        <v>20</v>
      </c>
      <c r="L2368" s="7">
        <f t="shared" si="109"/>
        <v>3731.2</v>
      </c>
      <c r="M2368" s="7"/>
      <c r="O2368">
        <f t="shared" si="110"/>
        <v>5</v>
      </c>
      <c r="Q2368" t="s">
        <v>23</v>
      </c>
    </row>
    <row r="2369" spans="1:17" x14ac:dyDescent="0.3">
      <c r="A2369" t="s">
        <v>3434</v>
      </c>
      <c r="B2369" s="6">
        <v>45037</v>
      </c>
      <c r="C2369" s="6" t="str">
        <f t="shared" si="108"/>
        <v>Apr</v>
      </c>
      <c r="D2369" t="s">
        <v>893</v>
      </c>
      <c r="E2369" t="s">
        <v>62</v>
      </c>
      <c r="F2369" t="s">
        <v>75</v>
      </c>
      <c r="G2369">
        <v>1</v>
      </c>
      <c r="H2369" s="7">
        <v>386.26</v>
      </c>
      <c r="I2369" t="s">
        <v>46</v>
      </c>
      <c r="J2369" t="s">
        <v>28</v>
      </c>
      <c r="K2369">
        <v>15</v>
      </c>
      <c r="L2369" s="7">
        <f t="shared" si="109"/>
        <v>386.26</v>
      </c>
      <c r="M2369" s="7"/>
      <c r="O2369">
        <f t="shared" si="110"/>
        <v>2</v>
      </c>
      <c r="Q2369" t="s">
        <v>47</v>
      </c>
    </row>
    <row r="2370" spans="1:17" x14ac:dyDescent="0.3">
      <c r="A2370" t="s">
        <v>3435</v>
      </c>
      <c r="B2370" s="6">
        <v>45183</v>
      </c>
      <c r="C2370" s="6" t="str">
        <f t="shared" si="108"/>
        <v>Sep</v>
      </c>
      <c r="D2370" t="s">
        <v>912</v>
      </c>
      <c r="E2370" t="s">
        <v>19</v>
      </c>
      <c r="F2370" t="s">
        <v>662</v>
      </c>
      <c r="G2370">
        <v>2</v>
      </c>
      <c r="H2370" s="7">
        <v>375.11</v>
      </c>
      <c r="I2370" t="s">
        <v>32</v>
      </c>
      <c r="J2370" t="s">
        <v>19</v>
      </c>
      <c r="K2370">
        <v>10</v>
      </c>
      <c r="L2370" s="7">
        <f t="shared" si="109"/>
        <v>750.22</v>
      </c>
      <c r="M2370" s="7"/>
      <c r="O2370">
        <f t="shared" si="110"/>
        <v>2</v>
      </c>
      <c r="Q2370" t="s">
        <v>33</v>
      </c>
    </row>
    <row r="2371" spans="1:17" x14ac:dyDescent="0.3">
      <c r="A2371" t="s">
        <v>3436</v>
      </c>
      <c r="B2371" s="6">
        <v>44978</v>
      </c>
      <c r="C2371" s="6" t="str">
        <f t="shared" ref="C2371:C2434" si="111">TEXT(B2371,"MMM")</f>
        <v>Feb</v>
      </c>
      <c r="D2371" t="s">
        <v>228</v>
      </c>
      <c r="E2371" t="s">
        <v>31</v>
      </c>
      <c r="F2371" t="s">
        <v>800</v>
      </c>
      <c r="G2371">
        <v>9</v>
      </c>
      <c r="H2371" s="7">
        <v>120.88</v>
      </c>
      <c r="I2371" t="s">
        <v>103</v>
      </c>
      <c r="J2371" t="s">
        <v>22</v>
      </c>
      <c r="K2371">
        <v>10</v>
      </c>
      <c r="L2371" s="7">
        <f t="shared" ref="L2371:L2434" si="112">G2371*H2371</f>
        <v>1087.92</v>
      </c>
      <c r="M2371" s="7"/>
      <c r="O2371">
        <f t="shared" si="110"/>
        <v>2</v>
      </c>
      <c r="Q2371" t="s">
        <v>104</v>
      </c>
    </row>
    <row r="2372" spans="1:17" x14ac:dyDescent="0.3">
      <c r="A2372" t="s">
        <v>3437</v>
      </c>
      <c r="B2372" s="6">
        <v>45287</v>
      </c>
      <c r="C2372" s="6" t="str">
        <f t="shared" si="111"/>
        <v>Dec</v>
      </c>
      <c r="D2372" t="s">
        <v>321</v>
      </c>
      <c r="E2372" t="s">
        <v>40</v>
      </c>
      <c r="F2372" t="s">
        <v>412</v>
      </c>
      <c r="G2372">
        <v>8</v>
      </c>
      <c r="H2372" s="7">
        <v>34.659999999999997</v>
      </c>
      <c r="I2372" t="s">
        <v>103</v>
      </c>
      <c r="J2372" t="s">
        <v>42</v>
      </c>
      <c r="K2372">
        <v>10</v>
      </c>
      <c r="L2372" s="7">
        <f t="shared" si="112"/>
        <v>277.27999999999997</v>
      </c>
      <c r="M2372" s="7"/>
      <c r="O2372">
        <f t="shared" ref="O2372:O2435" si="113">IF(L2372&gt;3500,5,IF(L2372&gt;3000,4,IF(L2372&gt;2500,3,IF(L2372&gt;2000,2,IF(L2372&gt;1000,2,2)))))</f>
        <v>2</v>
      </c>
      <c r="Q2372" t="s">
        <v>104</v>
      </c>
    </row>
    <row r="2373" spans="1:17" x14ac:dyDescent="0.3">
      <c r="A2373" t="s">
        <v>3438</v>
      </c>
      <c r="B2373" s="6">
        <v>44931</v>
      </c>
      <c r="C2373" s="6" t="str">
        <f t="shared" si="111"/>
        <v>Jan</v>
      </c>
      <c r="D2373" t="s">
        <v>656</v>
      </c>
      <c r="E2373" t="s">
        <v>40</v>
      </c>
      <c r="F2373" t="s">
        <v>193</v>
      </c>
      <c r="G2373">
        <v>3</v>
      </c>
      <c r="H2373" s="7">
        <v>261.20999999999998</v>
      </c>
      <c r="I2373" t="s">
        <v>46</v>
      </c>
      <c r="J2373" t="s">
        <v>22</v>
      </c>
      <c r="K2373">
        <v>15</v>
      </c>
      <c r="L2373" s="7">
        <f t="shared" si="112"/>
        <v>783.62999999999988</v>
      </c>
      <c r="M2373" s="7"/>
      <c r="O2373">
        <f t="shared" si="113"/>
        <v>2</v>
      </c>
      <c r="Q2373" t="s">
        <v>47</v>
      </c>
    </row>
    <row r="2374" spans="1:17" x14ac:dyDescent="0.3">
      <c r="A2374" t="s">
        <v>3439</v>
      </c>
      <c r="B2374" s="6">
        <v>44975</v>
      </c>
      <c r="C2374" s="6" t="str">
        <f t="shared" si="111"/>
        <v>Feb</v>
      </c>
      <c r="D2374" t="s">
        <v>1552</v>
      </c>
      <c r="E2374" t="s">
        <v>40</v>
      </c>
      <c r="F2374" t="s">
        <v>211</v>
      </c>
      <c r="G2374">
        <v>8</v>
      </c>
      <c r="H2374" s="7">
        <v>66.59</v>
      </c>
      <c r="I2374" t="s">
        <v>103</v>
      </c>
      <c r="J2374" t="s">
        <v>28</v>
      </c>
      <c r="K2374">
        <v>15</v>
      </c>
      <c r="L2374" s="7">
        <f t="shared" si="112"/>
        <v>532.72</v>
      </c>
      <c r="M2374" s="7"/>
      <c r="O2374">
        <f t="shared" si="113"/>
        <v>2</v>
      </c>
      <c r="Q2374" t="s">
        <v>104</v>
      </c>
    </row>
    <row r="2375" spans="1:17" x14ac:dyDescent="0.3">
      <c r="A2375" t="s">
        <v>3440</v>
      </c>
      <c r="B2375" s="6">
        <v>44934</v>
      </c>
      <c r="C2375" s="6" t="str">
        <f t="shared" si="111"/>
        <v>Jan</v>
      </c>
      <c r="D2375" t="s">
        <v>1527</v>
      </c>
      <c r="E2375" t="s">
        <v>40</v>
      </c>
      <c r="F2375" t="s">
        <v>142</v>
      </c>
      <c r="G2375">
        <v>1</v>
      </c>
      <c r="H2375" s="7">
        <v>481.29</v>
      </c>
      <c r="I2375" t="s">
        <v>19</v>
      </c>
      <c r="J2375" t="s">
        <v>19</v>
      </c>
      <c r="K2375">
        <v>15</v>
      </c>
      <c r="L2375" s="7">
        <f t="shared" si="112"/>
        <v>481.29</v>
      </c>
      <c r="M2375" s="7"/>
      <c r="O2375">
        <f t="shared" si="113"/>
        <v>2</v>
      </c>
      <c r="Q2375" t="s">
        <v>19</v>
      </c>
    </row>
    <row r="2376" spans="1:17" x14ac:dyDescent="0.3">
      <c r="A2376" t="s">
        <v>3441</v>
      </c>
      <c r="B2376" s="6">
        <v>45022</v>
      </c>
      <c r="C2376" s="6" t="str">
        <f t="shared" si="111"/>
        <v>Apr</v>
      </c>
      <c r="D2376" t="s">
        <v>985</v>
      </c>
      <c r="E2376" t="s">
        <v>31</v>
      </c>
      <c r="F2376" t="s">
        <v>983</v>
      </c>
      <c r="G2376">
        <v>4</v>
      </c>
      <c r="H2376" s="7">
        <v>148.51</v>
      </c>
      <c r="I2376" t="s">
        <v>19</v>
      </c>
      <c r="J2376" t="s">
        <v>42</v>
      </c>
      <c r="K2376">
        <v>10</v>
      </c>
      <c r="L2376" s="7">
        <f t="shared" si="112"/>
        <v>594.04</v>
      </c>
      <c r="M2376" s="7"/>
      <c r="O2376">
        <f t="shared" si="113"/>
        <v>2</v>
      </c>
      <c r="Q2376" t="s">
        <v>19</v>
      </c>
    </row>
    <row r="2377" spans="1:17" x14ac:dyDescent="0.3">
      <c r="A2377" t="s">
        <v>3442</v>
      </c>
      <c r="B2377" s="6">
        <v>45242</v>
      </c>
      <c r="C2377" s="6" t="str">
        <f t="shared" si="111"/>
        <v>Nov</v>
      </c>
      <c r="D2377" t="s">
        <v>368</v>
      </c>
      <c r="E2377" t="s">
        <v>26</v>
      </c>
      <c r="F2377" t="s">
        <v>37</v>
      </c>
      <c r="G2377">
        <v>3</v>
      </c>
      <c r="H2377" s="7">
        <v>427.21</v>
      </c>
      <c r="I2377" t="s">
        <v>103</v>
      </c>
      <c r="J2377" t="s">
        <v>42</v>
      </c>
      <c r="K2377">
        <v>10</v>
      </c>
      <c r="L2377" s="7">
        <f t="shared" si="112"/>
        <v>1281.6299999999999</v>
      </c>
      <c r="M2377" s="7"/>
      <c r="O2377">
        <f t="shared" si="113"/>
        <v>2</v>
      </c>
      <c r="Q2377" t="s">
        <v>104</v>
      </c>
    </row>
    <row r="2378" spans="1:17" x14ac:dyDescent="0.3">
      <c r="A2378" t="s">
        <v>3443</v>
      </c>
      <c r="B2378" s="6">
        <v>44948</v>
      </c>
      <c r="C2378" s="6" t="str">
        <f t="shared" si="111"/>
        <v>Jan</v>
      </c>
      <c r="D2378" t="s">
        <v>3444</v>
      </c>
      <c r="E2378" t="s">
        <v>62</v>
      </c>
      <c r="F2378" t="s">
        <v>37</v>
      </c>
      <c r="G2378">
        <v>6</v>
      </c>
      <c r="H2378" s="7">
        <v>196.87</v>
      </c>
      <c r="I2378" t="s">
        <v>46</v>
      </c>
      <c r="J2378" t="s">
        <v>42</v>
      </c>
      <c r="K2378">
        <v>10</v>
      </c>
      <c r="L2378" s="7">
        <f t="shared" si="112"/>
        <v>1181.22</v>
      </c>
      <c r="M2378" s="7"/>
      <c r="O2378">
        <f t="shared" si="113"/>
        <v>2</v>
      </c>
      <c r="Q2378" t="s">
        <v>47</v>
      </c>
    </row>
    <row r="2379" spans="1:17" x14ac:dyDescent="0.3">
      <c r="A2379" t="s">
        <v>3445</v>
      </c>
      <c r="B2379" s="6">
        <v>44994</v>
      </c>
      <c r="C2379" s="6" t="str">
        <f t="shared" si="111"/>
        <v>Mar</v>
      </c>
      <c r="D2379" t="s">
        <v>1093</v>
      </c>
      <c r="E2379" t="s">
        <v>50</v>
      </c>
      <c r="F2379" t="s">
        <v>363</v>
      </c>
      <c r="G2379">
        <v>7</v>
      </c>
      <c r="H2379" s="7">
        <v>164.98</v>
      </c>
      <c r="I2379" t="s">
        <v>64</v>
      </c>
      <c r="J2379" t="s">
        <v>72</v>
      </c>
      <c r="K2379">
        <v>5</v>
      </c>
      <c r="L2379" s="7">
        <f t="shared" si="112"/>
        <v>1154.8599999999999</v>
      </c>
      <c r="M2379" s="7"/>
      <c r="O2379">
        <f t="shared" si="113"/>
        <v>2</v>
      </c>
      <c r="Q2379" t="s">
        <v>65</v>
      </c>
    </row>
    <row r="2380" spans="1:17" x14ac:dyDescent="0.3">
      <c r="A2380" t="s">
        <v>3446</v>
      </c>
      <c r="B2380" s="6">
        <v>45257</v>
      </c>
      <c r="C2380" s="6" t="str">
        <f t="shared" si="111"/>
        <v>Nov</v>
      </c>
      <c r="D2380" t="s">
        <v>970</v>
      </c>
      <c r="E2380" t="s">
        <v>19</v>
      </c>
      <c r="F2380" t="s">
        <v>520</v>
      </c>
      <c r="G2380">
        <v>4</v>
      </c>
      <c r="H2380" s="7">
        <v>467.9</v>
      </c>
      <c r="I2380" t="s">
        <v>46</v>
      </c>
      <c r="J2380" t="s">
        <v>42</v>
      </c>
      <c r="K2380">
        <v>15</v>
      </c>
      <c r="L2380" s="7">
        <f t="shared" si="112"/>
        <v>1871.6</v>
      </c>
      <c r="M2380" s="7"/>
      <c r="O2380">
        <f t="shared" si="113"/>
        <v>2</v>
      </c>
      <c r="Q2380" t="s">
        <v>47</v>
      </c>
    </row>
    <row r="2381" spans="1:17" x14ac:dyDescent="0.3">
      <c r="A2381" t="s">
        <v>3447</v>
      </c>
      <c r="B2381" s="6">
        <v>45001</v>
      </c>
      <c r="C2381" s="6" t="str">
        <f t="shared" si="111"/>
        <v>Mar</v>
      </c>
      <c r="D2381" t="s">
        <v>1256</v>
      </c>
      <c r="E2381" t="s">
        <v>19</v>
      </c>
      <c r="F2381" t="s">
        <v>549</v>
      </c>
      <c r="G2381">
        <v>7</v>
      </c>
      <c r="H2381" s="7">
        <v>184.84</v>
      </c>
      <c r="I2381" t="s">
        <v>21</v>
      </c>
      <c r="J2381" t="s">
        <v>19</v>
      </c>
      <c r="K2381">
        <v>20</v>
      </c>
      <c r="L2381" s="7">
        <f t="shared" si="112"/>
        <v>1293.8800000000001</v>
      </c>
      <c r="M2381" s="7"/>
      <c r="O2381">
        <f t="shared" si="113"/>
        <v>2</v>
      </c>
      <c r="Q2381" t="s">
        <v>23</v>
      </c>
    </row>
    <row r="2382" spans="1:17" x14ac:dyDescent="0.3">
      <c r="A2382" t="s">
        <v>3448</v>
      </c>
      <c r="B2382" s="6">
        <v>44930</v>
      </c>
      <c r="C2382" s="6" t="str">
        <f t="shared" si="111"/>
        <v>Jan</v>
      </c>
      <c r="D2382" t="s">
        <v>985</v>
      </c>
      <c r="E2382" t="s">
        <v>36</v>
      </c>
      <c r="F2382" t="s">
        <v>239</v>
      </c>
      <c r="G2382">
        <v>9</v>
      </c>
      <c r="H2382" s="7">
        <v>198.19</v>
      </c>
      <c r="I2382" t="s">
        <v>103</v>
      </c>
      <c r="J2382" t="s">
        <v>28</v>
      </c>
      <c r="K2382">
        <v>0</v>
      </c>
      <c r="L2382" s="7">
        <f t="shared" si="112"/>
        <v>1783.71</v>
      </c>
      <c r="M2382" s="7"/>
      <c r="O2382">
        <f t="shared" si="113"/>
        <v>2</v>
      </c>
      <c r="Q2382" t="s">
        <v>104</v>
      </c>
    </row>
    <row r="2383" spans="1:17" x14ac:dyDescent="0.3">
      <c r="A2383" t="s">
        <v>3449</v>
      </c>
      <c r="B2383" s="6">
        <v>45109</v>
      </c>
      <c r="C2383" s="6" t="str">
        <f t="shared" si="111"/>
        <v>Jul</v>
      </c>
      <c r="D2383" t="s">
        <v>1963</v>
      </c>
      <c r="E2383" t="s">
        <v>26</v>
      </c>
      <c r="F2383" t="s">
        <v>968</v>
      </c>
      <c r="G2383">
        <v>2</v>
      </c>
      <c r="H2383" s="7">
        <v>57.52</v>
      </c>
      <c r="I2383" t="s">
        <v>21</v>
      </c>
      <c r="J2383" t="s">
        <v>72</v>
      </c>
      <c r="K2383">
        <v>5</v>
      </c>
      <c r="L2383" s="7">
        <f t="shared" si="112"/>
        <v>115.04</v>
      </c>
      <c r="M2383" s="7"/>
      <c r="O2383">
        <f t="shared" si="113"/>
        <v>2</v>
      </c>
      <c r="Q2383" t="s">
        <v>23</v>
      </c>
    </row>
    <row r="2384" spans="1:17" x14ac:dyDescent="0.3">
      <c r="A2384" t="s">
        <v>3450</v>
      </c>
      <c r="B2384" s="6">
        <v>45146</v>
      </c>
      <c r="C2384" s="6" t="str">
        <f t="shared" si="111"/>
        <v>Aug</v>
      </c>
      <c r="D2384" t="s">
        <v>1453</v>
      </c>
      <c r="E2384" t="s">
        <v>36</v>
      </c>
      <c r="F2384" t="s">
        <v>270</v>
      </c>
      <c r="G2384">
        <v>3</v>
      </c>
      <c r="H2384" s="7">
        <v>336.87</v>
      </c>
      <c r="I2384" t="s">
        <v>21</v>
      </c>
      <c r="J2384" t="s">
        <v>22</v>
      </c>
      <c r="K2384">
        <v>0</v>
      </c>
      <c r="L2384" s="7">
        <f t="shared" si="112"/>
        <v>1010.61</v>
      </c>
      <c r="M2384" s="7"/>
      <c r="O2384">
        <f t="shared" si="113"/>
        <v>2</v>
      </c>
      <c r="Q2384" t="s">
        <v>23</v>
      </c>
    </row>
    <row r="2385" spans="1:17" x14ac:dyDescent="0.3">
      <c r="A2385" t="s">
        <v>3451</v>
      </c>
      <c r="B2385" s="6">
        <v>45080</v>
      </c>
      <c r="C2385" s="6" t="str">
        <f t="shared" si="111"/>
        <v>Jun</v>
      </c>
      <c r="D2385" t="s">
        <v>990</v>
      </c>
      <c r="E2385" t="s">
        <v>31</v>
      </c>
      <c r="F2385" t="s">
        <v>469</v>
      </c>
      <c r="G2385">
        <v>5</v>
      </c>
      <c r="H2385" s="7">
        <v>147.97999999999999</v>
      </c>
      <c r="I2385" t="s">
        <v>46</v>
      </c>
      <c r="J2385" t="s">
        <v>42</v>
      </c>
      <c r="K2385">
        <v>0</v>
      </c>
      <c r="L2385" s="7">
        <f t="shared" si="112"/>
        <v>739.9</v>
      </c>
      <c r="M2385" s="7"/>
      <c r="O2385">
        <f t="shared" si="113"/>
        <v>2</v>
      </c>
      <c r="Q2385" t="s">
        <v>47</v>
      </c>
    </row>
    <row r="2386" spans="1:17" x14ac:dyDescent="0.3">
      <c r="A2386" t="s">
        <v>3452</v>
      </c>
      <c r="B2386" s="6">
        <v>44993</v>
      </c>
      <c r="C2386" s="6" t="str">
        <f t="shared" si="111"/>
        <v>Mar</v>
      </c>
      <c r="D2386" t="s">
        <v>2996</v>
      </c>
      <c r="E2386" t="s">
        <v>62</v>
      </c>
      <c r="F2386" t="s">
        <v>41</v>
      </c>
      <c r="G2386">
        <v>3</v>
      </c>
      <c r="H2386" s="7">
        <v>294.87</v>
      </c>
      <c r="I2386" t="s">
        <v>64</v>
      </c>
      <c r="J2386" t="s">
        <v>42</v>
      </c>
      <c r="K2386">
        <v>15</v>
      </c>
      <c r="L2386" s="7">
        <f t="shared" si="112"/>
        <v>884.61</v>
      </c>
      <c r="M2386" s="7"/>
      <c r="O2386">
        <f t="shared" si="113"/>
        <v>2</v>
      </c>
      <c r="Q2386" t="s">
        <v>65</v>
      </c>
    </row>
    <row r="2387" spans="1:17" x14ac:dyDescent="0.3">
      <c r="A2387" t="s">
        <v>3453</v>
      </c>
      <c r="B2387" s="6">
        <v>45206</v>
      </c>
      <c r="C2387" s="6" t="str">
        <f t="shared" si="111"/>
        <v>Oct</v>
      </c>
      <c r="D2387" t="s">
        <v>700</v>
      </c>
      <c r="E2387" t="s">
        <v>50</v>
      </c>
      <c r="F2387" t="s">
        <v>284</v>
      </c>
      <c r="G2387">
        <v>8</v>
      </c>
      <c r="H2387" s="7">
        <v>297.72000000000003</v>
      </c>
      <c r="I2387" t="s">
        <v>64</v>
      </c>
      <c r="J2387" t="s">
        <v>72</v>
      </c>
      <c r="K2387">
        <v>20</v>
      </c>
      <c r="L2387" s="7">
        <f t="shared" si="112"/>
        <v>2381.7600000000002</v>
      </c>
      <c r="M2387" s="7"/>
      <c r="O2387">
        <f t="shared" si="113"/>
        <v>2</v>
      </c>
      <c r="Q2387" t="s">
        <v>65</v>
      </c>
    </row>
    <row r="2388" spans="1:17" x14ac:dyDescent="0.3">
      <c r="A2388" t="s">
        <v>3454</v>
      </c>
      <c r="B2388" s="6">
        <v>44959</v>
      </c>
      <c r="C2388" s="6" t="str">
        <f t="shared" si="111"/>
        <v>Feb</v>
      </c>
      <c r="D2388" t="s">
        <v>2920</v>
      </c>
      <c r="E2388" t="s">
        <v>26</v>
      </c>
      <c r="F2388" t="s">
        <v>270</v>
      </c>
      <c r="G2388">
        <v>8</v>
      </c>
      <c r="H2388" s="7">
        <v>361</v>
      </c>
      <c r="I2388" t="s">
        <v>103</v>
      </c>
      <c r="J2388" t="s">
        <v>19</v>
      </c>
      <c r="K2388">
        <v>0</v>
      </c>
      <c r="L2388" s="7">
        <f t="shared" si="112"/>
        <v>2888</v>
      </c>
      <c r="M2388" s="7"/>
      <c r="O2388">
        <f t="shared" si="113"/>
        <v>3</v>
      </c>
      <c r="Q2388" t="s">
        <v>104</v>
      </c>
    </row>
    <row r="2389" spans="1:17" x14ac:dyDescent="0.3">
      <c r="A2389" t="s">
        <v>3455</v>
      </c>
      <c r="B2389" s="6">
        <v>45263</v>
      </c>
      <c r="C2389" s="6" t="str">
        <f t="shared" si="111"/>
        <v>Dec</v>
      </c>
      <c r="D2389" t="s">
        <v>1850</v>
      </c>
      <c r="E2389" t="s">
        <v>62</v>
      </c>
      <c r="F2389" t="s">
        <v>2185</v>
      </c>
      <c r="G2389">
        <v>8</v>
      </c>
      <c r="H2389" s="7">
        <v>373.89</v>
      </c>
      <c r="I2389" t="s">
        <v>46</v>
      </c>
      <c r="J2389" t="s">
        <v>28</v>
      </c>
      <c r="K2389">
        <v>10</v>
      </c>
      <c r="L2389" s="7">
        <f t="shared" si="112"/>
        <v>2991.12</v>
      </c>
      <c r="M2389" s="7"/>
      <c r="O2389">
        <f t="shared" si="113"/>
        <v>3</v>
      </c>
      <c r="Q2389" t="s">
        <v>47</v>
      </c>
    </row>
    <row r="2390" spans="1:17" x14ac:dyDescent="0.3">
      <c r="A2390" t="s">
        <v>3456</v>
      </c>
      <c r="B2390" s="6">
        <v>45261</v>
      </c>
      <c r="C2390" s="6" t="str">
        <f t="shared" si="111"/>
        <v>Dec</v>
      </c>
      <c r="D2390" t="s">
        <v>187</v>
      </c>
      <c r="E2390" t="s">
        <v>26</v>
      </c>
      <c r="F2390" t="s">
        <v>409</v>
      </c>
      <c r="G2390">
        <v>9</v>
      </c>
      <c r="H2390" s="7">
        <v>259.64999999999998</v>
      </c>
      <c r="I2390" t="s">
        <v>32</v>
      </c>
      <c r="J2390" t="s">
        <v>72</v>
      </c>
      <c r="K2390">
        <v>0</v>
      </c>
      <c r="L2390" s="7">
        <f t="shared" si="112"/>
        <v>2336.85</v>
      </c>
      <c r="M2390" s="7"/>
      <c r="O2390">
        <f t="shared" si="113"/>
        <v>2</v>
      </c>
      <c r="Q2390" t="s">
        <v>33</v>
      </c>
    </row>
    <row r="2391" spans="1:17" x14ac:dyDescent="0.3">
      <c r="A2391" t="s">
        <v>3457</v>
      </c>
      <c r="B2391" s="6">
        <v>44985</v>
      </c>
      <c r="C2391" s="6" t="str">
        <f t="shared" si="111"/>
        <v>Feb</v>
      </c>
      <c r="D2391" t="s">
        <v>553</v>
      </c>
      <c r="E2391" t="s">
        <v>19</v>
      </c>
      <c r="F2391" t="s">
        <v>375</v>
      </c>
      <c r="G2391">
        <v>4</v>
      </c>
      <c r="H2391" s="7">
        <v>168.84</v>
      </c>
      <c r="I2391" t="s">
        <v>21</v>
      </c>
      <c r="J2391" t="s">
        <v>72</v>
      </c>
      <c r="K2391">
        <v>5</v>
      </c>
      <c r="L2391" s="7">
        <f t="shared" si="112"/>
        <v>675.36</v>
      </c>
      <c r="M2391" s="7"/>
      <c r="O2391">
        <f t="shared" si="113"/>
        <v>2</v>
      </c>
      <c r="Q2391" t="s">
        <v>23</v>
      </c>
    </row>
    <row r="2392" spans="1:17" x14ac:dyDescent="0.3">
      <c r="A2392" t="s">
        <v>3458</v>
      </c>
      <c r="B2392" s="6">
        <v>45238</v>
      </c>
      <c r="C2392" s="6" t="str">
        <f t="shared" si="111"/>
        <v>Nov</v>
      </c>
      <c r="D2392" t="s">
        <v>1933</v>
      </c>
      <c r="E2392" t="s">
        <v>19</v>
      </c>
      <c r="F2392" t="s">
        <v>598</v>
      </c>
      <c r="G2392">
        <v>5</v>
      </c>
      <c r="H2392" s="7">
        <v>419.54</v>
      </c>
      <c r="I2392" t="s">
        <v>46</v>
      </c>
      <c r="J2392" t="s">
        <v>19</v>
      </c>
      <c r="K2392">
        <v>20</v>
      </c>
      <c r="L2392" s="7">
        <f t="shared" si="112"/>
        <v>2097.7000000000003</v>
      </c>
      <c r="M2392" s="7"/>
      <c r="O2392">
        <f t="shared" si="113"/>
        <v>2</v>
      </c>
      <c r="Q2392" t="s">
        <v>47</v>
      </c>
    </row>
    <row r="2393" spans="1:17" x14ac:dyDescent="0.3">
      <c r="A2393" t="s">
        <v>3459</v>
      </c>
      <c r="B2393" s="6">
        <v>45039</v>
      </c>
      <c r="C2393" s="6" t="str">
        <f t="shared" si="111"/>
        <v>Apr</v>
      </c>
      <c r="D2393" t="s">
        <v>682</v>
      </c>
      <c r="E2393" t="s">
        <v>19</v>
      </c>
      <c r="F2393" t="s">
        <v>205</v>
      </c>
      <c r="G2393">
        <v>5</v>
      </c>
      <c r="H2393" s="7">
        <v>158.38</v>
      </c>
      <c r="I2393" t="s">
        <v>32</v>
      </c>
      <c r="J2393" t="s">
        <v>87</v>
      </c>
      <c r="K2393">
        <v>20</v>
      </c>
      <c r="L2393" s="7">
        <f t="shared" si="112"/>
        <v>791.9</v>
      </c>
      <c r="M2393" s="7"/>
      <c r="O2393">
        <f t="shared" si="113"/>
        <v>2</v>
      </c>
      <c r="Q2393" t="s">
        <v>33</v>
      </c>
    </row>
    <row r="2394" spans="1:17" x14ac:dyDescent="0.3">
      <c r="A2394" t="s">
        <v>3460</v>
      </c>
      <c r="B2394" s="6">
        <v>45244</v>
      </c>
      <c r="C2394" s="6" t="str">
        <f t="shared" si="111"/>
        <v>Nov</v>
      </c>
      <c r="D2394" t="s">
        <v>639</v>
      </c>
      <c r="E2394" t="s">
        <v>19</v>
      </c>
      <c r="F2394" t="s">
        <v>1237</v>
      </c>
      <c r="G2394">
        <v>8</v>
      </c>
      <c r="H2394" s="7">
        <v>256.22000000000003</v>
      </c>
      <c r="I2394" t="s">
        <v>32</v>
      </c>
      <c r="J2394" t="s">
        <v>72</v>
      </c>
      <c r="K2394">
        <v>0</v>
      </c>
      <c r="L2394" s="7">
        <f t="shared" si="112"/>
        <v>2049.7600000000002</v>
      </c>
      <c r="M2394" s="7"/>
      <c r="O2394">
        <f t="shared" si="113"/>
        <v>2</v>
      </c>
      <c r="Q2394" t="s">
        <v>33</v>
      </c>
    </row>
    <row r="2395" spans="1:17" x14ac:dyDescent="0.3">
      <c r="A2395" t="s">
        <v>3461</v>
      </c>
      <c r="B2395" s="6">
        <v>45085</v>
      </c>
      <c r="C2395" s="6" t="str">
        <f t="shared" si="111"/>
        <v>Jun</v>
      </c>
      <c r="D2395" t="s">
        <v>970</v>
      </c>
      <c r="E2395" t="s">
        <v>50</v>
      </c>
      <c r="F2395" t="s">
        <v>113</v>
      </c>
      <c r="G2395">
        <v>7</v>
      </c>
      <c r="H2395" s="7">
        <v>203.62</v>
      </c>
      <c r="I2395" t="s">
        <v>64</v>
      </c>
      <c r="J2395" t="s">
        <v>72</v>
      </c>
      <c r="K2395">
        <v>20</v>
      </c>
      <c r="L2395" s="7">
        <f t="shared" si="112"/>
        <v>1425.3400000000001</v>
      </c>
      <c r="M2395" s="7"/>
      <c r="O2395">
        <f t="shared" si="113"/>
        <v>2</v>
      </c>
      <c r="Q2395" t="s">
        <v>65</v>
      </c>
    </row>
    <row r="2396" spans="1:17" x14ac:dyDescent="0.3">
      <c r="A2396" t="s">
        <v>3462</v>
      </c>
      <c r="B2396" s="6">
        <v>44951</v>
      </c>
      <c r="C2396" s="6" t="str">
        <f t="shared" si="111"/>
        <v>Jan</v>
      </c>
      <c r="D2396" t="s">
        <v>130</v>
      </c>
      <c r="E2396" t="s">
        <v>50</v>
      </c>
      <c r="F2396" t="s">
        <v>1251</v>
      </c>
      <c r="G2396">
        <v>9</v>
      </c>
      <c r="H2396" s="7">
        <v>428.26</v>
      </c>
      <c r="I2396" t="s">
        <v>103</v>
      </c>
      <c r="J2396" t="s">
        <v>28</v>
      </c>
      <c r="K2396">
        <v>5</v>
      </c>
      <c r="L2396" s="7">
        <f t="shared" si="112"/>
        <v>3854.34</v>
      </c>
      <c r="M2396" s="7"/>
      <c r="O2396">
        <f t="shared" si="113"/>
        <v>5</v>
      </c>
      <c r="Q2396" t="s">
        <v>104</v>
      </c>
    </row>
    <row r="2397" spans="1:17" x14ac:dyDescent="0.3">
      <c r="A2397" t="s">
        <v>3463</v>
      </c>
      <c r="B2397" s="6">
        <v>45213</v>
      </c>
      <c r="C2397" s="6" t="str">
        <f t="shared" si="111"/>
        <v>Oct</v>
      </c>
      <c r="D2397" t="s">
        <v>1552</v>
      </c>
      <c r="E2397" t="s">
        <v>40</v>
      </c>
      <c r="F2397" t="s">
        <v>627</v>
      </c>
      <c r="G2397">
        <v>8</v>
      </c>
      <c r="H2397" s="7">
        <v>218.8</v>
      </c>
      <c r="I2397" t="s">
        <v>21</v>
      </c>
      <c r="J2397" t="s">
        <v>72</v>
      </c>
      <c r="K2397">
        <v>5</v>
      </c>
      <c r="L2397" s="7">
        <f t="shared" si="112"/>
        <v>1750.4</v>
      </c>
      <c r="M2397" s="7"/>
      <c r="O2397">
        <f t="shared" si="113"/>
        <v>2</v>
      </c>
      <c r="Q2397" t="s">
        <v>23</v>
      </c>
    </row>
    <row r="2398" spans="1:17" x14ac:dyDescent="0.3">
      <c r="A2398" t="s">
        <v>3464</v>
      </c>
      <c r="B2398" s="6">
        <v>44968</v>
      </c>
      <c r="C2398" s="6" t="str">
        <f t="shared" si="111"/>
        <v>Feb</v>
      </c>
      <c r="D2398" t="s">
        <v>153</v>
      </c>
      <c r="E2398" t="s">
        <v>31</v>
      </c>
      <c r="F2398" t="s">
        <v>789</v>
      </c>
      <c r="G2398">
        <v>2</v>
      </c>
      <c r="H2398" s="7">
        <v>196.12</v>
      </c>
      <c r="I2398" t="s">
        <v>46</v>
      </c>
      <c r="J2398" t="s">
        <v>72</v>
      </c>
      <c r="K2398">
        <v>5</v>
      </c>
      <c r="L2398" s="7">
        <f t="shared" si="112"/>
        <v>392.24</v>
      </c>
      <c r="M2398" s="7"/>
      <c r="O2398">
        <f t="shared" si="113"/>
        <v>2</v>
      </c>
      <c r="Q2398" t="s">
        <v>47</v>
      </c>
    </row>
    <row r="2399" spans="1:17" x14ac:dyDescent="0.3">
      <c r="A2399" t="s">
        <v>3465</v>
      </c>
      <c r="B2399" s="6">
        <v>45044</v>
      </c>
      <c r="C2399" s="6" t="str">
        <f t="shared" si="111"/>
        <v>Apr</v>
      </c>
      <c r="D2399" t="s">
        <v>3039</v>
      </c>
      <c r="E2399" t="s">
        <v>36</v>
      </c>
      <c r="F2399" t="s">
        <v>71</v>
      </c>
      <c r="G2399">
        <v>4</v>
      </c>
      <c r="H2399" s="7">
        <v>346.46</v>
      </c>
      <c r="I2399" t="s">
        <v>46</v>
      </c>
      <c r="J2399" t="s">
        <v>28</v>
      </c>
      <c r="K2399">
        <v>10</v>
      </c>
      <c r="L2399" s="7">
        <f t="shared" si="112"/>
        <v>1385.84</v>
      </c>
      <c r="M2399" s="7"/>
      <c r="O2399">
        <f t="shared" si="113"/>
        <v>2</v>
      </c>
      <c r="Q2399" t="s">
        <v>47</v>
      </c>
    </row>
    <row r="2400" spans="1:17" x14ac:dyDescent="0.3">
      <c r="A2400" t="s">
        <v>3466</v>
      </c>
      <c r="B2400" s="6">
        <v>45048</v>
      </c>
      <c r="C2400" s="6" t="str">
        <f t="shared" si="111"/>
        <v>May</v>
      </c>
      <c r="D2400" t="s">
        <v>1321</v>
      </c>
      <c r="E2400" t="s">
        <v>36</v>
      </c>
      <c r="F2400" t="s">
        <v>224</v>
      </c>
      <c r="G2400">
        <v>6</v>
      </c>
      <c r="H2400" s="7">
        <v>303.20999999999998</v>
      </c>
      <c r="I2400" t="s">
        <v>64</v>
      </c>
      <c r="J2400" t="s">
        <v>42</v>
      </c>
      <c r="K2400">
        <v>15</v>
      </c>
      <c r="L2400" s="7">
        <f t="shared" si="112"/>
        <v>1819.2599999999998</v>
      </c>
      <c r="M2400" s="7"/>
      <c r="O2400">
        <f t="shared" si="113"/>
        <v>2</v>
      </c>
      <c r="Q2400" t="s">
        <v>65</v>
      </c>
    </row>
    <row r="2401" spans="1:17" x14ac:dyDescent="0.3">
      <c r="A2401" t="s">
        <v>3467</v>
      </c>
      <c r="B2401" s="6">
        <v>44964</v>
      </c>
      <c r="C2401" s="6" t="str">
        <f t="shared" si="111"/>
        <v>Feb</v>
      </c>
      <c r="D2401" t="s">
        <v>3468</v>
      </c>
      <c r="E2401" t="s">
        <v>40</v>
      </c>
      <c r="F2401" t="s">
        <v>84</v>
      </c>
      <c r="G2401">
        <v>2</v>
      </c>
      <c r="H2401" s="7">
        <v>58.09</v>
      </c>
      <c r="I2401" t="s">
        <v>32</v>
      </c>
      <c r="J2401" t="s">
        <v>28</v>
      </c>
      <c r="K2401">
        <v>0</v>
      </c>
      <c r="L2401" s="7">
        <f t="shared" si="112"/>
        <v>116.18</v>
      </c>
      <c r="M2401" s="7"/>
      <c r="O2401">
        <f t="shared" si="113"/>
        <v>2</v>
      </c>
      <c r="Q2401" t="s">
        <v>33</v>
      </c>
    </row>
    <row r="2402" spans="1:17" x14ac:dyDescent="0.3">
      <c r="A2402" t="s">
        <v>3469</v>
      </c>
      <c r="B2402" s="6">
        <v>45064</v>
      </c>
      <c r="C2402" s="6" t="str">
        <f t="shared" si="111"/>
        <v>May</v>
      </c>
      <c r="D2402" t="s">
        <v>1918</v>
      </c>
      <c r="E2402" t="s">
        <v>40</v>
      </c>
      <c r="F2402" t="s">
        <v>334</v>
      </c>
      <c r="G2402">
        <v>7</v>
      </c>
      <c r="H2402" s="7">
        <v>256.54000000000002</v>
      </c>
      <c r="I2402" t="s">
        <v>32</v>
      </c>
      <c r="J2402" t="s">
        <v>72</v>
      </c>
      <c r="K2402">
        <v>20</v>
      </c>
      <c r="L2402" s="7">
        <f t="shared" si="112"/>
        <v>1795.7800000000002</v>
      </c>
      <c r="M2402" s="7"/>
      <c r="O2402">
        <f t="shared" si="113"/>
        <v>2</v>
      </c>
      <c r="Q2402" t="s">
        <v>33</v>
      </c>
    </row>
    <row r="2403" spans="1:17" x14ac:dyDescent="0.3">
      <c r="A2403" t="s">
        <v>3470</v>
      </c>
      <c r="B2403" s="6">
        <v>45154</v>
      </c>
      <c r="C2403" s="6" t="str">
        <f t="shared" si="111"/>
        <v>Aug</v>
      </c>
      <c r="D2403" t="s">
        <v>297</v>
      </c>
      <c r="E2403" t="s">
        <v>50</v>
      </c>
      <c r="F2403" t="s">
        <v>237</v>
      </c>
      <c r="G2403">
        <v>3</v>
      </c>
      <c r="H2403" s="7">
        <v>369.06</v>
      </c>
      <c r="I2403" t="s">
        <v>103</v>
      </c>
      <c r="J2403" t="s">
        <v>42</v>
      </c>
      <c r="K2403">
        <v>5</v>
      </c>
      <c r="L2403" s="7">
        <f t="shared" si="112"/>
        <v>1107.18</v>
      </c>
      <c r="M2403" s="7"/>
      <c r="O2403">
        <f t="shared" si="113"/>
        <v>2</v>
      </c>
      <c r="Q2403" t="s">
        <v>104</v>
      </c>
    </row>
    <row r="2404" spans="1:17" x14ac:dyDescent="0.3">
      <c r="A2404" t="s">
        <v>3471</v>
      </c>
      <c r="B2404" s="6">
        <v>45004</v>
      </c>
      <c r="C2404" s="6" t="str">
        <f t="shared" si="111"/>
        <v>Mar</v>
      </c>
      <c r="D2404" t="s">
        <v>783</v>
      </c>
      <c r="E2404" t="s">
        <v>36</v>
      </c>
      <c r="F2404" t="s">
        <v>833</v>
      </c>
      <c r="G2404">
        <v>3</v>
      </c>
      <c r="H2404" s="7">
        <v>252.16</v>
      </c>
      <c r="I2404" t="s">
        <v>103</v>
      </c>
      <c r="J2404" t="s">
        <v>72</v>
      </c>
      <c r="K2404">
        <v>0</v>
      </c>
      <c r="L2404" s="7">
        <f t="shared" si="112"/>
        <v>756.48</v>
      </c>
      <c r="M2404" s="7"/>
      <c r="O2404">
        <f t="shared" si="113"/>
        <v>2</v>
      </c>
      <c r="Q2404" t="s">
        <v>104</v>
      </c>
    </row>
    <row r="2405" spans="1:17" x14ac:dyDescent="0.3">
      <c r="A2405" t="s">
        <v>3472</v>
      </c>
      <c r="B2405" s="6">
        <v>44972</v>
      </c>
      <c r="C2405" s="6" t="str">
        <f t="shared" si="111"/>
        <v>Feb</v>
      </c>
      <c r="D2405" t="s">
        <v>609</v>
      </c>
      <c r="E2405" t="s">
        <v>26</v>
      </c>
      <c r="F2405" t="s">
        <v>1194</v>
      </c>
      <c r="G2405">
        <v>2</v>
      </c>
      <c r="H2405" s="7">
        <v>316.43</v>
      </c>
      <c r="I2405" t="s">
        <v>21</v>
      </c>
      <c r="J2405" t="s">
        <v>42</v>
      </c>
      <c r="K2405">
        <v>0</v>
      </c>
      <c r="L2405" s="7">
        <f t="shared" si="112"/>
        <v>632.86</v>
      </c>
      <c r="M2405" s="7"/>
      <c r="O2405">
        <f t="shared" si="113"/>
        <v>2</v>
      </c>
      <c r="Q2405" t="s">
        <v>23</v>
      </c>
    </row>
    <row r="2406" spans="1:17" x14ac:dyDescent="0.3">
      <c r="A2406" t="s">
        <v>3473</v>
      </c>
      <c r="B2406" s="6">
        <v>45112</v>
      </c>
      <c r="C2406" s="6" t="str">
        <f t="shared" si="111"/>
        <v>Jul</v>
      </c>
      <c r="D2406" t="s">
        <v>3474</v>
      </c>
      <c r="E2406" t="s">
        <v>36</v>
      </c>
      <c r="F2406" t="s">
        <v>363</v>
      </c>
      <c r="G2406">
        <v>8</v>
      </c>
      <c r="H2406" s="7">
        <v>188.3</v>
      </c>
      <c r="I2406" t="s">
        <v>103</v>
      </c>
      <c r="J2406" t="s">
        <v>87</v>
      </c>
      <c r="K2406">
        <v>15</v>
      </c>
      <c r="L2406" s="7">
        <f t="shared" si="112"/>
        <v>1506.4</v>
      </c>
      <c r="M2406" s="7"/>
      <c r="O2406">
        <f t="shared" si="113"/>
        <v>2</v>
      </c>
      <c r="Q2406" t="s">
        <v>104</v>
      </c>
    </row>
    <row r="2407" spans="1:17" x14ac:dyDescent="0.3">
      <c r="A2407" t="s">
        <v>3475</v>
      </c>
      <c r="B2407" s="6">
        <v>45181</v>
      </c>
      <c r="C2407" s="6" t="str">
        <f t="shared" si="111"/>
        <v>Sep</v>
      </c>
      <c r="D2407" t="s">
        <v>863</v>
      </c>
      <c r="E2407" t="s">
        <v>36</v>
      </c>
      <c r="F2407" t="s">
        <v>722</v>
      </c>
      <c r="G2407">
        <v>6</v>
      </c>
      <c r="H2407" s="7">
        <v>116.95</v>
      </c>
      <c r="I2407" t="s">
        <v>46</v>
      </c>
      <c r="J2407" t="s">
        <v>19</v>
      </c>
      <c r="K2407">
        <v>10</v>
      </c>
      <c r="L2407" s="7">
        <f t="shared" si="112"/>
        <v>701.7</v>
      </c>
      <c r="M2407" s="7"/>
      <c r="O2407">
        <f t="shared" si="113"/>
        <v>2</v>
      </c>
      <c r="Q2407" t="s">
        <v>47</v>
      </c>
    </row>
    <row r="2408" spans="1:17" x14ac:dyDescent="0.3">
      <c r="A2408" t="s">
        <v>3476</v>
      </c>
      <c r="B2408" s="6">
        <v>45274</v>
      </c>
      <c r="C2408" s="6" t="str">
        <f t="shared" si="111"/>
        <v>Dec</v>
      </c>
      <c r="D2408" t="s">
        <v>915</v>
      </c>
      <c r="E2408" t="s">
        <v>40</v>
      </c>
      <c r="F2408" t="s">
        <v>445</v>
      </c>
      <c r="G2408">
        <v>1</v>
      </c>
      <c r="H2408" s="7">
        <v>437.05</v>
      </c>
      <c r="I2408" t="s">
        <v>103</v>
      </c>
      <c r="J2408" t="s">
        <v>19</v>
      </c>
      <c r="K2408">
        <v>20</v>
      </c>
      <c r="L2408" s="7">
        <f t="shared" si="112"/>
        <v>437.05</v>
      </c>
      <c r="M2408" s="7"/>
      <c r="O2408">
        <f t="shared" si="113"/>
        <v>2</v>
      </c>
      <c r="Q2408" t="s">
        <v>104</v>
      </c>
    </row>
    <row r="2409" spans="1:17" x14ac:dyDescent="0.3">
      <c r="A2409" t="s">
        <v>3477</v>
      </c>
      <c r="B2409" s="6">
        <v>45212</v>
      </c>
      <c r="C2409" s="6" t="str">
        <f t="shared" si="111"/>
        <v>Oct</v>
      </c>
      <c r="D2409" t="s">
        <v>774</v>
      </c>
      <c r="E2409" t="s">
        <v>62</v>
      </c>
      <c r="F2409" t="s">
        <v>1194</v>
      </c>
      <c r="G2409">
        <v>1</v>
      </c>
      <c r="H2409" s="7">
        <v>408.21</v>
      </c>
      <c r="I2409" t="s">
        <v>46</v>
      </c>
      <c r="J2409" t="s">
        <v>72</v>
      </c>
      <c r="K2409">
        <v>10</v>
      </c>
      <c r="L2409" s="7">
        <f t="shared" si="112"/>
        <v>408.21</v>
      </c>
      <c r="M2409" s="7"/>
      <c r="O2409">
        <f t="shared" si="113"/>
        <v>2</v>
      </c>
      <c r="Q2409" t="s">
        <v>47</v>
      </c>
    </row>
    <row r="2410" spans="1:17" x14ac:dyDescent="0.3">
      <c r="A2410" t="s">
        <v>3478</v>
      </c>
      <c r="B2410" s="6">
        <v>44977</v>
      </c>
      <c r="C2410" s="6" t="str">
        <f t="shared" si="111"/>
        <v>Feb</v>
      </c>
      <c r="D2410" t="s">
        <v>2535</v>
      </c>
      <c r="E2410" t="s">
        <v>26</v>
      </c>
      <c r="F2410" t="s">
        <v>1117</v>
      </c>
      <c r="G2410">
        <v>7</v>
      </c>
      <c r="H2410" s="7">
        <v>120.79</v>
      </c>
      <c r="I2410" t="s">
        <v>64</v>
      </c>
      <c r="J2410" t="s">
        <v>28</v>
      </c>
      <c r="K2410">
        <v>20</v>
      </c>
      <c r="L2410" s="7">
        <f t="shared" si="112"/>
        <v>845.53000000000009</v>
      </c>
      <c r="M2410" s="7"/>
      <c r="O2410">
        <f t="shared" si="113"/>
        <v>2</v>
      </c>
      <c r="Q2410" t="s">
        <v>65</v>
      </c>
    </row>
    <row r="2411" spans="1:17" x14ac:dyDescent="0.3">
      <c r="A2411" t="s">
        <v>3479</v>
      </c>
      <c r="B2411" s="6">
        <v>45019</v>
      </c>
      <c r="C2411" s="6" t="str">
        <f t="shared" si="111"/>
        <v>Apr</v>
      </c>
      <c r="D2411" t="s">
        <v>3480</v>
      </c>
      <c r="E2411" t="s">
        <v>62</v>
      </c>
      <c r="F2411" t="s">
        <v>239</v>
      </c>
      <c r="G2411">
        <v>8</v>
      </c>
      <c r="H2411" s="7">
        <v>104.31</v>
      </c>
      <c r="I2411" t="s">
        <v>46</v>
      </c>
      <c r="J2411" t="s">
        <v>42</v>
      </c>
      <c r="K2411">
        <v>5</v>
      </c>
      <c r="L2411" s="7">
        <f t="shared" si="112"/>
        <v>834.48</v>
      </c>
      <c r="M2411" s="7"/>
      <c r="O2411">
        <f t="shared" si="113"/>
        <v>2</v>
      </c>
      <c r="Q2411" t="s">
        <v>47</v>
      </c>
    </row>
    <row r="2412" spans="1:17" x14ac:dyDescent="0.3">
      <c r="A2412" t="s">
        <v>3481</v>
      </c>
      <c r="B2412" s="6">
        <v>45178</v>
      </c>
      <c r="C2412" s="6" t="str">
        <f t="shared" si="111"/>
        <v>Sep</v>
      </c>
      <c r="D2412" t="s">
        <v>809</v>
      </c>
      <c r="E2412" t="s">
        <v>26</v>
      </c>
      <c r="F2412" t="s">
        <v>693</v>
      </c>
      <c r="G2412">
        <v>5</v>
      </c>
      <c r="H2412" s="7">
        <v>358.99</v>
      </c>
      <c r="I2412" t="s">
        <v>19</v>
      </c>
      <c r="J2412" t="s">
        <v>42</v>
      </c>
      <c r="K2412">
        <v>5</v>
      </c>
      <c r="L2412" s="7">
        <f t="shared" si="112"/>
        <v>1794.95</v>
      </c>
      <c r="M2412" s="7"/>
      <c r="O2412">
        <f t="shared" si="113"/>
        <v>2</v>
      </c>
      <c r="Q2412" t="s">
        <v>19</v>
      </c>
    </row>
    <row r="2413" spans="1:17" x14ac:dyDescent="0.3">
      <c r="A2413" t="s">
        <v>3482</v>
      </c>
      <c r="B2413" s="6">
        <v>45243</v>
      </c>
      <c r="C2413" s="6" t="str">
        <f t="shared" si="111"/>
        <v>Nov</v>
      </c>
      <c r="D2413" t="s">
        <v>1875</v>
      </c>
      <c r="E2413" t="s">
        <v>19</v>
      </c>
      <c r="F2413" t="s">
        <v>125</v>
      </c>
      <c r="G2413">
        <v>5</v>
      </c>
      <c r="H2413" s="7">
        <v>160.9</v>
      </c>
      <c r="I2413" t="s">
        <v>64</v>
      </c>
      <c r="J2413" t="s">
        <v>87</v>
      </c>
      <c r="K2413">
        <v>0</v>
      </c>
      <c r="L2413" s="7">
        <f t="shared" si="112"/>
        <v>804.5</v>
      </c>
      <c r="M2413" s="7"/>
      <c r="O2413">
        <f t="shared" si="113"/>
        <v>2</v>
      </c>
      <c r="Q2413" t="s">
        <v>65</v>
      </c>
    </row>
    <row r="2414" spans="1:17" x14ac:dyDescent="0.3">
      <c r="A2414" t="s">
        <v>3483</v>
      </c>
      <c r="B2414" s="6">
        <v>45062</v>
      </c>
      <c r="C2414" s="6" t="str">
        <f t="shared" si="111"/>
        <v>May</v>
      </c>
      <c r="D2414" t="s">
        <v>429</v>
      </c>
      <c r="E2414" t="s">
        <v>19</v>
      </c>
      <c r="F2414" t="s">
        <v>1182</v>
      </c>
      <c r="G2414">
        <v>4</v>
      </c>
      <c r="H2414" s="7">
        <v>156.66999999999999</v>
      </c>
      <c r="I2414" t="s">
        <v>46</v>
      </c>
      <c r="J2414" t="s">
        <v>72</v>
      </c>
      <c r="K2414">
        <v>20</v>
      </c>
      <c r="L2414" s="7">
        <f t="shared" si="112"/>
        <v>626.67999999999995</v>
      </c>
      <c r="M2414" s="7"/>
      <c r="O2414">
        <f t="shared" si="113"/>
        <v>2</v>
      </c>
      <c r="Q2414" t="s">
        <v>47</v>
      </c>
    </row>
    <row r="2415" spans="1:17" x14ac:dyDescent="0.3">
      <c r="A2415" t="s">
        <v>3484</v>
      </c>
      <c r="B2415" s="6">
        <v>45165</v>
      </c>
      <c r="C2415" s="6" t="str">
        <f t="shared" si="111"/>
        <v>Aug</v>
      </c>
      <c r="D2415" t="s">
        <v>2233</v>
      </c>
      <c r="E2415" t="s">
        <v>19</v>
      </c>
      <c r="F2415" t="s">
        <v>41</v>
      </c>
      <c r="G2415">
        <v>5</v>
      </c>
      <c r="H2415" s="7">
        <v>80.38</v>
      </c>
      <c r="I2415" t="s">
        <v>46</v>
      </c>
      <c r="J2415" t="s">
        <v>22</v>
      </c>
      <c r="K2415">
        <v>20</v>
      </c>
      <c r="L2415" s="7">
        <f t="shared" si="112"/>
        <v>401.9</v>
      </c>
      <c r="M2415" s="7"/>
      <c r="O2415">
        <f t="shared" si="113"/>
        <v>2</v>
      </c>
      <c r="Q2415" t="s">
        <v>47</v>
      </c>
    </row>
    <row r="2416" spans="1:17" x14ac:dyDescent="0.3">
      <c r="A2416" t="s">
        <v>3485</v>
      </c>
      <c r="B2416" s="6">
        <v>45271</v>
      </c>
      <c r="C2416" s="6" t="str">
        <f t="shared" si="111"/>
        <v>Dec</v>
      </c>
      <c r="D2416" t="s">
        <v>860</v>
      </c>
      <c r="E2416" t="s">
        <v>19</v>
      </c>
      <c r="F2416" t="s">
        <v>520</v>
      </c>
      <c r="G2416">
        <v>6</v>
      </c>
      <c r="H2416" s="7">
        <v>135.66999999999999</v>
      </c>
      <c r="I2416" t="s">
        <v>46</v>
      </c>
      <c r="J2416" t="s">
        <v>28</v>
      </c>
      <c r="K2416">
        <v>10</v>
      </c>
      <c r="L2416" s="7">
        <f t="shared" si="112"/>
        <v>814.02</v>
      </c>
      <c r="M2416" s="7"/>
      <c r="O2416">
        <f t="shared" si="113"/>
        <v>2</v>
      </c>
      <c r="Q2416" t="s">
        <v>47</v>
      </c>
    </row>
    <row r="2417" spans="1:17" x14ac:dyDescent="0.3">
      <c r="A2417" t="s">
        <v>3486</v>
      </c>
      <c r="B2417" s="6">
        <v>45163</v>
      </c>
      <c r="C2417" s="6" t="str">
        <f t="shared" si="111"/>
        <v>Aug</v>
      </c>
      <c r="D2417" t="s">
        <v>30</v>
      </c>
      <c r="E2417" t="s">
        <v>19</v>
      </c>
      <c r="F2417" t="s">
        <v>63</v>
      </c>
      <c r="G2417">
        <v>3</v>
      </c>
      <c r="H2417" s="7">
        <v>252.16</v>
      </c>
      <c r="I2417" t="s">
        <v>64</v>
      </c>
      <c r="J2417" t="s">
        <v>72</v>
      </c>
      <c r="K2417">
        <v>5</v>
      </c>
      <c r="L2417" s="7">
        <f t="shared" si="112"/>
        <v>756.48</v>
      </c>
      <c r="M2417" s="7"/>
      <c r="O2417">
        <f t="shared" si="113"/>
        <v>2</v>
      </c>
      <c r="Q2417" t="s">
        <v>65</v>
      </c>
    </row>
    <row r="2418" spans="1:17" x14ac:dyDescent="0.3">
      <c r="A2418" t="s">
        <v>3487</v>
      </c>
      <c r="B2418" s="6">
        <v>45253</v>
      </c>
      <c r="C2418" s="6" t="str">
        <f t="shared" si="111"/>
        <v>Nov</v>
      </c>
      <c r="D2418" t="s">
        <v>2173</v>
      </c>
      <c r="E2418" t="s">
        <v>50</v>
      </c>
      <c r="F2418" t="s">
        <v>432</v>
      </c>
      <c r="G2418">
        <v>9</v>
      </c>
      <c r="H2418" s="7">
        <v>367.75</v>
      </c>
      <c r="I2418" t="s">
        <v>21</v>
      </c>
      <c r="J2418" t="s">
        <v>42</v>
      </c>
      <c r="K2418">
        <v>10</v>
      </c>
      <c r="L2418" s="7">
        <f t="shared" si="112"/>
        <v>3309.75</v>
      </c>
      <c r="M2418" s="7"/>
      <c r="O2418">
        <f t="shared" si="113"/>
        <v>4</v>
      </c>
      <c r="Q2418" t="s">
        <v>23</v>
      </c>
    </row>
    <row r="2419" spans="1:17" x14ac:dyDescent="0.3">
      <c r="A2419" t="s">
        <v>3488</v>
      </c>
      <c r="B2419" s="6">
        <v>45260</v>
      </c>
      <c r="C2419" s="6" t="str">
        <f t="shared" si="111"/>
        <v>Nov</v>
      </c>
      <c r="D2419" t="s">
        <v>985</v>
      </c>
      <c r="E2419" t="s">
        <v>50</v>
      </c>
      <c r="F2419" t="s">
        <v>657</v>
      </c>
      <c r="G2419">
        <v>7</v>
      </c>
      <c r="H2419" s="7">
        <v>171.47</v>
      </c>
      <c r="I2419" t="s">
        <v>103</v>
      </c>
      <c r="J2419" t="s">
        <v>87</v>
      </c>
      <c r="K2419">
        <v>0</v>
      </c>
      <c r="L2419" s="7">
        <f t="shared" si="112"/>
        <v>1200.29</v>
      </c>
      <c r="M2419" s="7"/>
      <c r="O2419">
        <f t="shared" si="113"/>
        <v>2</v>
      </c>
      <c r="Q2419" t="s">
        <v>104</v>
      </c>
    </row>
    <row r="2420" spans="1:17" x14ac:dyDescent="0.3">
      <c r="A2420" t="s">
        <v>3489</v>
      </c>
      <c r="B2420" s="6">
        <v>45257</v>
      </c>
      <c r="C2420" s="6" t="str">
        <f t="shared" si="111"/>
        <v>Nov</v>
      </c>
      <c r="D2420" t="s">
        <v>3490</v>
      </c>
      <c r="E2420" t="s">
        <v>62</v>
      </c>
      <c r="F2420" t="s">
        <v>107</v>
      </c>
      <c r="G2420">
        <v>1</v>
      </c>
      <c r="H2420" s="7">
        <v>167.66</v>
      </c>
      <c r="I2420" t="s">
        <v>46</v>
      </c>
      <c r="J2420" t="s">
        <v>87</v>
      </c>
      <c r="K2420">
        <v>20</v>
      </c>
      <c r="L2420" s="7">
        <f t="shared" si="112"/>
        <v>167.66</v>
      </c>
      <c r="M2420" s="7"/>
      <c r="O2420">
        <f t="shared" si="113"/>
        <v>2</v>
      </c>
      <c r="Q2420" t="s">
        <v>47</v>
      </c>
    </row>
    <row r="2421" spans="1:17" x14ac:dyDescent="0.3">
      <c r="A2421" t="s">
        <v>3491</v>
      </c>
      <c r="B2421" s="6">
        <v>45005</v>
      </c>
      <c r="C2421" s="6" t="str">
        <f t="shared" si="111"/>
        <v>Mar</v>
      </c>
      <c r="D2421" t="s">
        <v>1600</v>
      </c>
      <c r="E2421" t="s">
        <v>26</v>
      </c>
      <c r="F2421" t="s">
        <v>1182</v>
      </c>
      <c r="G2421">
        <v>7</v>
      </c>
      <c r="H2421" s="7">
        <v>146.03</v>
      </c>
      <c r="I2421" t="s">
        <v>32</v>
      </c>
      <c r="J2421" t="s">
        <v>87</v>
      </c>
      <c r="K2421">
        <v>15</v>
      </c>
      <c r="L2421" s="7">
        <f t="shared" si="112"/>
        <v>1022.21</v>
      </c>
      <c r="M2421" s="7"/>
      <c r="O2421">
        <f t="shared" si="113"/>
        <v>2</v>
      </c>
      <c r="Q2421" t="s">
        <v>33</v>
      </c>
    </row>
    <row r="2422" spans="1:17" x14ac:dyDescent="0.3">
      <c r="A2422" t="s">
        <v>3492</v>
      </c>
      <c r="B2422" s="6">
        <v>44953</v>
      </c>
      <c r="C2422" s="6" t="str">
        <f t="shared" si="111"/>
        <v>Jan</v>
      </c>
      <c r="D2422" t="s">
        <v>144</v>
      </c>
      <c r="E2422" t="s">
        <v>31</v>
      </c>
      <c r="F2422" t="s">
        <v>328</v>
      </c>
      <c r="G2422">
        <v>5</v>
      </c>
      <c r="H2422" s="7">
        <v>241.75</v>
      </c>
      <c r="I2422" t="s">
        <v>46</v>
      </c>
      <c r="J2422" t="s">
        <v>42</v>
      </c>
      <c r="K2422">
        <v>15</v>
      </c>
      <c r="L2422" s="7">
        <f t="shared" si="112"/>
        <v>1208.75</v>
      </c>
      <c r="M2422" s="7"/>
      <c r="O2422">
        <f t="shared" si="113"/>
        <v>2</v>
      </c>
      <c r="Q2422" t="s">
        <v>47</v>
      </c>
    </row>
    <row r="2423" spans="1:17" x14ac:dyDescent="0.3">
      <c r="A2423" t="s">
        <v>3493</v>
      </c>
      <c r="B2423" s="6">
        <v>45281</v>
      </c>
      <c r="C2423" s="6" t="str">
        <f t="shared" si="111"/>
        <v>Dec</v>
      </c>
      <c r="D2423" t="s">
        <v>1416</v>
      </c>
      <c r="E2423" t="s">
        <v>19</v>
      </c>
      <c r="F2423" t="s">
        <v>646</v>
      </c>
      <c r="G2423">
        <v>5</v>
      </c>
      <c r="H2423" s="7">
        <v>94.42</v>
      </c>
      <c r="I2423" t="s">
        <v>64</v>
      </c>
      <c r="J2423" t="s">
        <v>19</v>
      </c>
      <c r="K2423">
        <v>10</v>
      </c>
      <c r="L2423" s="7">
        <f t="shared" si="112"/>
        <v>472.1</v>
      </c>
      <c r="M2423" s="7"/>
      <c r="O2423">
        <f t="shared" si="113"/>
        <v>2</v>
      </c>
      <c r="Q2423" t="s">
        <v>65</v>
      </c>
    </row>
    <row r="2424" spans="1:17" x14ac:dyDescent="0.3">
      <c r="A2424" t="s">
        <v>3494</v>
      </c>
      <c r="B2424" s="6">
        <v>45249</v>
      </c>
      <c r="C2424" s="6" t="str">
        <f t="shared" si="111"/>
        <v>Nov</v>
      </c>
      <c r="D2424" t="s">
        <v>297</v>
      </c>
      <c r="E2424" t="s">
        <v>26</v>
      </c>
      <c r="F2424" t="s">
        <v>1142</v>
      </c>
      <c r="G2424">
        <v>2</v>
      </c>
      <c r="H2424" s="7">
        <v>245.39</v>
      </c>
      <c r="I2424" t="s">
        <v>64</v>
      </c>
      <c r="J2424" t="s">
        <v>87</v>
      </c>
      <c r="K2424">
        <v>5</v>
      </c>
      <c r="L2424" s="7">
        <f t="shared" si="112"/>
        <v>490.78</v>
      </c>
      <c r="M2424" s="7"/>
      <c r="O2424">
        <f t="shared" si="113"/>
        <v>2</v>
      </c>
      <c r="Q2424" t="s">
        <v>65</v>
      </c>
    </row>
    <row r="2425" spans="1:17" x14ac:dyDescent="0.3">
      <c r="A2425" t="s">
        <v>3495</v>
      </c>
      <c r="B2425" s="6">
        <v>45107</v>
      </c>
      <c r="C2425" s="6" t="str">
        <f t="shared" si="111"/>
        <v>Jun</v>
      </c>
      <c r="D2425" t="s">
        <v>2912</v>
      </c>
      <c r="E2425" t="s">
        <v>36</v>
      </c>
      <c r="F2425" t="s">
        <v>1251</v>
      </c>
      <c r="G2425">
        <v>4</v>
      </c>
      <c r="H2425" s="7">
        <v>353.57</v>
      </c>
      <c r="I2425" t="s">
        <v>19</v>
      </c>
      <c r="J2425" t="s">
        <v>28</v>
      </c>
      <c r="K2425">
        <v>5</v>
      </c>
      <c r="L2425" s="7">
        <f t="shared" si="112"/>
        <v>1414.28</v>
      </c>
      <c r="M2425" s="7"/>
      <c r="O2425">
        <f t="shared" si="113"/>
        <v>2</v>
      </c>
      <c r="Q2425" t="s">
        <v>19</v>
      </c>
    </row>
    <row r="2426" spans="1:17" x14ac:dyDescent="0.3">
      <c r="A2426" t="s">
        <v>3496</v>
      </c>
      <c r="B2426" s="6">
        <v>45171</v>
      </c>
      <c r="C2426" s="6" t="str">
        <f t="shared" si="111"/>
        <v>Sep</v>
      </c>
      <c r="D2426" t="s">
        <v>333</v>
      </c>
      <c r="E2426" t="s">
        <v>62</v>
      </c>
      <c r="F2426" t="s">
        <v>598</v>
      </c>
      <c r="G2426">
        <v>6</v>
      </c>
      <c r="H2426" s="7">
        <v>19.75</v>
      </c>
      <c r="I2426" t="s">
        <v>46</v>
      </c>
      <c r="J2426" t="s">
        <v>28</v>
      </c>
      <c r="K2426">
        <v>5</v>
      </c>
      <c r="L2426" s="7">
        <f t="shared" si="112"/>
        <v>118.5</v>
      </c>
      <c r="M2426" s="7"/>
      <c r="O2426">
        <f t="shared" si="113"/>
        <v>2</v>
      </c>
      <c r="Q2426" t="s">
        <v>47</v>
      </c>
    </row>
    <row r="2427" spans="1:17" x14ac:dyDescent="0.3">
      <c r="A2427" t="s">
        <v>3497</v>
      </c>
      <c r="B2427" s="6">
        <v>45209</v>
      </c>
      <c r="C2427" s="6" t="str">
        <f t="shared" si="111"/>
        <v>Oct</v>
      </c>
      <c r="D2427" t="s">
        <v>997</v>
      </c>
      <c r="E2427" t="s">
        <v>19</v>
      </c>
      <c r="F2427" t="s">
        <v>90</v>
      </c>
      <c r="G2427">
        <v>7</v>
      </c>
      <c r="H2427" s="7">
        <v>9.84</v>
      </c>
      <c r="I2427" t="s">
        <v>21</v>
      </c>
      <c r="J2427" t="s">
        <v>22</v>
      </c>
      <c r="K2427">
        <v>10</v>
      </c>
      <c r="L2427" s="7">
        <f t="shared" si="112"/>
        <v>68.88</v>
      </c>
      <c r="M2427" s="7"/>
      <c r="O2427">
        <f t="shared" si="113"/>
        <v>2</v>
      </c>
      <c r="Q2427" t="s">
        <v>23</v>
      </c>
    </row>
    <row r="2428" spans="1:17" x14ac:dyDescent="0.3">
      <c r="A2428" t="s">
        <v>3498</v>
      </c>
      <c r="B2428" s="6">
        <v>44941</v>
      </c>
      <c r="C2428" s="6" t="str">
        <f t="shared" si="111"/>
        <v>Jan</v>
      </c>
      <c r="D2428" t="s">
        <v>623</v>
      </c>
      <c r="E2428" t="s">
        <v>26</v>
      </c>
      <c r="F2428" t="s">
        <v>134</v>
      </c>
      <c r="G2428">
        <v>5</v>
      </c>
      <c r="H2428" s="7">
        <v>42.19</v>
      </c>
      <c r="I2428" t="s">
        <v>64</v>
      </c>
      <c r="J2428" t="s">
        <v>28</v>
      </c>
      <c r="K2428">
        <v>15</v>
      </c>
      <c r="L2428" s="7">
        <f t="shared" si="112"/>
        <v>210.95</v>
      </c>
      <c r="M2428" s="7"/>
      <c r="O2428">
        <f t="shared" si="113"/>
        <v>2</v>
      </c>
      <c r="Q2428" t="s">
        <v>65</v>
      </c>
    </row>
    <row r="2429" spans="1:17" x14ac:dyDescent="0.3">
      <c r="A2429" t="s">
        <v>3499</v>
      </c>
      <c r="B2429" s="6">
        <v>44959</v>
      </c>
      <c r="C2429" s="6" t="str">
        <f t="shared" si="111"/>
        <v>Feb</v>
      </c>
      <c r="D2429" t="s">
        <v>2832</v>
      </c>
      <c r="E2429" t="s">
        <v>36</v>
      </c>
      <c r="F2429" t="s">
        <v>188</v>
      </c>
      <c r="G2429">
        <v>9</v>
      </c>
      <c r="H2429" s="7">
        <v>270.14999999999998</v>
      </c>
      <c r="I2429" t="s">
        <v>32</v>
      </c>
      <c r="J2429" t="s">
        <v>28</v>
      </c>
      <c r="K2429">
        <v>5</v>
      </c>
      <c r="L2429" s="7">
        <f t="shared" si="112"/>
        <v>2431.35</v>
      </c>
      <c r="M2429" s="7"/>
      <c r="O2429">
        <f t="shared" si="113"/>
        <v>2</v>
      </c>
      <c r="Q2429" t="s">
        <v>33</v>
      </c>
    </row>
    <row r="2430" spans="1:17" x14ac:dyDescent="0.3">
      <c r="A2430" t="s">
        <v>3500</v>
      </c>
      <c r="B2430" s="6">
        <v>45030</v>
      </c>
      <c r="C2430" s="6" t="str">
        <f t="shared" si="111"/>
        <v>Apr</v>
      </c>
      <c r="D2430" t="s">
        <v>2797</v>
      </c>
      <c r="E2430" t="s">
        <v>31</v>
      </c>
      <c r="F2430" t="s">
        <v>165</v>
      </c>
      <c r="G2430">
        <v>3</v>
      </c>
      <c r="H2430" s="7">
        <v>427.96</v>
      </c>
      <c r="I2430" t="s">
        <v>32</v>
      </c>
      <c r="J2430" t="s">
        <v>87</v>
      </c>
      <c r="K2430">
        <v>15</v>
      </c>
      <c r="L2430" s="7">
        <f t="shared" si="112"/>
        <v>1283.8799999999999</v>
      </c>
      <c r="M2430" s="7"/>
      <c r="O2430">
        <f t="shared" si="113"/>
        <v>2</v>
      </c>
      <c r="Q2430" t="s">
        <v>33</v>
      </c>
    </row>
    <row r="2431" spans="1:17" x14ac:dyDescent="0.3">
      <c r="A2431" t="s">
        <v>3501</v>
      </c>
      <c r="B2431" s="6">
        <v>45149</v>
      </c>
      <c r="C2431" s="6" t="str">
        <f t="shared" si="111"/>
        <v>Aug</v>
      </c>
      <c r="D2431" t="s">
        <v>3502</v>
      </c>
      <c r="E2431" t="s">
        <v>40</v>
      </c>
      <c r="F2431" t="s">
        <v>627</v>
      </c>
      <c r="G2431">
        <v>1</v>
      </c>
      <c r="H2431" s="7">
        <v>7.42</v>
      </c>
      <c r="I2431" t="s">
        <v>19</v>
      </c>
      <c r="J2431" t="s">
        <v>72</v>
      </c>
      <c r="K2431">
        <v>10</v>
      </c>
      <c r="L2431" s="7">
        <f t="shared" si="112"/>
        <v>7.42</v>
      </c>
      <c r="M2431" s="7"/>
      <c r="O2431">
        <f t="shared" si="113"/>
        <v>2</v>
      </c>
      <c r="Q2431" t="s">
        <v>19</v>
      </c>
    </row>
    <row r="2432" spans="1:17" x14ac:dyDescent="0.3">
      <c r="A2432" t="s">
        <v>3503</v>
      </c>
      <c r="B2432" s="6">
        <v>45244</v>
      </c>
      <c r="C2432" s="6" t="str">
        <f t="shared" si="111"/>
        <v>Nov</v>
      </c>
      <c r="D2432" t="s">
        <v>1821</v>
      </c>
      <c r="E2432" t="s">
        <v>26</v>
      </c>
      <c r="F2432" t="s">
        <v>450</v>
      </c>
      <c r="G2432">
        <v>4</v>
      </c>
      <c r="H2432" s="7">
        <v>468.65</v>
      </c>
      <c r="I2432" t="s">
        <v>19</v>
      </c>
      <c r="J2432" t="s">
        <v>19</v>
      </c>
      <c r="K2432">
        <v>0</v>
      </c>
      <c r="L2432" s="7">
        <f t="shared" si="112"/>
        <v>1874.6</v>
      </c>
      <c r="M2432" s="7"/>
      <c r="O2432">
        <f t="shared" si="113"/>
        <v>2</v>
      </c>
      <c r="Q2432" t="s">
        <v>19</v>
      </c>
    </row>
    <row r="2433" spans="1:17" x14ac:dyDescent="0.3">
      <c r="A2433" t="s">
        <v>3504</v>
      </c>
      <c r="B2433" s="6">
        <v>44988</v>
      </c>
      <c r="C2433" s="6" t="str">
        <f t="shared" si="111"/>
        <v>Mar</v>
      </c>
      <c r="D2433" t="s">
        <v>553</v>
      </c>
      <c r="E2433" t="s">
        <v>31</v>
      </c>
      <c r="F2433" t="s">
        <v>328</v>
      </c>
      <c r="G2433">
        <v>9</v>
      </c>
      <c r="H2433" s="7">
        <v>57.61</v>
      </c>
      <c r="I2433" t="s">
        <v>32</v>
      </c>
      <c r="J2433" t="s">
        <v>42</v>
      </c>
      <c r="K2433">
        <v>10</v>
      </c>
      <c r="L2433" s="7">
        <f t="shared" si="112"/>
        <v>518.49</v>
      </c>
      <c r="M2433" s="7"/>
      <c r="O2433">
        <f t="shared" si="113"/>
        <v>2</v>
      </c>
      <c r="Q2433" t="s">
        <v>33</v>
      </c>
    </row>
    <row r="2434" spans="1:17" x14ac:dyDescent="0.3">
      <c r="A2434" t="s">
        <v>3505</v>
      </c>
      <c r="B2434" s="6">
        <v>45217</v>
      </c>
      <c r="C2434" s="6" t="str">
        <f t="shared" si="111"/>
        <v>Oct</v>
      </c>
      <c r="D2434" t="s">
        <v>917</v>
      </c>
      <c r="E2434" t="s">
        <v>36</v>
      </c>
      <c r="F2434" t="s">
        <v>341</v>
      </c>
      <c r="G2434">
        <v>4</v>
      </c>
      <c r="H2434" s="7">
        <v>421.78</v>
      </c>
      <c r="I2434" t="s">
        <v>64</v>
      </c>
      <c r="J2434" t="s">
        <v>28</v>
      </c>
      <c r="K2434">
        <v>20</v>
      </c>
      <c r="L2434" s="7">
        <f t="shared" si="112"/>
        <v>1687.12</v>
      </c>
      <c r="M2434" s="7"/>
      <c r="O2434">
        <f t="shared" si="113"/>
        <v>2</v>
      </c>
      <c r="Q2434" t="s">
        <v>65</v>
      </c>
    </row>
    <row r="2435" spans="1:17" x14ac:dyDescent="0.3">
      <c r="A2435" t="s">
        <v>3506</v>
      </c>
      <c r="B2435" s="6">
        <v>44948</v>
      </c>
      <c r="C2435" s="6" t="str">
        <f t="shared" ref="C2435:C2498" si="114">TEXT(B2435,"MMM")</f>
        <v>Jan</v>
      </c>
      <c r="D2435" t="s">
        <v>1690</v>
      </c>
      <c r="E2435" t="s">
        <v>19</v>
      </c>
      <c r="F2435" t="s">
        <v>151</v>
      </c>
      <c r="G2435">
        <v>2</v>
      </c>
      <c r="H2435" s="7">
        <v>244.01</v>
      </c>
      <c r="I2435" t="s">
        <v>46</v>
      </c>
      <c r="J2435" t="s">
        <v>87</v>
      </c>
      <c r="K2435">
        <v>10</v>
      </c>
      <c r="L2435" s="7">
        <f t="shared" ref="L2435:L2498" si="115">G2435*H2435</f>
        <v>488.02</v>
      </c>
      <c r="M2435" s="7"/>
      <c r="O2435">
        <f t="shared" si="113"/>
        <v>2</v>
      </c>
      <c r="Q2435" t="s">
        <v>47</v>
      </c>
    </row>
    <row r="2436" spans="1:17" x14ac:dyDescent="0.3">
      <c r="A2436" t="s">
        <v>3507</v>
      </c>
      <c r="B2436" s="6">
        <v>45032</v>
      </c>
      <c r="C2436" s="6" t="str">
        <f t="shared" si="114"/>
        <v>Apr</v>
      </c>
      <c r="D2436" t="s">
        <v>2996</v>
      </c>
      <c r="E2436" t="s">
        <v>40</v>
      </c>
      <c r="F2436" t="s">
        <v>488</v>
      </c>
      <c r="G2436">
        <v>5</v>
      </c>
      <c r="H2436" s="7">
        <v>331.38</v>
      </c>
      <c r="I2436" t="s">
        <v>19</v>
      </c>
      <c r="J2436" t="s">
        <v>87</v>
      </c>
      <c r="K2436">
        <v>15</v>
      </c>
      <c r="L2436" s="7">
        <f t="shared" si="115"/>
        <v>1656.9</v>
      </c>
      <c r="M2436" s="7"/>
      <c r="O2436">
        <f t="shared" ref="O2436:O2499" si="116">IF(L2436&gt;3500,5,IF(L2436&gt;3000,4,IF(L2436&gt;2500,3,IF(L2436&gt;2000,2,IF(L2436&gt;1000,2,2)))))</f>
        <v>2</v>
      </c>
      <c r="Q2436" t="s">
        <v>19</v>
      </c>
    </row>
    <row r="2437" spans="1:17" x14ac:dyDescent="0.3">
      <c r="A2437" t="s">
        <v>3508</v>
      </c>
      <c r="B2437" s="6">
        <v>45201</v>
      </c>
      <c r="C2437" s="6" t="str">
        <f t="shared" si="114"/>
        <v>Oct</v>
      </c>
      <c r="D2437" t="s">
        <v>74</v>
      </c>
      <c r="E2437" t="s">
        <v>26</v>
      </c>
      <c r="F2437" t="s">
        <v>188</v>
      </c>
      <c r="G2437">
        <v>3</v>
      </c>
      <c r="H2437" s="7">
        <v>257.79000000000002</v>
      </c>
      <c r="I2437" t="s">
        <v>19</v>
      </c>
      <c r="J2437" t="s">
        <v>28</v>
      </c>
      <c r="K2437">
        <v>10</v>
      </c>
      <c r="L2437" s="7">
        <f t="shared" si="115"/>
        <v>773.37000000000012</v>
      </c>
      <c r="M2437" s="7"/>
      <c r="O2437">
        <f t="shared" si="116"/>
        <v>2</v>
      </c>
      <c r="Q2437" t="s">
        <v>19</v>
      </c>
    </row>
    <row r="2438" spans="1:17" x14ac:dyDescent="0.3">
      <c r="A2438" t="s">
        <v>3509</v>
      </c>
      <c r="B2438" s="6">
        <v>45209</v>
      </c>
      <c r="C2438" s="6" t="str">
        <f t="shared" si="114"/>
        <v>Oct</v>
      </c>
      <c r="D2438" t="s">
        <v>954</v>
      </c>
      <c r="E2438" t="s">
        <v>62</v>
      </c>
      <c r="F2438" t="s">
        <v>706</v>
      </c>
      <c r="G2438">
        <v>9</v>
      </c>
      <c r="H2438" s="7">
        <v>241.14</v>
      </c>
      <c r="I2438" t="s">
        <v>32</v>
      </c>
      <c r="J2438" t="s">
        <v>19</v>
      </c>
      <c r="K2438">
        <v>20</v>
      </c>
      <c r="L2438" s="7">
        <f t="shared" si="115"/>
        <v>2170.2599999999998</v>
      </c>
      <c r="M2438" s="7"/>
      <c r="O2438">
        <f t="shared" si="116"/>
        <v>2</v>
      </c>
      <c r="Q2438" t="s">
        <v>33</v>
      </c>
    </row>
    <row r="2439" spans="1:17" x14ac:dyDescent="0.3">
      <c r="A2439" t="s">
        <v>3510</v>
      </c>
      <c r="B2439" s="6">
        <v>45264</v>
      </c>
      <c r="C2439" s="6" t="str">
        <f t="shared" si="114"/>
        <v>Dec</v>
      </c>
      <c r="D2439" t="s">
        <v>1124</v>
      </c>
      <c r="E2439" t="s">
        <v>50</v>
      </c>
      <c r="F2439" t="s">
        <v>1568</v>
      </c>
      <c r="G2439">
        <v>4</v>
      </c>
      <c r="H2439" s="7">
        <v>418.28</v>
      </c>
      <c r="I2439" t="s">
        <v>21</v>
      </c>
      <c r="J2439" t="s">
        <v>28</v>
      </c>
      <c r="K2439">
        <v>10</v>
      </c>
      <c r="L2439" s="7">
        <f t="shared" si="115"/>
        <v>1673.12</v>
      </c>
      <c r="M2439" s="7"/>
      <c r="O2439">
        <f t="shared" si="116"/>
        <v>2</v>
      </c>
      <c r="Q2439" t="s">
        <v>23</v>
      </c>
    </row>
    <row r="2440" spans="1:17" x14ac:dyDescent="0.3">
      <c r="A2440" t="s">
        <v>3511</v>
      </c>
      <c r="B2440" s="6">
        <v>45183</v>
      </c>
      <c r="C2440" s="6" t="str">
        <f t="shared" si="114"/>
        <v>Sep</v>
      </c>
      <c r="D2440" t="s">
        <v>1475</v>
      </c>
      <c r="E2440" t="s">
        <v>31</v>
      </c>
      <c r="F2440" t="s">
        <v>160</v>
      </c>
      <c r="G2440">
        <v>6</v>
      </c>
      <c r="H2440" s="7">
        <v>379.16</v>
      </c>
      <c r="I2440" t="s">
        <v>64</v>
      </c>
      <c r="J2440" t="s">
        <v>22</v>
      </c>
      <c r="K2440">
        <v>0</v>
      </c>
      <c r="L2440" s="7">
        <f t="shared" si="115"/>
        <v>2274.96</v>
      </c>
      <c r="M2440" s="7"/>
      <c r="O2440">
        <f t="shared" si="116"/>
        <v>2</v>
      </c>
      <c r="Q2440" t="s">
        <v>65</v>
      </c>
    </row>
    <row r="2441" spans="1:17" x14ac:dyDescent="0.3">
      <c r="A2441" t="s">
        <v>3512</v>
      </c>
      <c r="B2441" s="6">
        <v>45040</v>
      </c>
      <c r="C2441" s="6" t="str">
        <f t="shared" si="114"/>
        <v>Apr</v>
      </c>
      <c r="D2441" t="s">
        <v>1219</v>
      </c>
      <c r="E2441" t="s">
        <v>19</v>
      </c>
      <c r="F2441" t="s">
        <v>1374</v>
      </c>
      <c r="G2441">
        <v>2</v>
      </c>
      <c r="H2441" s="7">
        <v>244.28</v>
      </c>
      <c r="I2441" t="s">
        <v>64</v>
      </c>
      <c r="J2441" t="s">
        <v>87</v>
      </c>
      <c r="K2441">
        <v>20</v>
      </c>
      <c r="L2441" s="7">
        <f t="shared" si="115"/>
        <v>488.56</v>
      </c>
      <c r="M2441" s="7"/>
      <c r="O2441">
        <f t="shared" si="116"/>
        <v>2</v>
      </c>
      <c r="Q2441" t="s">
        <v>65</v>
      </c>
    </row>
    <row r="2442" spans="1:17" x14ac:dyDescent="0.3">
      <c r="A2442" t="s">
        <v>3513</v>
      </c>
      <c r="B2442" s="6">
        <v>45192</v>
      </c>
      <c r="C2442" s="6" t="str">
        <f t="shared" si="114"/>
        <v>Sep</v>
      </c>
      <c r="D2442" t="s">
        <v>650</v>
      </c>
      <c r="E2442" t="s">
        <v>40</v>
      </c>
      <c r="F2442" t="s">
        <v>1180</v>
      </c>
      <c r="G2442">
        <v>6</v>
      </c>
      <c r="H2442" s="7">
        <v>60.26</v>
      </c>
      <c r="I2442" t="s">
        <v>64</v>
      </c>
      <c r="J2442" t="s">
        <v>87</v>
      </c>
      <c r="K2442">
        <v>10</v>
      </c>
      <c r="L2442" s="7">
        <f t="shared" si="115"/>
        <v>361.56</v>
      </c>
      <c r="M2442" s="7"/>
      <c r="O2442">
        <f t="shared" si="116"/>
        <v>2</v>
      </c>
      <c r="Q2442" t="s">
        <v>65</v>
      </c>
    </row>
    <row r="2443" spans="1:17" x14ac:dyDescent="0.3">
      <c r="A2443" t="s">
        <v>3514</v>
      </c>
      <c r="B2443" s="6">
        <v>45288</v>
      </c>
      <c r="C2443" s="6" t="str">
        <f t="shared" si="114"/>
        <v>Dec</v>
      </c>
      <c r="D2443" t="s">
        <v>571</v>
      </c>
      <c r="E2443" t="s">
        <v>19</v>
      </c>
      <c r="F2443" t="s">
        <v>1693</v>
      </c>
      <c r="G2443">
        <v>5</v>
      </c>
      <c r="H2443" s="7">
        <v>62.12</v>
      </c>
      <c r="I2443" t="s">
        <v>32</v>
      </c>
      <c r="J2443" t="s">
        <v>19</v>
      </c>
      <c r="K2443">
        <v>15</v>
      </c>
      <c r="L2443" s="7">
        <f t="shared" si="115"/>
        <v>310.59999999999997</v>
      </c>
      <c r="M2443" s="7"/>
      <c r="O2443">
        <f t="shared" si="116"/>
        <v>2</v>
      </c>
      <c r="Q2443" t="s">
        <v>33</v>
      </c>
    </row>
    <row r="2444" spans="1:17" x14ac:dyDescent="0.3">
      <c r="A2444" t="s">
        <v>3515</v>
      </c>
      <c r="B2444" s="6">
        <v>45017</v>
      </c>
      <c r="C2444" s="6" t="str">
        <f t="shared" si="114"/>
        <v>Apr</v>
      </c>
      <c r="D2444" t="s">
        <v>1703</v>
      </c>
      <c r="E2444" t="s">
        <v>50</v>
      </c>
      <c r="F2444" t="s">
        <v>366</v>
      </c>
      <c r="G2444">
        <v>9</v>
      </c>
      <c r="H2444" s="7">
        <v>401.76</v>
      </c>
      <c r="I2444" t="s">
        <v>46</v>
      </c>
      <c r="J2444" t="s">
        <v>72</v>
      </c>
      <c r="K2444">
        <v>20</v>
      </c>
      <c r="L2444" s="7">
        <f t="shared" si="115"/>
        <v>3615.84</v>
      </c>
      <c r="M2444" s="7"/>
      <c r="O2444">
        <f t="shared" si="116"/>
        <v>5</v>
      </c>
      <c r="Q2444" t="s">
        <v>47</v>
      </c>
    </row>
    <row r="2445" spans="1:17" x14ac:dyDescent="0.3">
      <c r="A2445" t="s">
        <v>3516</v>
      </c>
      <c r="B2445" s="6">
        <v>44974</v>
      </c>
      <c r="C2445" s="6" t="str">
        <f t="shared" si="114"/>
        <v>Feb</v>
      </c>
      <c r="D2445" t="s">
        <v>1433</v>
      </c>
      <c r="E2445" t="s">
        <v>19</v>
      </c>
      <c r="F2445" t="s">
        <v>684</v>
      </c>
      <c r="G2445">
        <v>2</v>
      </c>
      <c r="H2445" s="7">
        <v>267.05</v>
      </c>
      <c r="I2445" t="s">
        <v>21</v>
      </c>
      <c r="J2445" t="s">
        <v>22</v>
      </c>
      <c r="K2445">
        <v>10</v>
      </c>
      <c r="L2445" s="7">
        <f t="shared" si="115"/>
        <v>534.1</v>
      </c>
      <c r="M2445" s="7"/>
      <c r="O2445">
        <f t="shared" si="116"/>
        <v>2</v>
      </c>
      <c r="Q2445" t="s">
        <v>23</v>
      </c>
    </row>
    <row r="2446" spans="1:17" x14ac:dyDescent="0.3">
      <c r="A2446" t="s">
        <v>3517</v>
      </c>
      <c r="B2446" s="6">
        <v>45000</v>
      </c>
      <c r="C2446" s="6" t="str">
        <f t="shared" si="114"/>
        <v>Mar</v>
      </c>
      <c r="D2446" t="s">
        <v>483</v>
      </c>
      <c r="E2446" t="s">
        <v>40</v>
      </c>
      <c r="F2446" t="s">
        <v>366</v>
      </c>
      <c r="G2446">
        <v>9</v>
      </c>
      <c r="H2446" s="7">
        <v>243.39</v>
      </c>
      <c r="I2446" t="s">
        <v>46</v>
      </c>
      <c r="J2446" t="s">
        <v>42</v>
      </c>
      <c r="K2446">
        <v>5</v>
      </c>
      <c r="L2446" s="7">
        <f t="shared" si="115"/>
        <v>2190.5099999999998</v>
      </c>
      <c r="M2446" s="7"/>
      <c r="O2446">
        <f t="shared" si="116"/>
        <v>2</v>
      </c>
      <c r="Q2446" t="s">
        <v>47</v>
      </c>
    </row>
    <row r="2447" spans="1:17" x14ac:dyDescent="0.3">
      <c r="A2447" t="s">
        <v>3518</v>
      </c>
      <c r="B2447" s="6">
        <v>44982</v>
      </c>
      <c r="C2447" s="6" t="str">
        <f t="shared" si="114"/>
        <v>Feb</v>
      </c>
      <c r="D2447" t="s">
        <v>1446</v>
      </c>
      <c r="E2447" t="s">
        <v>26</v>
      </c>
      <c r="F2447" t="s">
        <v>708</v>
      </c>
      <c r="G2447">
        <v>5</v>
      </c>
      <c r="H2447" s="7">
        <v>341.88</v>
      </c>
      <c r="I2447" t="s">
        <v>32</v>
      </c>
      <c r="J2447" t="s">
        <v>87</v>
      </c>
      <c r="K2447">
        <v>10</v>
      </c>
      <c r="L2447" s="7">
        <f t="shared" si="115"/>
        <v>1709.4</v>
      </c>
      <c r="M2447" s="7"/>
      <c r="O2447">
        <f t="shared" si="116"/>
        <v>2</v>
      </c>
      <c r="Q2447" t="s">
        <v>33</v>
      </c>
    </row>
    <row r="2448" spans="1:17" x14ac:dyDescent="0.3">
      <c r="A2448" t="s">
        <v>3519</v>
      </c>
      <c r="B2448" s="6">
        <v>45068</v>
      </c>
      <c r="C2448" s="6" t="str">
        <f t="shared" si="114"/>
        <v>May</v>
      </c>
      <c r="D2448" t="s">
        <v>1988</v>
      </c>
      <c r="E2448" t="s">
        <v>19</v>
      </c>
      <c r="F2448" t="s">
        <v>170</v>
      </c>
      <c r="G2448">
        <v>8</v>
      </c>
      <c r="H2448" s="7">
        <v>430.13</v>
      </c>
      <c r="I2448" t="s">
        <v>19</v>
      </c>
      <c r="J2448" t="s">
        <v>72</v>
      </c>
      <c r="K2448">
        <v>15</v>
      </c>
      <c r="L2448" s="7">
        <f t="shared" si="115"/>
        <v>3441.04</v>
      </c>
      <c r="M2448" s="7"/>
      <c r="O2448">
        <f t="shared" si="116"/>
        <v>4</v>
      </c>
      <c r="Q2448" t="s">
        <v>19</v>
      </c>
    </row>
    <row r="2449" spans="1:17" x14ac:dyDescent="0.3">
      <c r="A2449" t="s">
        <v>3520</v>
      </c>
      <c r="B2449" s="6">
        <v>45178</v>
      </c>
      <c r="C2449" s="6" t="str">
        <f t="shared" si="114"/>
        <v>Sep</v>
      </c>
      <c r="D2449" t="s">
        <v>1673</v>
      </c>
      <c r="E2449" t="s">
        <v>50</v>
      </c>
      <c r="F2449" t="s">
        <v>242</v>
      </c>
      <c r="G2449">
        <v>2</v>
      </c>
      <c r="H2449" s="7">
        <v>316.29000000000002</v>
      </c>
      <c r="I2449" t="s">
        <v>21</v>
      </c>
      <c r="J2449" t="s">
        <v>19</v>
      </c>
      <c r="K2449">
        <v>0</v>
      </c>
      <c r="L2449" s="7">
        <f t="shared" si="115"/>
        <v>632.58000000000004</v>
      </c>
      <c r="M2449" s="7"/>
      <c r="O2449">
        <f t="shared" si="116"/>
        <v>2</v>
      </c>
      <c r="Q2449" t="s">
        <v>23</v>
      </c>
    </row>
    <row r="2450" spans="1:17" x14ac:dyDescent="0.3">
      <c r="A2450" t="s">
        <v>3521</v>
      </c>
      <c r="B2450" s="6">
        <v>45106</v>
      </c>
      <c r="C2450" s="6" t="str">
        <f t="shared" si="114"/>
        <v>Jun</v>
      </c>
      <c r="D2450" t="s">
        <v>3522</v>
      </c>
      <c r="E2450" t="s">
        <v>62</v>
      </c>
      <c r="F2450" t="s">
        <v>1568</v>
      </c>
      <c r="G2450">
        <v>6</v>
      </c>
      <c r="H2450" s="7">
        <v>382.61</v>
      </c>
      <c r="I2450" t="s">
        <v>103</v>
      </c>
      <c r="J2450" t="s">
        <v>87</v>
      </c>
      <c r="K2450">
        <v>20</v>
      </c>
      <c r="L2450" s="7">
        <f t="shared" si="115"/>
        <v>2295.66</v>
      </c>
      <c r="M2450" s="7"/>
      <c r="O2450">
        <f t="shared" si="116"/>
        <v>2</v>
      </c>
      <c r="Q2450" t="s">
        <v>104</v>
      </c>
    </row>
    <row r="2451" spans="1:17" x14ac:dyDescent="0.3">
      <c r="A2451" t="s">
        <v>3523</v>
      </c>
      <c r="B2451" s="6">
        <v>45094</v>
      </c>
      <c r="C2451" s="6" t="str">
        <f t="shared" si="114"/>
        <v>Jun</v>
      </c>
      <c r="D2451" t="s">
        <v>1578</v>
      </c>
      <c r="E2451" t="s">
        <v>31</v>
      </c>
      <c r="F2451" t="s">
        <v>1302</v>
      </c>
      <c r="G2451">
        <v>3</v>
      </c>
      <c r="H2451" s="7">
        <v>383.81</v>
      </c>
      <c r="I2451" t="s">
        <v>21</v>
      </c>
      <c r="J2451" t="s">
        <v>19</v>
      </c>
      <c r="K2451">
        <v>0</v>
      </c>
      <c r="L2451" s="7">
        <f t="shared" si="115"/>
        <v>1151.43</v>
      </c>
      <c r="M2451" s="7"/>
      <c r="O2451">
        <f t="shared" si="116"/>
        <v>2</v>
      </c>
      <c r="Q2451" t="s">
        <v>23</v>
      </c>
    </row>
    <row r="2452" spans="1:17" x14ac:dyDescent="0.3">
      <c r="A2452" t="s">
        <v>3524</v>
      </c>
      <c r="B2452" s="6">
        <v>44930</v>
      </c>
      <c r="C2452" s="6" t="str">
        <f t="shared" si="114"/>
        <v>Jan</v>
      </c>
      <c r="D2452" t="s">
        <v>3090</v>
      </c>
      <c r="E2452" t="s">
        <v>50</v>
      </c>
      <c r="F2452" t="s">
        <v>20</v>
      </c>
      <c r="G2452">
        <v>5</v>
      </c>
      <c r="H2452" s="7">
        <v>181.35</v>
      </c>
      <c r="I2452" t="s">
        <v>46</v>
      </c>
      <c r="J2452" t="s">
        <v>72</v>
      </c>
      <c r="K2452">
        <v>15</v>
      </c>
      <c r="L2452" s="7">
        <f t="shared" si="115"/>
        <v>906.75</v>
      </c>
      <c r="M2452" s="7"/>
      <c r="O2452">
        <f t="shared" si="116"/>
        <v>2</v>
      </c>
      <c r="Q2452" t="s">
        <v>47</v>
      </c>
    </row>
    <row r="2453" spans="1:17" x14ac:dyDescent="0.3">
      <c r="A2453" t="s">
        <v>3525</v>
      </c>
      <c r="B2453" s="6">
        <v>45005</v>
      </c>
      <c r="C2453" s="6" t="str">
        <f t="shared" si="114"/>
        <v>Mar</v>
      </c>
      <c r="D2453" t="s">
        <v>1285</v>
      </c>
      <c r="E2453" t="s">
        <v>19</v>
      </c>
      <c r="F2453" t="s">
        <v>205</v>
      </c>
      <c r="G2453">
        <v>8</v>
      </c>
      <c r="H2453" s="7">
        <v>140.66999999999999</v>
      </c>
      <c r="I2453" t="s">
        <v>19</v>
      </c>
      <c r="J2453" t="s">
        <v>28</v>
      </c>
      <c r="K2453">
        <v>20</v>
      </c>
      <c r="L2453" s="7">
        <f t="shared" si="115"/>
        <v>1125.3599999999999</v>
      </c>
      <c r="M2453" s="7"/>
      <c r="O2453">
        <f t="shared" si="116"/>
        <v>2</v>
      </c>
      <c r="Q2453" t="s">
        <v>19</v>
      </c>
    </row>
    <row r="2454" spans="1:17" x14ac:dyDescent="0.3">
      <c r="A2454" t="s">
        <v>3526</v>
      </c>
      <c r="B2454" s="6">
        <v>45256</v>
      </c>
      <c r="C2454" s="6" t="str">
        <f t="shared" si="114"/>
        <v>Nov</v>
      </c>
      <c r="D2454" t="s">
        <v>682</v>
      </c>
      <c r="E2454" t="s">
        <v>19</v>
      </c>
      <c r="F2454" t="s">
        <v>1282</v>
      </c>
      <c r="G2454">
        <v>1</v>
      </c>
      <c r="H2454" s="7">
        <v>401.58</v>
      </c>
      <c r="I2454" t="s">
        <v>32</v>
      </c>
      <c r="J2454" t="s">
        <v>22</v>
      </c>
      <c r="K2454">
        <v>10</v>
      </c>
      <c r="L2454" s="7">
        <f t="shared" si="115"/>
        <v>401.58</v>
      </c>
      <c r="M2454" s="7"/>
      <c r="O2454">
        <f t="shared" si="116"/>
        <v>2</v>
      </c>
      <c r="Q2454" t="s">
        <v>33</v>
      </c>
    </row>
    <row r="2455" spans="1:17" x14ac:dyDescent="0.3">
      <c r="A2455" t="s">
        <v>3527</v>
      </c>
      <c r="B2455" s="6">
        <v>44965</v>
      </c>
      <c r="C2455" s="6" t="str">
        <f t="shared" si="114"/>
        <v>Feb</v>
      </c>
      <c r="D2455" t="s">
        <v>3354</v>
      </c>
      <c r="E2455" t="s">
        <v>40</v>
      </c>
      <c r="F2455" t="s">
        <v>420</v>
      </c>
      <c r="G2455">
        <v>5</v>
      </c>
      <c r="H2455" s="7">
        <v>191.7</v>
      </c>
      <c r="I2455" t="s">
        <v>103</v>
      </c>
      <c r="J2455" t="s">
        <v>42</v>
      </c>
      <c r="K2455">
        <v>10</v>
      </c>
      <c r="L2455" s="7">
        <f t="shared" si="115"/>
        <v>958.5</v>
      </c>
      <c r="M2455" s="7"/>
      <c r="O2455">
        <f t="shared" si="116"/>
        <v>2</v>
      </c>
      <c r="Q2455" t="s">
        <v>104</v>
      </c>
    </row>
    <row r="2456" spans="1:17" x14ac:dyDescent="0.3">
      <c r="A2456" t="s">
        <v>3528</v>
      </c>
      <c r="B2456" s="6">
        <v>45106</v>
      </c>
      <c r="C2456" s="6" t="str">
        <f t="shared" si="114"/>
        <v>Jun</v>
      </c>
      <c r="D2456" t="s">
        <v>1453</v>
      </c>
      <c r="E2456" t="s">
        <v>19</v>
      </c>
      <c r="F2456" t="s">
        <v>684</v>
      </c>
      <c r="G2456">
        <v>3</v>
      </c>
      <c r="H2456" s="7">
        <v>452.15</v>
      </c>
      <c r="I2456" t="s">
        <v>103</v>
      </c>
      <c r="J2456" t="s">
        <v>42</v>
      </c>
      <c r="K2456">
        <v>10</v>
      </c>
      <c r="L2456" s="7">
        <f t="shared" si="115"/>
        <v>1356.4499999999998</v>
      </c>
      <c r="M2456" s="7"/>
      <c r="O2456">
        <f t="shared" si="116"/>
        <v>2</v>
      </c>
      <c r="Q2456" t="s">
        <v>104</v>
      </c>
    </row>
    <row r="2457" spans="1:17" x14ac:dyDescent="0.3">
      <c r="A2457" t="s">
        <v>3529</v>
      </c>
      <c r="B2457" s="6">
        <v>45227</v>
      </c>
      <c r="C2457" s="6" t="str">
        <f t="shared" si="114"/>
        <v>Oct</v>
      </c>
      <c r="D2457" t="s">
        <v>3530</v>
      </c>
      <c r="E2457" t="s">
        <v>40</v>
      </c>
      <c r="F2457" t="s">
        <v>944</v>
      </c>
      <c r="G2457">
        <v>4</v>
      </c>
      <c r="H2457" s="7">
        <v>39.5</v>
      </c>
      <c r="I2457" t="s">
        <v>21</v>
      </c>
      <c r="J2457" t="s">
        <v>28</v>
      </c>
      <c r="K2457">
        <v>10</v>
      </c>
      <c r="L2457" s="7">
        <f t="shared" si="115"/>
        <v>158</v>
      </c>
      <c r="M2457" s="7"/>
      <c r="O2457">
        <f t="shared" si="116"/>
        <v>2</v>
      </c>
      <c r="Q2457" t="s">
        <v>23</v>
      </c>
    </row>
    <row r="2458" spans="1:17" x14ac:dyDescent="0.3">
      <c r="A2458" t="s">
        <v>3531</v>
      </c>
      <c r="B2458" s="6">
        <v>45030</v>
      </c>
      <c r="C2458" s="6" t="str">
        <f t="shared" si="114"/>
        <v>Apr</v>
      </c>
      <c r="D2458" t="s">
        <v>902</v>
      </c>
      <c r="E2458" t="s">
        <v>40</v>
      </c>
      <c r="F2458" t="s">
        <v>20</v>
      </c>
      <c r="G2458">
        <v>2</v>
      </c>
      <c r="H2458" s="7">
        <v>33.82</v>
      </c>
      <c r="I2458" t="s">
        <v>64</v>
      </c>
      <c r="J2458" t="s">
        <v>19</v>
      </c>
      <c r="K2458">
        <v>15</v>
      </c>
      <c r="L2458" s="7">
        <f t="shared" si="115"/>
        <v>67.64</v>
      </c>
      <c r="M2458" s="7"/>
      <c r="O2458">
        <f t="shared" si="116"/>
        <v>2</v>
      </c>
      <c r="Q2458" t="s">
        <v>65</v>
      </c>
    </row>
    <row r="2459" spans="1:17" x14ac:dyDescent="0.3">
      <c r="A2459" t="s">
        <v>3532</v>
      </c>
      <c r="B2459" s="6">
        <v>45037</v>
      </c>
      <c r="C2459" s="6" t="str">
        <f t="shared" si="114"/>
        <v>Apr</v>
      </c>
      <c r="D2459" t="s">
        <v>3057</v>
      </c>
      <c r="E2459" t="s">
        <v>19</v>
      </c>
      <c r="F2459" t="s">
        <v>706</v>
      </c>
      <c r="G2459">
        <v>9</v>
      </c>
      <c r="H2459" s="7">
        <v>463.87</v>
      </c>
      <c r="I2459" t="s">
        <v>19</v>
      </c>
      <c r="J2459" t="s">
        <v>22</v>
      </c>
      <c r="K2459">
        <v>10</v>
      </c>
      <c r="L2459" s="7">
        <f t="shared" si="115"/>
        <v>4174.83</v>
      </c>
      <c r="M2459" s="7"/>
      <c r="O2459">
        <f t="shared" si="116"/>
        <v>5</v>
      </c>
      <c r="Q2459" t="s">
        <v>19</v>
      </c>
    </row>
    <row r="2460" spans="1:17" x14ac:dyDescent="0.3">
      <c r="A2460" t="s">
        <v>3533</v>
      </c>
      <c r="B2460" s="6">
        <v>44990</v>
      </c>
      <c r="C2460" s="6" t="str">
        <f t="shared" si="114"/>
        <v>Mar</v>
      </c>
      <c r="D2460" t="s">
        <v>793</v>
      </c>
      <c r="E2460" t="s">
        <v>40</v>
      </c>
      <c r="F2460" t="s">
        <v>331</v>
      </c>
      <c r="G2460">
        <v>3</v>
      </c>
      <c r="H2460" s="7">
        <v>325.99</v>
      </c>
      <c r="I2460" t="s">
        <v>21</v>
      </c>
      <c r="J2460" t="s">
        <v>22</v>
      </c>
      <c r="K2460">
        <v>20</v>
      </c>
      <c r="L2460" s="7">
        <f t="shared" si="115"/>
        <v>977.97</v>
      </c>
      <c r="M2460" s="7"/>
      <c r="O2460">
        <f t="shared" si="116"/>
        <v>2</v>
      </c>
      <c r="Q2460" t="s">
        <v>23</v>
      </c>
    </row>
    <row r="2461" spans="1:17" x14ac:dyDescent="0.3">
      <c r="A2461" t="s">
        <v>3534</v>
      </c>
      <c r="B2461" s="6">
        <v>45042</v>
      </c>
      <c r="C2461" s="6" t="str">
        <f t="shared" si="114"/>
        <v>Apr</v>
      </c>
      <c r="D2461" t="s">
        <v>600</v>
      </c>
      <c r="E2461" t="s">
        <v>19</v>
      </c>
      <c r="F2461" t="s">
        <v>713</v>
      </c>
      <c r="G2461">
        <v>2</v>
      </c>
      <c r="H2461" s="7">
        <v>192.9</v>
      </c>
      <c r="I2461" t="s">
        <v>32</v>
      </c>
      <c r="J2461" t="s">
        <v>72</v>
      </c>
      <c r="K2461">
        <v>10</v>
      </c>
      <c r="L2461" s="7">
        <f t="shared" si="115"/>
        <v>385.8</v>
      </c>
      <c r="M2461" s="7"/>
      <c r="O2461">
        <f t="shared" si="116"/>
        <v>2</v>
      </c>
      <c r="Q2461" t="s">
        <v>33</v>
      </c>
    </row>
    <row r="2462" spans="1:17" x14ac:dyDescent="0.3">
      <c r="A2462" t="s">
        <v>3535</v>
      </c>
      <c r="B2462" s="6">
        <v>44940</v>
      </c>
      <c r="C2462" s="6" t="str">
        <f t="shared" si="114"/>
        <v>Jan</v>
      </c>
      <c r="D2462" t="s">
        <v>1458</v>
      </c>
      <c r="E2462" t="s">
        <v>19</v>
      </c>
      <c r="F2462" t="s">
        <v>1038</v>
      </c>
      <c r="G2462">
        <v>9</v>
      </c>
      <c r="H2462" s="7">
        <v>378.75</v>
      </c>
      <c r="I2462" t="s">
        <v>103</v>
      </c>
      <c r="J2462" t="s">
        <v>28</v>
      </c>
      <c r="K2462">
        <v>10</v>
      </c>
      <c r="L2462" s="7">
        <f t="shared" si="115"/>
        <v>3408.75</v>
      </c>
      <c r="M2462" s="7"/>
      <c r="O2462">
        <f t="shared" si="116"/>
        <v>4</v>
      </c>
      <c r="Q2462" t="s">
        <v>104</v>
      </c>
    </row>
    <row r="2463" spans="1:17" x14ac:dyDescent="0.3">
      <c r="A2463" t="s">
        <v>3536</v>
      </c>
      <c r="B2463" s="6">
        <v>45120</v>
      </c>
      <c r="C2463" s="6" t="str">
        <f t="shared" si="114"/>
        <v>Jul</v>
      </c>
      <c r="D2463" t="s">
        <v>553</v>
      </c>
      <c r="E2463" t="s">
        <v>19</v>
      </c>
      <c r="F2463" t="s">
        <v>328</v>
      </c>
      <c r="G2463">
        <v>7</v>
      </c>
      <c r="H2463" s="7">
        <v>337.8</v>
      </c>
      <c r="I2463" t="s">
        <v>46</v>
      </c>
      <c r="J2463" t="s">
        <v>28</v>
      </c>
      <c r="K2463">
        <v>15</v>
      </c>
      <c r="L2463" s="7">
        <f t="shared" si="115"/>
        <v>2364.6</v>
      </c>
      <c r="M2463" s="7"/>
      <c r="O2463">
        <f t="shared" si="116"/>
        <v>2</v>
      </c>
      <c r="Q2463" t="s">
        <v>47</v>
      </c>
    </row>
    <row r="2464" spans="1:17" x14ac:dyDescent="0.3">
      <c r="A2464" t="s">
        <v>3537</v>
      </c>
      <c r="B2464" s="6">
        <v>44970</v>
      </c>
      <c r="C2464" s="6" t="str">
        <f t="shared" si="114"/>
        <v>Feb</v>
      </c>
      <c r="D2464" t="s">
        <v>682</v>
      </c>
      <c r="E2464" t="s">
        <v>26</v>
      </c>
      <c r="F2464" t="s">
        <v>822</v>
      </c>
      <c r="G2464">
        <v>6</v>
      </c>
      <c r="H2464" s="7">
        <v>267.94</v>
      </c>
      <c r="I2464" t="s">
        <v>19</v>
      </c>
      <c r="J2464" t="s">
        <v>87</v>
      </c>
      <c r="K2464">
        <v>10</v>
      </c>
      <c r="L2464" s="7">
        <f t="shared" si="115"/>
        <v>1607.6399999999999</v>
      </c>
      <c r="M2464" s="7"/>
      <c r="O2464">
        <f t="shared" si="116"/>
        <v>2</v>
      </c>
      <c r="Q2464" t="s">
        <v>19</v>
      </c>
    </row>
    <row r="2465" spans="1:17" x14ac:dyDescent="0.3">
      <c r="A2465" t="s">
        <v>3538</v>
      </c>
      <c r="B2465" s="6">
        <v>45017</v>
      </c>
      <c r="C2465" s="6" t="str">
        <f t="shared" si="114"/>
        <v>Apr</v>
      </c>
      <c r="D2465" t="s">
        <v>2314</v>
      </c>
      <c r="E2465" t="s">
        <v>19</v>
      </c>
      <c r="F2465" t="s">
        <v>254</v>
      </c>
      <c r="G2465">
        <v>1</v>
      </c>
      <c r="H2465" s="7">
        <v>53.94</v>
      </c>
      <c r="I2465" t="s">
        <v>64</v>
      </c>
      <c r="J2465" t="s">
        <v>42</v>
      </c>
      <c r="K2465">
        <v>15</v>
      </c>
      <c r="L2465" s="7">
        <f t="shared" si="115"/>
        <v>53.94</v>
      </c>
      <c r="M2465" s="7"/>
      <c r="O2465">
        <f t="shared" si="116"/>
        <v>2</v>
      </c>
      <c r="Q2465" t="s">
        <v>65</v>
      </c>
    </row>
    <row r="2466" spans="1:17" x14ac:dyDescent="0.3">
      <c r="A2466" t="s">
        <v>3539</v>
      </c>
      <c r="B2466" s="6">
        <v>45270</v>
      </c>
      <c r="C2466" s="6" t="str">
        <f t="shared" si="114"/>
        <v>Dec</v>
      </c>
      <c r="D2466" t="s">
        <v>1112</v>
      </c>
      <c r="E2466" t="s">
        <v>40</v>
      </c>
      <c r="F2466" t="s">
        <v>693</v>
      </c>
      <c r="G2466">
        <v>5</v>
      </c>
      <c r="H2466" s="7">
        <v>407.03</v>
      </c>
      <c r="I2466" t="s">
        <v>21</v>
      </c>
      <c r="J2466" t="s">
        <v>87</v>
      </c>
      <c r="K2466">
        <v>10</v>
      </c>
      <c r="L2466" s="7">
        <f t="shared" si="115"/>
        <v>2035.1499999999999</v>
      </c>
      <c r="M2466" s="7"/>
      <c r="O2466">
        <f t="shared" si="116"/>
        <v>2</v>
      </c>
      <c r="Q2466" t="s">
        <v>23</v>
      </c>
    </row>
    <row r="2467" spans="1:17" x14ac:dyDescent="0.3">
      <c r="A2467" t="s">
        <v>3540</v>
      </c>
      <c r="B2467" s="6">
        <v>45007</v>
      </c>
      <c r="C2467" s="6" t="str">
        <f t="shared" si="114"/>
        <v>Mar</v>
      </c>
      <c r="D2467" t="s">
        <v>1513</v>
      </c>
      <c r="E2467" t="s">
        <v>19</v>
      </c>
      <c r="F2467" t="s">
        <v>237</v>
      </c>
      <c r="G2467">
        <v>3</v>
      </c>
      <c r="H2467" s="7">
        <v>433.68</v>
      </c>
      <c r="I2467" t="s">
        <v>46</v>
      </c>
      <c r="J2467" t="s">
        <v>42</v>
      </c>
      <c r="K2467">
        <v>0</v>
      </c>
      <c r="L2467" s="7">
        <f t="shared" si="115"/>
        <v>1301.04</v>
      </c>
      <c r="M2467" s="7"/>
      <c r="O2467">
        <f t="shared" si="116"/>
        <v>2</v>
      </c>
      <c r="Q2467" t="s">
        <v>47</v>
      </c>
    </row>
    <row r="2468" spans="1:17" x14ac:dyDescent="0.3">
      <c r="A2468" t="s">
        <v>3541</v>
      </c>
      <c r="B2468" s="6">
        <v>45173</v>
      </c>
      <c r="C2468" s="6" t="str">
        <f t="shared" si="114"/>
        <v>Sep</v>
      </c>
      <c r="D2468" t="s">
        <v>2652</v>
      </c>
      <c r="E2468" t="s">
        <v>31</v>
      </c>
      <c r="F2468" t="s">
        <v>110</v>
      </c>
      <c r="G2468">
        <v>1</v>
      </c>
      <c r="H2468" s="7">
        <v>90.22</v>
      </c>
      <c r="I2468" t="s">
        <v>32</v>
      </c>
      <c r="J2468" t="s">
        <v>87</v>
      </c>
      <c r="K2468">
        <v>10</v>
      </c>
      <c r="L2468" s="7">
        <f t="shared" si="115"/>
        <v>90.22</v>
      </c>
      <c r="M2468" s="7"/>
      <c r="O2468">
        <f t="shared" si="116"/>
        <v>2</v>
      </c>
      <c r="Q2468" t="s">
        <v>33</v>
      </c>
    </row>
    <row r="2469" spans="1:17" x14ac:dyDescent="0.3">
      <c r="A2469" t="s">
        <v>3542</v>
      </c>
      <c r="B2469" s="6">
        <v>44955</v>
      </c>
      <c r="C2469" s="6" t="str">
        <f t="shared" si="114"/>
        <v>Jan</v>
      </c>
      <c r="D2469" t="s">
        <v>1378</v>
      </c>
      <c r="E2469" t="s">
        <v>40</v>
      </c>
      <c r="F2469" t="s">
        <v>313</v>
      </c>
      <c r="G2469">
        <v>4</v>
      </c>
      <c r="H2469" s="7">
        <v>426</v>
      </c>
      <c r="I2469" t="s">
        <v>64</v>
      </c>
      <c r="J2469" t="s">
        <v>19</v>
      </c>
      <c r="K2469">
        <v>10</v>
      </c>
      <c r="L2469" s="7">
        <f t="shared" si="115"/>
        <v>1704</v>
      </c>
      <c r="M2469" s="7"/>
      <c r="O2469">
        <f t="shared" si="116"/>
        <v>2</v>
      </c>
      <c r="Q2469" t="s">
        <v>65</v>
      </c>
    </row>
    <row r="2470" spans="1:17" x14ac:dyDescent="0.3">
      <c r="A2470" t="s">
        <v>3543</v>
      </c>
      <c r="B2470" s="6">
        <v>45121</v>
      </c>
      <c r="C2470" s="6" t="str">
        <f t="shared" si="114"/>
        <v>Jul</v>
      </c>
      <c r="D2470" t="s">
        <v>1896</v>
      </c>
      <c r="E2470" t="s">
        <v>36</v>
      </c>
      <c r="F2470" t="s">
        <v>708</v>
      </c>
      <c r="G2470">
        <v>2</v>
      </c>
      <c r="H2470" s="7">
        <v>439.53</v>
      </c>
      <c r="I2470" t="s">
        <v>64</v>
      </c>
      <c r="J2470" t="s">
        <v>19</v>
      </c>
      <c r="K2470">
        <v>20</v>
      </c>
      <c r="L2470" s="7">
        <f t="shared" si="115"/>
        <v>879.06</v>
      </c>
      <c r="M2470" s="7"/>
      <c r="O2470">
        <f t="shared" si="116"/>
        <v>2</v>
      </c>
      <c r="Q2470" t="s">
        <v>65</v>
      </c>
    </row>
    <row r="2471" spans="1:17" x14ac:dyDescent="0.3">
      <c r="A2471" t="s">
        <v>3544</v>
      </c>
      <c r="B2471" s="6">
        <v>45270</v>
      </c>
      <c r="C2471" s="6" t="str">
        <f t="shared" si="114"/>
        <v>Dec</v>
      </c>
      <c r="D2471" t="s">
        <v>1520</v>
      </c>
      <c r="E2471" t="s">
        <v>26</v>
      </c>
      <c r="F2471" t="s">
        <v>684</v>
      </c>
      <c r="G2471">
        <v>2</v>
      </c>
      <c r="H2471" s="7">
        <v>276.97000000000003</v>
      </c>
      <c r="I2471" t="s">
        <v>103</v>
      </c>
      <c r="J2471" t="s">
        <v>87</v>
      </c>
      <c r="K2471">
        <v>10</v>
      </c>
      <c r="L2471" s="7">
        <f t="shared" si="115"/>
        <v>553.94000000000005</v>
      </c>
      <c r="M2471" s="7"/>
      <c r="O2471">
        <f t="shared" si="116"/>
        <v>2</v>
      </c>
      <c r="Q2471" t="s">
        <v>104</v>
      </c>
    </row>
    <row r="2472" spans="1:17" x14ac:dyDescent="0.3">
      <c r="A2472" t="s">
        <v>3545</v>
      </c>
      <c r="B2472" s="6">
        <v>45238</v>
      </c>
      <c r="C2472" s="6" t="str">
        <f t="shared" si="114"/>
        <v>Nov</v>
      </c>
      <c r="D2472" t="s">
        <v>1250</v>
      </c>
      <c r="E2472" t="s">
        <v>19</v>
      </c>
      <c r="F2472" t="s">
        <v>328</v>
      </c>
      <c r="G2472">
        <v>3</v>
      </c>
      <c r="H2472" s="7">
        <v>329.81</v>
      </c>
      <c r="I2472" t="s">
        <v>103</v>
      </c>
      <c r="J2472" t="s">
        <v>72</v>
      </c>
      <c r="K2472">
        <v>10</v>
      </c>
      <c r="L2472" s="7">
        <f t="shared" si="115"/>
        <v>989.43000000000006</v>
      </c>
      <c r="M2472" s="7"/>
      <c r="O2472">
        <f t="shared" si="116"/>
        <v>2</v>
      </c>
      <c r="Q2472" t="s">
        <v>104</v>
      </c>
    </row>
    <row r="2473" spans="1:17" x14ac:dyDescent="0.3">
      <c r="A2473" t="s">
        <v>3546</v>
      </c>
      <c r="B2473" s="6">
        <v>45001</v>
      </c>
      <c r="C2473" s="6" t="str">
        <f t="shared" si="114"/>
        <v>Mar</v>
      </c>
      <c r="D2473" t="s">
        <v>1327</v>
      </c>
      <c r="E2473" t="s">
        <v>19</v>
      </c>
      <c r="F2473" t="s">
        <v>861</v>
      </c>
      <c r="G2473">
        <v>8</v>
      </c>
      <c r="H2473" s="7">
        <v>194.21</v>
      </c>
      <c r="I2473" t="s">
        <v>103</v>
      </c>
      <c r="J2473" t="s">
        <v>28</v>
      </c>
      <c r="K2473">
        <v>10</v>
      </c>
      <c r="L2473" s="7">
        <f t="shared" si="115"/>
        <v>1553.68</v>
      </c>
      <c r="M2473" s="7"/>
      <c r="O2473">
        <f t="shared" si="116"/>
        <v>2</v>
      </c>
      <c r="Q2473" t="s">
        <v>104</v>
      </c>
    </row>
    <row r="2474" spans="1:17" x14ac:dyDescent="0.3">
      <c r="A2474" t="s">
        <v>3547</v>
      </c>
      <c r="B2474" s="6">
        <v>45039</v>
      </c>
      <c r="C2474" s="6" t="str">
        <f t="shared" si="114"/>
        <v>Apr</v>
      </c>
      <c r="D2474" t="s">
        <v>2009</v>
      </c>
      <c r="E2474" t="s">
        <v>19</v>
      </c>
      <c r="F2474" t="s">
        <v>520</v>
      </c>
      <c r="G2474">
        <v>8</v>
      </c>
      <c r="H2474" s="7">
        <v>144.49</v>
      </c>
      <c r="I2474" t="s">
        <v>103</v>
      </c>
      <c r="J2474" t="s">
        <v>87</v>
      </c>
      <c r="K2474">
        <v>15</v>
      </c>
      <c r="L2474" s="7">
        <f t="shared" si="115"/>
        <v>1155.92</v>
      </c>
      <c r="M2474" s="7"/>
      <c r="O2474">
        <f t="shared" si="116"/>
        <v>2</v>
      </c>
      <c r="Q2474" t="s">
        <v>104</v>
      </c>
    </row>
    <row r="2475" spans="1:17" x14ac:dyDescent="0.3">
      <c r="A2475" t="s">
        <v>3548</v>
      </c>
      <c r="B2475" s="6">
        <v>45136</v>
      </c>
      <c r="C2475" s="6" t="str">
        <f t="shared" si="114"/>
        <v>Jul</v>
      </c>
      <c r="D2475" t="s">
        <v>1673</v>
      </c>
      <c r="E2475" t="s">
        <v>26</v>
      </c>
      <c r="F2475" t="s">
        <v>173</v>
      </c>
      <c r="G2475">
        <v>7</v>
      </c>
      <c r="H2475" s="7">
        <v>362.38</v>
      </c>
      <c r="I2475" t="s">
        <v>19</v>
      </c>
      <c r="J2475" t="s">
        <v>19</v>
      </c>
      <c r="K2475">
        <v>5</v>
      </c>
      <c r="L2475" s="7">
        <f t="shared" si="115"/>
        <v>2536.66</v>
      </c>
      <c r="M2475" s="7"/>
      <c r="O2475">
        <f t="shared" si="116"/>
        <v>3</v>
      </c>
      <c r="Q2475" t="s">
        <v>19</v>
      </c>
    </row>
    <row r="2476" spans="1:17" x14ac:dyDescent="0.3">
      <c r="A2476" t="s">
        <v>3549</v>
      </c>
      <c r="B2476" s="6">
        <v>45292</v>
      </c>
      <c r="C2476" s="6" t="str">
        <f t="shared" si="114"/>
        <v>Jan</v>
      </c>
      <c r="D2476" t="s">
        <v>2596</v>
      </c>
      <c r="E2476" t="s">
        <v>31</v>
      </c>
      <c r="F2476" t="s">
        <v>270</v>
      </c>
      <c r="G2476">
        <v>5</v>
      </c>
      <c r="H2476" s="7">
        <v>431.63</v>
      </c>
      <c r="I2476" t="s">
        <v>64</v>
      </c>
      <c r="J2476" t="s">
        <v>19</v>
      </c>
      <c r="K2476">
        <v>5</v>
      </c>
      <c r="L2476" s="7">
        <f t="shared" si="115"/>
        <v>2158.15</v>
      </c>
      <c r="M2476" s="7"/>
      <c r="O2476">
        <f t="shared" si="116"/>
        <v>2</v>
      </c>
      <c r="Q2476" t="s">
        <v>65</v>
      </c>
    </row>
    <row r="2477" spans="1:17" x14ac:dyDescent="0.3">
      <c r="A2477" t="s">
        <v>3550</v>
      </c>
      <c r="B2477" s="6">
        <v>45252</v>
      </c>
      <c r="C2477" s="6" t="str">
        <f t="shared" si="114"/>
        <v>Nov</v>
      </c>
      <c r="D2477" t="s">
        <v>400</v>
      </c>
      <c r="E2477" t="s">
        <v>40</v>
      </c>
      <c r="F2477" t="s">
        <v>328</v>
      </c>
      <c r="G2477">
        <v>9</v>
      </c>
      <c r="H2477" s="7">
        <v>328.77</v>
      </c>
      <c r="I2477" t="s">
        <v>46</v>
      </c>
      <c r="J2477" t="s">
        <v>72</v>
      </c>
      <c r="K2477">
        <v>0</v>
      </c>
      <c r="L2477" s="7">
        <f t="shared" si="115"/>
        <v>2958.93</v>
      </c>
      <c r="M2477" s="7"/>
      <c r="O2477">
        <f t="shared" si="116"/>
        <v>3</v>
      </c>
      <c r="Q2477" t="s">
        <v>47</v>
      </c>
    </row>
    <row r="2478" spans="1:17" x14ac:dyDescent="0.3">
      <c r="A2478" t="s">
        <v>3551</v>
      </c>
      <c r="B2478" s="6">
        <v>45008</v>
      </c>
      <c r="C2478" s="6" t="str">
        <f t="shared" si="114"/>
        <v>Mar</v>
      </c>
      <c r="D2478" t="s">
        <v>1834</v>
      </c>
      <c r="E2478" t="s">
        <v>40</v>
      </c>
      <c r="F2478" t="s">
        <v>406</v>
      </c>
      <c r="G2478">
        <v>4</v>
      </c>
      <c r="H2478" s="7">
        <v>258.24</v>
      </c>
      <c r="I2478" t="s">
        <v>32</v>
      </c>
      <c r="J2478" t="s">
        <v>19</v>
      </c>
      <c r="K2478">
        <v>10</v>
      </c>
      <c r="L2478" s="7">
        <f t="shared" si="115"/>
        <v>1032.96</v>
      </c>
      <c r="M2478" s="7"/>
      <c r="O2478">
        <f t="shared" si="116"/>
        <v>2</v>
      </c>
      <c r="Q2478" t="s">
        <v>33</v>
      </c>
    </row>
    <row r="2479" spans="1:17" x14ac:dyDescent="0.3">
      <c r="A2479" t="s">
        <v>3552</v>
      </c>
      <c r="B2479" s="6">
        <v>45170</v>
      </c>
      <c r="C2479" s="6" t="str">
        <f t="shared" si="114"/>
        <v>Sep</v>
      </c>
      <c r="D2479" t="s">
        <v>902</v>
      </c>
      <c r="E2479" t="s">
        <v>50</v>
      </c>
      <c r="F2479" t="s">
        <v>1237</v>
      </c>
      <c r="G2479">
        <v>1</v>
      </c>
      <c r="H2479" s="7">
        <v>83.67</v>
      </c>
      <c r="I2479" t="s">
        <v>19</v>
      </c>
      <c r="J2479" t="s">
        <v>22</v>
      </c>
      <c r="K2479">
        <v>5</v>
      </c>
      <c r="L2479" s="7">
        <f t="shared" si="115"/>
        <v>83.67</v>
      </c>
      <c r="M2479" s="7"/>
      <c r="O2479">
        <f t="shared" si="116"/>
        <v>2</v>
      </c>
      <c r="Q2479" t="s">
        <v>19</v>
      </c>
    </row>
    <row r="2480" spans="1:17" x14ac:dyDescent="0.3">
      <c r="A2480" t="s">
        <v>3553</v>
      </c>
      <c r="B2480" s="6">
        <v>45178</v>
      </c>
      <c r="C2480" s="6" t="str">
        <f t="shared" si="114"/>
        <v>Sep</v>
      </c>
      <c r="D2480" t="s">
        <v>1209</v>
      </c>
      <c r="E2480" t="s">
        <v>19</v>
      </c>
      <c r="F2480" t="s">
        <v>356</v>
      </c>
      <c r="G2480">
        <v>8</v>
      </c>
      <c r="H2480" s="7">
        <v>31.46</v>
      </c>
      <c r="I2480" t="s">
        <v>46</v>
      </c>
      <c r="J2480" t="s">
        <v>72</v>
      </c>
      <c r="K2480">
        <v>0</v>
      </c>
      <c r="L2480" s="7">
        <f t="shared" si="115"/>
        <v>251.68</v>
      </c>
      <c r="M2480" s="7"/>
      <c r="O2480">
        <f t="shared" si="116"/>
        <v>2</v>
      </c>
      <c r="Q2480" t="s">
        <v>47</v>
      </c>
    </row>
    <row r="2481" spans="1:17" x14ac:dyDescent="0.3">
      <c r="A2481" t="s">
        <v>3554</v>
      </c>
      <c r="B2481" s="6">
        <v>45173</v>
      </c>
      <c r="C2481" s="6" t="str">
        <f t="shared" si="114"/>
        <v>Sep</v>
      </c>
      <c r="D2481" t="s">
        <v>797</v>
      </c>
      <c r="E2481" t="s">
        <v>62</v>
      </c>
      <c r="F2481" t="s">
        <v>445</v>
      </c>
      <c r="G2481">
        <v>7</v>
      </c>
      <c r="H2481" s="7">
        <v>225.62</v>
      </c>
      <c r="I2481" t="s">
        <v>19</v>
      </c>
      <c r="J2481" t="s">
        <v>42</v>
      </c>
      <c r="K2481">
        <v>15</v>
      </c>
      <c r="L2481" s="7">
        <f t="shared" si="115"/>
        <v>1579.3400000000001</v>
      </c>
      <c r="M2481" s="7"/>
      <c r="O2481">
        <f t="shared" si="116"/>
        <v>2</v>
      </c>
      <c r="Q2481" t="s">
        <v>19</v>
      </c>
    </row>
    <row r="2482" spans="1:17" x14ac:dyDescent="0.3">
      <c r="A2482" t="s">
        <v>3555</v>
      </c>
      <c r="B2482" s="6">
        <v>45236</v>
      </c>
      <c r="C2482" s="6" t="str">
        <f t="shared" si="114"/>
        <v>Nov</v>
      </c>
      <c r="D2482" t="s">
        <v>2173</v>
      </c>
      <c r="E2482" t="s">
        <v>40</v>
      </c>
      <c r="F2482" t="s">
        <v>308</v>
      </c>
      <c r="G2482">
        <v>7</v>
      </c>
      <c r="H2482" s="7">
        <v>29.43</v>
      </c>
      <c r="I2482" t="s">
        <v>32</v>
      </c>
      <c r="J2482" t="s">
        <v>72</v>
      </c>
      <c r="K2482">
        <v>10</v>
      </c>
      <c r="L2482" s="7">
        <f t="shared" si="115"/>
        <v>206.01</v>
      </c>
      <c r="M2482" s="7"/>
      <c r="O2482">
        <f t="shared" si="116"/>
        <v>2</v>
      </c>
      <c r="Q2482" t="s">
        <v>33</v>
      </c>
    </row>
    <row r="2483" spans="1:17" x14ac:dyDescent="0.3">
      <c r="A2483" t="s">
        <v>3556</v>
      </c>
      <c r="B2483" s="6">
        <v>45089</v>
      </c>
      <c r="C2483" s="6" t="str">
        <f t="shared" si="114"/>
        <v>Jun</v>
      </c>
      <c r="D2483" t="s">
        <v>1042</v>
      </c>
      <c r="E2483" t="s">
        <v>19</v>
      </c>
      <c r="F2483" t="s">
        <v>687</v>
      </c>
      <c r="G2483">
        <v>3</v>
      </c>
      <c r="H2483" s="7">
        <v>286.82</v>
      </c>
      <c r="I2483" t="s">
        <v>19</v>
      </c>
      <c r="J2483" t="s">
        <v>72</v>
      </c>
      <c r="K2483">
        <v>20</v>
      </c>
      <c r="L2483" s="7">
        <f t="shared" si="115"/>
        <v>860.46</v>
      </c>
      <c r="M2483" s="7"/>
      <c r="O2483">
        <f t="shared" si="116"/>
        <v>2</v>
      </c>
      <c r="Q2483" t="s">
        <v>19</v>
      </c>
    </row>
    <row r="2484" spans="1:17" x14ac:dyDescent="0.3">
      <c r="A2484" t="s">
        <v>3557</v>
      </c>
      <c r="B2484" s="6">
        <v>44929</v>
      </c>
      <c r="C2484" s="6" t="str">
        <f t="shared" si="114"/>
        <v>Jan</v>
      </c>
      <c r="D2484" t="s">
        <v>1110</v>
      </c>
      <c r="E2484" t="s">
        <v>62</v>
      </c>
      <c r="F2484" t="s">
        <v>732</v>
      </c>
      <c r="G2484">
        <v>4</v>
      </c>
      <c r="H2484" s="7">
        <v>194.45</v>
      </c>
      <c r="I2484" t="s">
        <v>19</v>
      </c>
      <c r="J2484" t="s">
        <v>19</v>
      </c>
      <c r="K2484">
        <v>15</v>
      </c>
      <c r="L2484" s="7">
        <f t="shared" si="115"/>
        <v>777.8</v>
      </c>
      <c r="M2484" s="7"/>
      <c r="O2484">
        <f t="shared" si="116"/>
        <v>2</v>
      </c>
      <c r="Q2484" t="s">
        <v>19</v>
      </c>
    </row>
    <row r="2485" spans="1:17" x14ac:dyDescent="0.3">
      <c r="A2485" t="s">
        <v>3558</v>
      </c>
      <c r="B2485" s="6">
        <v>44995</v>
      </c>
      <c r="C2485" s="6" t="str">
        <f t="shared" si="114"/>
        <v>Mar</v>
      </c>
      <c r="D2485" t="s">
        <v>1848</v>
      </c>
      <c r="E2485" t="s">
        <v>19</v>
      </c>
      <c r="F2485" t="s">
        <v>517</v>
      </c>
      <c r="G2485">
        <v>9</v>
      </c>
      <c r="H2485" s="7">
        <v>379.81</v>
      </c>
      <c r="I2485" t="s">
        <v>19</v>
      </c>
      <c r="J2485" t="s">
        <v>72</v>
      </c>
      <c r="K2485">
        <v>0</v>
      </c>
      <c r="L2485" s="7">
        <f t="shared" si="115"/>
        <v>3418.29</v>
      </c>
      <c r="M2485" s="7"/>
      <c r="O2485">
        <f t="shared" si="116"/>
        <v>4</v>
      </c>
      <c r="Q2485" t="s">
        <v>19</v>
      </c>
    </row>
    <row r="2486" spans="1:17" x14ac:dyDescent="0.3">
      <c r="A2486" t="s">
        <v>3559</v>
      </c>
      <c r="B2486" s="6">
        <v>45075</v>
      </c>
      <c r="C2486" s="6" t="str">
        <f t="shared" si="114"/>
        <v>May</v>
      </c>
      <c r="D2486" t="s">
        <v>1065</v>
      </c>
      <c r="E2486" t="s">
        <v>40</v>
      </c>
      <c r="F2486" t="s">
        <v>145</v>
      </c>
      <c r="G2486">
        <v>6</v>
      </c>
      <c r="H2486" s="7">
        <v>156.30000000000001</v>
      </c>
      <c r="I2486" t="s">
        <v>32</v>
      </c>
      <c r="J2486" t="s">
        <v>87</v>
      </c>
      <c r="K2486">
        <v>15</v>
      </c>
      <c r="L2486" s="7">
        <f t="shared" si="115"/>
        <v>937.80000000000007</v>
      </c>
      <c r="M2486" s="7"/>
      <c r="O2486">
        <f t="shared" si="116"/>
        <v>2</v>
      </c>
      <c r="Q2486" t="s">
        <v>33</v>
      </c>
    </row>
    <row r="2487" spans="1:17" x14ac:dyDescent="0.3">
      <c r="A2487" t="s">
        <v>3560</v>
      </c>
      <c r="B2487" s="6">
        <v>45204</v>
      </c>
      <c r="C2487" s="6" t="str">
        <f t="shared" si="114"/>
        <v>Oct</v>
      </c>
      <c r="D2487" t="s">
        <v>2040</v>
      </c>
      <c r="E2487" t="s">
        <v>62</v>
      </c>
      <c r="F2487" t="s">
        <v>267</v>
      </c>
      <c r="G2487">
        <v>5</v>
      </c>
      <c r="H2487" s="7">
        <v>298.52999999999997</v>
      </c>
      <c r="I2487" t="s">
        <v>103</v>
      </c>
      <c r="J2487" t="s">
        <v>72</v>
      </c>
      <c r="K2487">
        <v>20</v>
      </c>
      <c r="L2487" s="7">
        <f t="shared" si="115"/>
        <v>1492.6499999999999</v>
      </c>
      <c r="M2487" s="7"/>
      <c r="O2487">
        <f t="shared" si="116"/>
        <v>2</v>
      </c>
      <c r="Q2487" t="s">
        <v>104</v>
      </c>
    </row>
    <row r="2488" spans="1:17" x14ac:dyDescent="0.3">
      <c r="A2488" t="s">
        <v>3561</v>
      </c>
      <c r="B2488" s="6">
        <v>45040</v>
      </c>
      <c r="C2488" s="6" t="str">
        <f t="shared" si="114"/>
        <v>Apr</v>
      </c>
      <c r="D2488" t="s">
        <v>1498</v>
      </c>
      <c r="E2488" t="s">
        <v>31</v>
      </c>
      <c r="F2488" t="s">
        <v>107</v>
      </c>
      <c r="G2488">
        <v>3</v>
      </c>
      <c r="H2488" s="7">
        <v>271.14999999999998</v>
      </c>
      <c r="I2488" t="s">
        <v>19</v>
      </c>
      <c r="J2488" t="s">
        <v>19</v>
      </c>
      <c r="K2488">
        <v>15</v>
      </c>
      <c r="L2488" s="7">
        <f t="shared" si="115"/>
        <v>813.44999999999993</v>
      </c>
      <c r="M2488" s="7"/>
      <c r="O2488">
        <f t="shared" si="116"/>
        <v>2</v>
      </c>
      <c r="Q2488" t="s">
        <v>19</v>
      </c>
    </row>
    <row r="2489" spans="1:17" x14ac:dyDescent="0.3">
      <c r="A2489" t="s">
        <v>3562</v>
      </c>
      <c r="B2489" s="6">
        <v>45217</v>
      </c>
      <c r="C2489" s="6" t="str">
        <f t="shared" si="114"/>
        <v>Oct</v>
      </c>
      <c r="D2489" t="s">
        <v>3207</v>
      </c>
      <c r="E2489" t="s">
        <v>19</v>
      </c>
      <c r="F2489" t="s">
        <v>242</v>
      </c>
      <c r="G2489">
        <v>9</v>
      </c>
      <c r="H2489" s="7">
        <v>7.33</v>
      </c>
      <c r="I2489" t="s">
        <v>21</v>
      </c>
      <c r="J2489" t="s">
        <v>19</v>
      </c>
      <c r="K2489">
        <v>0</v>
      </c>
      <c r="L2489" s="7">
        <f t="shared" si="115"/>
        <v>65.97</v>
      </c>
      <c r="M2489" s="7"/>
      <c r="O2489">
        <f t="shared" si="116"/>
        <v>2</v>
      </c>
      <c r="Q2489" t="s">
        <v>23</v>
      </c>
    </row>
    <row r="2490" spans="1:17" x14ac:dyDescent="0.3">
      <c r="A2490" t="s">
        <v>3563</v>
      </c>
      <c r="B2490" s="6">
        <v>45244</v>
      </c>
      <c r="C2490" s="6" t="str">
        <f t="shared" si="114"/>
        <v>Nov</v>
      </c>
      <c r="D2490" t="s">
        <v>115</v>
      </c>
      <c r="E2490" t="s">
        <v>62</v>
      </c>
      <c r="F2490" t="s">
        <v>693</v>
      </c>
      <c r="G2490">
        <v>5</v>
      </c>
      <c r="H2490" s="7">
        <v>40.83</v>
      </c>
      <c r="I2490" t="s">
        <v>19</v>
      </c>
      <c r="J2490" t="s">
        <v>28</v>
      </c>
      <c r="K2490">
        <v>20</v>
      </c>
      <c r="L2490" s="7">
        <f t="shared" si="115"/>
        <v>204.14999999999998</v>
      </c>
      <c r="M2490" s="7"/>
      <c r="O2490">
        <f t="shared" si="116"/>
        <v>2</v>
      </c>
      <c r="Q2490" t="s">
        <v>19</v>
      </c>
    </row>
    <row r="2491" spans="1:17" x14ac:dyDescent="0.3">
      <c r="A2491" t="s">
        <v>3564</v>
      </c>
      <c r="B2491" s="6">
        <v>44977</v>
      </c>
      <c r="C2491" s="6" t="str">
        <f t="shared" si="114"/>
        <v>Feb</v>
      </c>
      <c r="D2491" t="s">
        <v>3565</v>
      </c>
      <c r="E2491" t="s">
        <v>40</v>
      </c>
      <c r="F2491" t="s">
        <v>99</v>
      </c>
      <c r="G2491">
        <v>5</v>
      </c>
      <c r="H2491" s="7">
        <v>148.72999999999999</v>
      </c>
      <c r="I2491" t="s">
        <v>103</v>
      </c>
      <c r="J2491" t="s">
        <v>42</v>
      </c>
      <c r="K2491">
        <v>20</v>
      </c>
      <c r="L2491" s="7">
        <f t="shared" si="115"/>
        <v>743.65</v>
      </c>
      <c r="M2491" s="7"/>
      <c r="O2491">
        <f t="shared" si="116"/>
        <v>2</v>
      </c>
      <c r="Q2491" t="s">
        <v>104</v>
      </c>
    </row>
    <row r="2492" spans="1:17" x14ac:dyDescent="0.3">
      <c r="A2492" t="s">
        <v>3566</v>
      </c>
      <c r="B2492" s="6">
        <v>45134</v>
      </c>
      <c r="C2492" s="6" t="str">
        <f t="shared" si="114"/>
        <v>Jul</v>
      </c>
      <c r="D2492" t="s">
        <v>3567</v>
      </c>
      <c r="E2492" t="s">
        <v>62</v>
      </c>
      <c r="F2492" t="s">
        <v>1206</v>
      </c>
      <c r="G2492">
        <v>4</v>
      </c>
      <c r="H2492" s="7">
        <v>441.71</v>
      </c>
      <c r="I2492" t="s">
        <v>19</v>
      </c>
      <c r="J2492" t="s">
        <v>19</v>
      </c>
      <c r="K2492">
        <v>15</v>
      </c>
      <c r="L2492" s="7">
        <f t="shared" si="115"/>
        <v>1766.84</v>
      </c>
      <c r="M2492" s="7"/>
      <c r="O2492">
        <f t="shared" si="116"/>
        <v>2</v>
      </c>
      <c r="Q2492" t="s">
        <v>19</v>
      </c>
    </row>
    <row r="2493" spans="1:17" x14ac:dyDescent="0.3">
      <c r="A2493" t="s">
        <v>3568</v>
      </c>
      <c r="B2493" s="6">
        <v>44931</v>
      </c>
      <c r="C2493" s="6" t="str">
        <f t="shared" si="114"/>
        <v>Jan</v>
      </c>
      <c r="D2493" t="s">
        <v>863</v>
      </c>
      <c r="E2493" t="s">
        <v>36</v>
      </c>
      <c r="F2493" t="s">
        <v>234</v>
      </c>
      <c r="G2493">
        <v>4</v>
      </c>
      <c r="H2493" s="7">
        <v>77.77</v>
      </c>
      <c r="I2493" t="s">
        <v>64</v>
      </c>
      <c r="J2493" t="s">
        <v>28</v>
      </c>
      <c r="K2493">
        <v>20</v>
      </c>
      <c r="L2493" s="7">
        <f t="shared" si="115"/>
        <v>311.08</v>
      </c>
      <c r="M2493" s="7"/>
      <c r="O2493">
        <f t="shared" si="116"/>
        <v>2</v>
      </c>
      <c r="Q2493" t="s">
        <v>65</v>
      </c>
    </row>
    <row r="2494" spans="1:17" x14ac:dyDescent="0.3">
      <c r="A2494" t="s">
        <v>3569</v>
      </c>
      <c r="B2494" s="6">
        <v>45247</v>
      </c>
      <c r="C2494" s="6" t="str">
        <f t="shared" si="114"/>
        <v>Nov</v>
      </c>
      <c r="D2494" t="s">
        <v>1261</v>
      </c>
      <c r="E2494" t="s">
        <v>40</v>
      </c>
      <c r="F2494" t="s">
        <v>398</v>
      </c>
      <c r="G2494">
        <v>1</v>
      </c>
      <c r="H2494" s="7">
        <v>356.89</v>
      </c>
      <c r="I2494" t="s">
        <v>32</v>
      </c>
      <c r="J2494" t="s">
        <v>87</v>
      </c>
      <c r="K2494">
        <v>15</v>
      </c>
      <c r="L2494" s="7">
        <f t="shared" si="115"/>
        <v>356.89</v>
      </c>
      <c r="M2494" s="7"/>
      <c r="O2494">
        <f t="shared" si="116"/>
        <v>2</v>
      </c>
      <c r="Q2494" t="s">
        <v>33</v>
      </c>
    </row>
    <row r="2495" spans="1:17" x14ac:dyDescent="0.3">
      <c r="A2495" t="s">
        <v>3570</v>
      </c>
      <c r="B2495" s="6">
        <v>44996</v>
      </c>
      <c r="C2495" s="6" t="str">
        <f t="shared" si="114"/>
        <v>Mar</v>
      </c>
      <c r="D2495" t="s">
        <v>947</v>
      </c>
      <c r="E2495" t="s">
        <v>19</v>
      </c>
      <c r="F2495" t="s">
        <v>499</v>
      </c>
      <c r="G2495">
        <v>7</v>
      </c>
      <c r="H2495" s="7">
        <v>486.82</v>
      </c>
      <c r="I2495" t="s">
        <v>32</v>
      </c>
      <c r="J2495" t="s">
        <v>42</v>
      </c>
      <c r="K2495">
        <v>10</v>
      </c>
      <c r="L2495" s="7">
        <f t="shared" si="115"/>
        <v>3407.74</v>
      </c>
      <c r="M2495" s="7"/>
      <c r="O2495">
        <f t="shared" si="116"/>
        <v>4</v>
      </c>
      <c r="Q2495" t="s">
        <v>33</v>
      </c>
    </row>
    <row r="2496" spans="1:17" x14ac:dyDescent="0.3">
      <c r="A2496" t="s">
        <v>3571</v>
      </c>
      <c r="B2496" s="6">
        <v>45123</v>
      </c>
      <c r="C2496" s="6" t="str">
        <f t="shared" si="114"/>
        <v>Jul</v>
      </c>
      <c r="D2496" t="s">
        <v>1705</v>
      </c>
      <c r="E2496" t="s">
        <v>36</v>
      </c>
      <c r="F2496" t="s">
        <v>325</v>
      </c>
      <c r="G2496">
        <v>9</v>
      </c>
      <c r="H2496" s="7">
        <v>252.16</v>
      </c>
      <c r="I2496" t="s">
        <v>21</v>
      </c>
      <c r="J2496" t="s">
        <v>87</v>
      </c>
      <c r="K2496">
        <v>20</v>
      </c>
      <c r="L2496" s="7">
        <f t="shared" si="115"/>
        <v>2269.44</v>
      </c>
      <c r="M2496" s="7"/>
      <c r="O2496">
        <f t="shared" si="116"/>
        <v>2</v>
      </c>
      <c r="Q2496" t="s">
        <v>23</v>
      </c>
    </row>
    <row r="2497" spans="1:17" x14ac:dyDescent="0.3">
      <c r="A2497" t="s">
        <v>3572</v>
      </c>
      <c r="B2497" s="6">
        <v>45173</v>
      </c>
      <c r="C2497" s="6" t="str">
        <f t="shared" si="114"/>
        <v>Sep</v>
      </c>
      <c r="D2497" t="s">
        <v>442</v>
      </c>
      <c r="E2497" t="s">
        <v>19</v>
      </c>
      <c r="F2497" t="s">
        <v>378</v>
      </c>
      <c r="G2497">
        <v>3</v>
      </c>
      <c r="H2497" s="7">
        <v>125.26</v>
      </c>
      <c r="I2497" t="s">
        <v>19</v>
      </c>
      <c r="J2497" t="s">
        <v>42</v>
      </c>
      <c r="K2497">
        <v>15</v>
      </c>
      <c r="L2497" s="7">
        <f t="shared" si="115"/>
        <v>375.78000000000003</v>
      </c>
      <c r="M2497" s="7"/>
      <c r="O2497">
        <f t="shared" si="116"/>
        <v>2</v>
      </c>
      <c r="Q2497" t="s">
        <v>19</v>
      </c>
    </row>
    <row r="2498" spans="1:17" x14ac:dyDescent="0.3">
      <c r="A2498" t="s">
        <v>3573</v>
      </c>
      <c r="B2498" s="6">
        <v>45146</v>
      </c>
      <c r="C2498" s="6" t="str">
        <f t="shared" si="114"/>
        <v>Aug</v>
      </c>
      <c r="D2498" t="s">
        <v>626</v>
      </c>
      <c r="E2498" t="s">
        <v>31</v>
      </c>
      <c r="F2498" t="s">
        <v>237</v>
      </c>
      <c r="G2498">
        <v>2</v>
      </c>
      <c r="H2498" s="7">
        <v>454.64</v>
      </c>
      <c r="I2498" t="s">
        <v>21</v>
      </c>
      <c r="J2498" t="s">
        <v>72</v>
      </c>
      <c r="K2498">
        <v>10</v>
      </c>
      <c r="L2498" s="7">
        <f t="shared" si="115"/>
        <v>909.28</v>
      </c>
      <c r="M2498" s="7"/>
      <c r="O2498">
        <f t="shared" si="116"/>
        <v>2</v>
      </c>
      <c r="Q2498" t="s">
        <v>23</v>
      </c>
    </row>
    <row r="2499" spans="1:17" x14ac:dyDescent="0.3">
      <c r="A2499" t="s">
        <v>3574</v>
      </c>
      <c r="B2499" s="6">
        <v>45160</v>
      </c>
      <c r="C2499" s="6" t="str">
        <f t="shared" ref="C2499:C2562" si="117">TEXT(B2499,"MMM")</f>
        <v>Aug</v>
      </c>
      <c r="D2499" t="s">
        <v>1062</v>
      </c>
      <c r="E2499" t="s">
        <v>50</v>
      </c>
      <c r="F2499" t="s">
        <v>295</v>
      </c>
      <c r="G2499">
        <v>3</v>
      </c>
      <c r="H2499" s="7">
        <v>51.09</v>
      </c>
      <c r="I2499" t="s">
        <v>46</v>
      </c>
      <c r="J2499" t="s">
        <v>22</v>
      </c>
      <c r="K2499">
        <v>20</v>
      </c>
      <c r="L2499" s="7">
        <f t="shared" ref="L2499:L2562" si="118">G2499*H2499</f>
        <v>153.27000000000001</v>
      </c>
      <c r="M2499" s="7"/>
      <c r="O2499">
        <f t="shared" si="116"/>
        <v>2</v>
      </c>
      <c r="Q2499" t="s">
        <v>47</v>
      </c>
    </row>
    <row r="2500" spans="1:17" x14ac:dyDescent="0.3">
      <c r="A2500" t="s">
        <v>3575</v>
      </c>
      <c r="B2500" s="6">
        <v>44947</v>
      </c>
      <c r="C2500" s="6" t="str">
        <f t="shared" si="117"/>
        <v>Jan</v>
      </c>
      <c r="D2500" t="s">
        <v>1355</v>
      </c>
      <c r="E2500" t="s">
        <v>31</v>
      </c>
      <c r="F2500" t="s">
        <v>520</v>
      </c>
      <c r="G2500">
        <v>1</v>
      </c>
      <c r="H2500" s="7">
        <v>236.73</v>
      </c>
      <c r="I2500" t="s">
        <v>64</v>
      </c>
      <c r="J2500" t="s">
        <v>87</v>
      </c>
      <c r="K2500">
        <v>10</v>
      </c>
      <c r="L2500" s="7">
        <f t="shared" si="118"/>
        <v>236.73</v>
      </c>
      <c r="M2500" s="7"/>
      <c r="O2500">
        <f t="shared" ref="O2500:O2563" si="119">IF(L2500&gt;3500,5,IF(L2500&gt;3000,4,IF(L2500&gt;2500,3,IF(L2500&gt;2000,2,IF(L2500&gt;1000,2,2)))))</f>
        <v>2</v>
      </c>
      <c r="Q2500" t="s">
        <v>65</v>
      </c>
    </row>
    <row r="2501" spans="1:17" x14ac:dyDescent="0.3">
      <c r="A2501" t="s">
        <v>3576</v>
      </c>
      <c r="B2501" s="6">
        <v>44973</v>
      </c>
      <c r="C2501" s="6" t="str">
        <f t="shared" si="117"/>
        <v>Feb</v>
      </c>
      <c r="D2501" t="s">
        <v>141</v>
      </c>
      <c r="E2501" t="s">
        <v>19</v>
      </c>
      <c r="F2501" t="s">
        <v>325</v>
      </c>
      <c r="G2501">
        <v>6</v>
      </c>
      <c r="H2501" s="7">
        <v>444.33</v>
      </c>
      <c r="I2501" t="s">
        <v>64</v>
      </c>
      <c r="J2501" t="s">
        <v>28</v>
      </c>
      <c r="K2501">
        <v>10</v>
      </c>
      <c r="L2501" s="7">
        <f t="shared" si="118"/>
        <v>2665.98</v>
      </c>
      <c r="M2501" s="7"/>
      <c r="O2501">
        <f t="shared" si="119"/>
        <v>3</v>
      </c>
      <c r="Q2501" t="s">
        <v>65</v>
      </c>
    </row>
    <row r="2502" spans="1:17" x14ac:dyDescent="0.3">
      <c r="A2502" t="s">
        <v>3577</v>
      </c>
      <c r="B2502" s="6">
        <v>45222</v>
      </c>
      <c r="C2502" s="6" t="str">
        <f t="shared" si="117"/>
        <v>Oct</v>
      </c>
      <c r="D2502" t="s">
        <v>391</v>
      </c>
      <c r="E2502" t="s">
        <v>50</v>
      </c>
      <c r="F2502" t="s">
        <v>185</v>
      </c>
      <c r="G2502">
        <v>7</v>
      </c>
      <c r="H2502" s="7">
        <v>322.43</v>
      </c>
      <c r="I2502" t="s">
        <v>19</v>
      </c>
      <c r="J2502" t="s">
        <v>87</v>
      </c>
      <c r="K2502">
        <v>20</v>
      </c>
      <c r="L2502" s="7">
        <f t="shared" si="118"/>
        <v>2257.0100000000002</v>
      </c>
      <c r="M2502" s="7"/>
      <c r="O2502">
        <f t="shared" si="119"/>
        <v>2</v>
      </c>
      <c r="Q2502" t="s">
        <v>19</v>
      </c>
    </row>
    <row r="2503" spans="1:17" x14ac:dyDescent="0.3">
      <c r="A2503" t="s">
        <v>3578</v>
      </c>
      <c r="B2503" s="6">
        <v>45019</v>
      </c>
      <c r="C2503" s="6" t="str">
        <f t="shared" si="117"/>
        <v>Apr</v>
      </c>
      <c r="D2503" t="s">
        <v>3502</v>
      </c>
      <c r="E2503" t="s">
        <v>19</v>
      </c>
      <c r="F2503" t="s">
        <v>214</v>
      </c>
      <c r="G2503">
        <v>2</v>
      </c>
      <c r="H2503" s="7">
        <v>209.75</v>
      </c>
      <c r="I2503" t="s">
        <v>46</v>
      </c>
      <c r="J2503" t="s">
        <v>42</v>
      </c>
      <c r="K2503">
        <v>10</v>
      </c>
      <c r="L2503" s="7">
        <f t="shared" si="118"/>
        <v>419.5</v>
      </c>
      <c r="M2503" s="7"/>
      <c r="O2503">
        <f t="shared" si="119"/>
        <v>2</v>
      </c>
      <c r="Q2503" t="s">
        <v>47</v>
      </c>
    </row>
    <row r="2504" spans="1:17" x14ac:dyDescent="0.3">
      <c r="A2504" t="s">
        <v>3579</v>
      </c>
      <c r="B2504" s="6">
        <v>45101</v>
      </c>
      <c r="C2504" s="6" t="str">
        <f t="shared" si="117"/>
        <v>Jun</v>
      </c>
      <c r="D2504" t="s">
        <v>563</v>
      </c>
      <c r="E2504" t="s">
        <v>19</v>
      </c>
      <c r="F2504" t="s">
        <v>657</v>
      </c>
      <c r="G2504">
        <v>8</v>
      </c>
      <c r="H2504" s="7">
        <v>149.94</v>
      </c>
      <c r="I2504" t="s">
        <v>64</v>
      </c>
      <c r="J2504" t="s">
        <v>72</v>
      </c>
      <c r="K2504">
        <v>0</v>
      </c>
      <c r="L2504" s="7">
        <f t="shared" si="118"/>
        <v>1199.52</v>
      </c>
      <c r="M2504" s="7"/>
      <c r="O2504">
        <f t="shared" si="119"/>
        <v>2</v>
      </c>
      <c r="Q2504" t="s">
        <v>65</v>
      </c>
    </row>
    <row r="2505" spans="1:17" x14ac:dyDescent="0.3">
      <c r="A2505" t="s">
        <v>3580</v>
      </c>
      <c r="B2505" s="6">
        <v>45185</v>
      </c>
      <c r="C2505" s="6" t="str">
        <f t="shared" si="117"/>
        <v>Sep</v>
      </c>
      <c r="D2505" t="s">
        <v>315</v>
      </c>
      <c r="E2505" t="s">
        <v>19</v>
      </c>
      <c r="F2505" t="s">
        <v>353</v>
      </c>
      <c r="G2505">
        <v>6</v>
      </c>
      <c r="H2505" s="7">
        <v>190.67</v>
      </c>
      <c r="I2505" t="s">
        <v>21</v>
      </c>
      <c r="J2505" t="s">
        <v>42</v>
      </c>
      <c r="K2505">
        <v>0</v>
      </c>
      <c r="L2505" s="7">
        <f t="shared" si="118"/>
        <v>1144.02</v>
      </c>
      <c r="M2505" s="7"/>
      <c r="O2505">
        <f t="shared" si="119"/>
        <v>2</v>
      </c>
      <c r="Q2505" t="s">
        <v>23</v>
      </c>
    </row>
    <row r="2506" spans="1:17" x14ac:dyDescent="0.3">
      <c r="A2506" t="s">
        <v>3581</v>
      </c>
      <c r="B2506" s="6">
        <v>45210</v>
      </c>
      <c r="C2506" s="6" t="str">
        <f t="shared" si="117"/>
        <v>Oct</v>
      </c>
      <c r="D2506" t="s">
        <v>1764</v>
      </c>
      <c r="E2506" t="s">
        <v>50</v>
      </c>
      <c r="F2506" t="s">
        <v>619</v>
      </c>
      <c r="G2506">
        <v>4</v>
      </c>
      <c r="H2506" s="7">
        <v>256.93</v>
      </c>
      <c r="I2506" t="s">
        <v>46</v>
      </c>
      <c r="J2506" t="s">
        <v>19</v>
      </c>
      <c r="K2506">
        <v>15</v>
      </c>
      <c r="L2506" s="7">
        <f t="shared" si="118"/>
        <v>1027.72</v>
      </c>
      <c r="M2506" s="7"/>
      <c r="O2506">
        <f t="shared" si="119"/>
        <v>2</v>
      </c>
      <c r="Q2506" t="s">
        <v>47</v>
      </c>
    </row>
    <row r="2507" spans="1:17" x14ac:dyDescent="0.3">
      <c r="A2507" t="s">
        <v>3582</v>
      </c>
      <c r="B2507" s="6">
        <v>45037</v>
      </c>
      <c r="C2507" s="6" t="str">
        <f t="shared" si="117"/>
        <v>Apr</v>
      </c>
      <c r="D2507" t="s">
        <v>958</v>
      </c>
      <c r="E2507" t="s">
        <v>40</v>
      </c>
      <c r="F2507" t="s">
        <v>193</v>
      </c>
      <c r="G2507">
        <v>5</v>
      </c>
      <c r="H2507" s="7">
        <v>162.93</v>
      </c>
      <c r="I2507" t="s">
        <v>103</v>
      </c>
      <c r="J2507" t="s">
        <v>87</v>
      </c>
      <c r="K2507">
        <v>5</v>
      </c>
      <c r="L2507" s="7">
        <f t="shared" si="118"/>
        <v>814.65000000000009</v>
      </c>
      <c r="M2507" s="7"/>
      <c r="O2507">
        <f t="shared" si="119"/>
        <v>2</v>
      </c>
      <c r="Q2507" t="s">
        <v>104</v>
      </c>
    </row>
    <row r="2508" spans="1:17" x14ac:dyDescent="0.3">
      <c r="A2508" t="s">
        <v>3583</v>
      </c>
      <c r="B2508" s="6">
        <v>45011</v>
      </c>
      <c r="C2508" s="6" t="str">
        <f t="shared" si="117"/>
        <v>Mar</v>
      </c>
      <c r="D2508" t="s">
        <v>1792</v>
      </c>
      <c r="E2508" t="s">
        <v>36</v>
      </c>
      <c r="F2508" t="s">
        <v>214</v>
      </c>
      <c r="G2508">
        <v>8</v>
      </c>
      <c r="H2508" s="7">
        <v>484.64</v>
      </c>
      <c r="I2508" t="s">
        <v>19</v>
      </c>
      <c r="J2508" t="s">
        <v>22</v>
      </c>
      <c r="K2508">
        <v>10</v>
      </c>
      <c r="L2508" s="7">
        <f t="shared" si="118"/>
        <v>3877.12</v>
      </c>
      <c r="M2508" s="7"/>
      <c r="O2508">
        <f t="shared" si="119"/>
        <v>5</v>
      </c>
      <c r="Q2508" t="s">
        <v>19</v>
      </c>
    </row>
    <row r="2509" spans="1:17" x14ac:dyDescent="0.3">
      <c r="A2509" t="s">
        <v>3584</v>
      </c>
      <c r="B2509" s="6">
        <v>45008</v>
      </c>
      <c r="C2509" s="6" t="str">
        <f t="shared" si="117"/>
        <v>Mar</v>
      </c>
      <c r="D2509" t="s">
        <v>1478</v>
      </c>
      <c r="E2509" t="s">
        <v>36</v>
      </c>
      <c r="F2509" t="s">
        <v>251</v>
      </c>
      <c r="G2509">
        <v>3</v>
      </c>
      <c r="H2509" s="7">
        <v>466.87</v>
      </c>
      <c r="I2509" t="s">
        <v>46</v>
      </c>
      <c r="J2509" t="s">
        <v>22</v>
      </c>
      <c r="K2509">
        <v>10</v>
      </c>
      <c r="L2509" s="7">
        <f t="shared" si="118"/>
        <v>1400.6100000000001</v>
      </c>
      <c r="M2509" s="7"/>
      <c r="O2509">
        <f t="shared" si="119"/>
        <v>2</v>
      </c>
      <c r="Q2509" t="s">
        <v>47</v>
      </c>
    </row>
    <row r="2510" spans="1:17" x14ac:dyDescent="0.3">
      <c r="A2510" t="s">
        <v>3585</v>
      </c>
      <c r="B2510" s="6">
        <v>45153</v>
      </c>
      <c r="C2510" s="6" t="str">
        <f t="shared" si="117"/>
        <v>Aug</v>
      </c>
      <c r="D2510" t="s">
        <v>1433</v>
      </c>
      <c r="E2510" t="s">
        <v>50</v>
      </c>
      <c r="F2510" t="s">
        <v>231</v>
      </c>
      <c r="G2510">
        <v>3</v>
      </c>
      <c r="H2510" s="7">
        <v>435.98</v>
      </c>
      <c r="I2510" t="s">
        <v>46</v>
      </c>
      <c r="J2510" t="s">
        <v>28</v>
      </c>
      <c r="K2510">
        <v>0</v>
      </c>
      <c r="L2510" s="7">
        <f t="shared" si="118"/>
        <v>1307.94</v>
      </c>
      <c r="M2510" s="7"/>
      <c r="O2510">
        <f t="shared" si="119"/>
        <v>2</v>
      </c>
      <c r="Q2510" t="s">
        <v>47</v>
      </c>
    </row>
    <row r="2511" spans="1:17" x14ac:dyDescent="0.3">
      <c r="A2511" t="s">
        <v>3586</v>
      </c>
      <c r="B2511" s="6">
        <v>44964</v>
      </c>
      <c r="C2511" s="6" t="str">
        <f t="shared" si="117"/>
        <v>Feb</v>
      </c>
      <c r="D2511" t="s">
        <v>779</v>
      </c>
      <c r="E2511" t="s">
        <v>26</v>
      </c>
      <c r="F2511" t="s">
        <v>469</v>
      </c>
      <c r="G2511">
        <v>4</v>
      </c>
      <c r="H2511" s="7">
        <v>213.81</v>
      </c>
      <c r="I2511" t="s">
        <v>46</v>
      </c>
      <c r="J2511" t="s">
        <v>19</v>
      </c>
      <c r="K2511">
        <v>10</v>
      </c>
      <c r="L2511" s="7">
        <f t="shared" si="118"/>
        <v>855.24</v>
      </c>
      <c r="M2511" s="7"/>
      <c r="O2511">
        <f t="shared" si="119"/>
        <v>2</v>
      </c>
      <c r="Q2511" t="s">
        <v>47</v>
      </c>
    </row>
    <row r="2512" spans="1:17" x14ac:dyDescent="0.3">
      <c r="A2512" t="s">
        <v>3587</v>
      </c>
      <c r="B2512" s="6">
        <v>45099</v>
      </c>
      <c r="C2512" s="6" t="str">
        <f t="shared" si="117"/>
        <v>Jun</v>
      </c>
      <c r="D2512" t="s">
        <v>3588</v>
      </c>
      <c r="E2512" t="s">
        <v>19</v>
      </c>
      <c r="F2512" t="s">
        <v>939</v>
      </c>
      <c r="G2512">
        <v>1</v>
      </c>
      <c r="H2512" s="7">
        <v>347.19</v>
      </c>
      <c r="I2512" t="s">
        <v>19</v>
      </c>
      <c r="J2512" t="s">
        <v>28</v>
      </c>
      <c r="K2512">
        <v>5</v>
      </c>
      <c r="L2512" s="7">
        <f t="shared" si="118"/>
        <v>347.19</v>
      </c>
      <c r="M2512" s="7"/>
      <c r="O2512">
        <f t="shared" si="119"/>
        <v>2</v>
      </c>
      <c r="Q2512" t="s">
        <v>19</v>
      </c>
    </row>
    <row r="2513" spans="1:17" x14ac:dyDescent="0.3">
      <c r="A2513" t="s">
        <v>3589</v>
      </c>
      <c r="B2513" s="6">
        <v>45143</v>
      </c>
      <c r="C2513" s="6" t="str">
        <f t="shared" si="117"/>
        <v>Aug</v>
      </c>
      <c r="D2513" t="s">
        <v>2026</v>
      </c>
      <c r="E2513" t="s">
        <v>40</v>
      </c>
      <c r="F2513" t="s">
        <v>1693</v>
      </c>
      <c r="G2513">
        <v>9</v>
      </c>
      <c r="H2513" s="7">
        <v>451.9</v>
      </c>
      <c r="I2513" t="s">
        <v>46</v>
      </c>
      <c r="J2513" t="s">
        <v>87</v>
      </c>
      <c r="K2513">
        <v>10</v>
      </c>
      <c r="L2513" s="7">
        <f t="shared" si="118"/>
        <v>4067.1</v>
      </c>
      <c r="M2513" s="7"/>
      <c r="O2513">
        <f t="shared" si="119"/>
        <v>5</v>
      </c>
      <c r="Q2513" t="s">
        <v>47</v>
      </c>
    </row>
    <row r="2514" spans="1:17" x14ac:dyDescent="0.3">
      <c r="A2514" t="s">
        <v>3590</v>
      </c>
      <c r="B2514" s="6">
        <v>45276</v>
      </c>
      <c r="C2514" s="6" t="str">
        <f t="shared" si="117"/>
        <v>Dec</v>
      </c>
      <c r="D2514" t="s">
        <v>1245</v>
      </c>
      <c r="E2514" t="s">
        <v>40</v>
      </c>
      <c r="F2514" t="s">
        <v>372</v>
      </c>
      <c r="G2514">
        <v>8</v>
      </c>
      <c r="H2514" s="7">
        <v>425.96</v>
      </c>
      <c r="I2514" t="s">
        <v>32</v>
      </c>
      <c r="J2514" t="s">
        <v>19</v>
      </c>
      <c r="K2514">
        <v>10</v>
      </c>
      <c r="L2514" s="7">
        <f t="shared" si="118"/>
        <v>3407.68</v>
      </c>
      <c r="M2514" s="7"/>
      <c r="O2514">
        <f t="shared" si="119"/>
        <v>4</v>
      </c>
      <c r="Q2514" t="s">
        <v>33</v>
      </c>
    </row>
    <row r="2515" spans="1:17" x14ac:dyDescent="0.3">
      <c r="A2515" t="s">
        <v>3591</v>
      </c>
      <c r="B2515" s="6">
        <v>45104</v>
      </c>
      <c r="C2515" s="6" t="str">
        <f t="shared" si="117"/>
        <v>Jun</v>
      </c>
      <c r="D2515" t="s">
        <v>2801</v>
      </c>
      <c r="E2515" t="s">
        <v>40</v>
      </c>
      <c r="F2515" t="s">
        <v>63</v>
      </c>
      <c r="G2515">
        <v>8</v>
      </c>
      <c r="H2515" s="7">
        <v>210.09</v>
      </c>
      <c r="I2515" t="s">
        <v>21</v>
      </c>
      <c r="J2515" t="s">
        <v>19</v>
      </c>
      <c r="K2515">
        <v>5</v>
      </c>
      <c r="L2515" s="7">
        <f t="shared" si="118"/>
        <v>1680.72</v>
      </c>
      <c r="M2515" s="7"/>
      <c r="O2515">
        <f t="shared" si="119"/>
        <v>2</v>
      </c>
      <c r="Q2515" t="s">
        <v>23</v>
      </c>
    </row>
    <row r="2516" spans="1:17" x14ac:dyDescent="0.3">
      <c r="A2516" t="s">
        <v>3592</v>
      </c>
      <c r="B2516" s="6">
        <v>45006</v>
      </c>
      <c r="C2516" s="6" t="str">
        <f t="shared" si="117"/>
        <v>Mar</v>
      </c>
      <c r="D2516" t="s">
        <v>207</v>
      </c>
      <c r="E2516" t="s">
        <v>62</v>
      </c>
      <c r="F2516" t="s">
        <v>234</v>
      </c>
      <c r="G2516">
        <v>6</v>
      </c>
      <c r="H2516" s="7">
        <v>60.63</v>
      </c>
      <c r="I2516" t="s">
        <v>21</v>
      </c>
      <c r="J2516" t="s">
        <v>22</v>
      </c>
      <c r="K2516">
        <v>10</v>
      </c>
      <c r="L2516" s="7">
        <f t="shared" si="118"/>
        <v>363.78000000000003</v>
      </c>
      <c r="M2516" s="7"/>
      <c r="O2516">
        <f t="shared" si="119"/>
        <v>2</v>
      </c>
      <c r="Q2516" t="s">
        <v>23</v>
      </c>
    </row>
    <row r="2517" spans="1:17" x14ac:dyDescent="0.3">
      <c r="A2517" t="s">
        <v>3593</v>
      </c>
      <c r="B2517" s="6">
        <v>45016</v>
      </c>
      <c r="C2517" s="6" t="str">
        <f t="shared" si="117"/>
        <v>Mar</v>
      </c>
      <c r="D2517" t="s">
        <v>1062</v>
      </c>
      <c r="E2517" t="s">
        <v>36</v>
      </c>
      <c r="F2517" t="s">
        <v>284</v>
      </c>
      <c r="G2517">
        <v>7</v>
      </c>
      <c r="H2517" s="7">
        <v>42.44</v>
      </c>
      <c r="I2517" t="s">
        <v>64</v>
      </c>
      <c r="J2517" t="s">
        <v>19</v>
      </c>
      <c r="K2517">
        <v>10</v>
      </c>
      <c r="L2517" s="7">
        <f t="shared" si="118"/>
        <v>297.08</v>
      </c>
      <c r="M2517" s="7"/>
      <c r="O2517">
        <f t="shared" si="119"/>
        <v>2</v>
      </c>
      <c r="Q2517" t="s">
        <v>65</v>
      </c>
    </row>
    <row r="2518" spans="1:17" x14ac:dyDescent="0.3">
      <c r="A2518" t="s">
        <v>3594</v>
      </c>
      <c r="B2518" s="6">
        <v>44971</v>
      </c>
      <c r="C2518" s="6" t="str">
        <f t="shared" si="117"/>
        <v>Feb</v>
      </c>
      <c r="D2518" t="s">
        <v>2883</v>
      </c>
      <c r="E2518" t="s">
        <v>36</v>
      </c>
      <c r="F2518" t="s">
        <v>549</v>
      </c>
      <c r="G2518">
        <v>6</v>
      </c>
      <c r="H2518" s="7">
        <v>290.64999999999998</v>
      </c>
      <c r="I2518" t="s">
        <v>32</v>
      </c>
      <c r="J2518" t="s">
        <v>42</v>
      </c>
      <c r="K2518">
        <v>10</v>
      </c>
      <c r="L2518" s="7">
        <f t="shared" si="118"/>
        <v>1743.8999999999999</v>
      </c>
      <c r="M2518" s="7"/>
      <c r="O2518">
        <f t="shared" si="119"/>
        <v>2</v>
      </c>
      <c r="Q2518" t="s">
        <v>33</v>
      </c>
    </row>
    <row r="2519" spans="1:17" x14ac:dyDescent="0.3">
      <c r="A2519" t="s">
        <v>3595</v>
      </c>
      <c r="B2519" s="6">
        <v>45286</v>
      </c>
      <c r="C2519" s="6" t="str">
        <f t="shared" si="117"/>
        <v>Dec</v>
      </c>
      <c r="D2519" t="s">
        <v>3596</v>
      </c>
      <c r="E2519" t="s">
        <v>19</v>
      </c>
      <c r="F2519" t="s">
        <v>749</v>
      </c>
      <c r="G2519">
        <v>9</v>
      </c>
      <c r="H2519" s="7">
        <v>323.10000000000002</v>
      </c>
      <c r="I2519" t="s">
        <v>21</v>
      </c>
      <c r="J2519" t="s">
        <v>87</v>
      </c>
      <c r="K2519">
        <v>15</v>
      </c>
      <c r="L2519" s="7">
        <f t="shared" si="118"/>
        <v>2907.9</v>
      </c>
      <c r="M2519" s="7"/>
      <c r="O2519">
        <f t="shared" si="119"/>
        <v>3</v>
      </c>
      <c r="Q2519" t="s">
        <v>23</v>
      </c>
    </row>
    <row r="2520" spans="1:17" x14ac:dyDescent="0.3">
      <c r="A2520" t="s">
        <v>3597</v>
      </c>
      <c r="B2520" s="6">
        <v>45151</v>
      </c>
      <c r="C2520" s="6" t="str">
        <f t="shared" si="117"/>
        <v>Aug</v>
      </c>
      <c r="D2520" t="s">
        <v>3276</v>
      </c>
      <c r="E2520" t="s">
        <v>19</v>
      </c>
      <c r="F2520" t="s">
        <v>474</v>
      </c>
      <c r="G2520">
        <v>3</v>
      </c>
      <c r="H2520" s="7">
        <v>425.67</v>
      </c>
      <c r="I2520" t="s">
        <v>103</v>
      </c>
      <c r="J2520" t="s">
        <v>22</v>
      </c>
      <c r="K2520">
        <v>20</v>
      </c>
      <c r="L2520" s="7">
        <f t="shared" si="118"/>
        <v>1277.01</v>
      </c>
      <c r="M2520" s="7"/>
      <c r="O2520">
        <f t="shared" si="119"/>
        <v>2</v>
      </c>
      <c r="Q2520" t="s">
        <v>104</v>
      </c>
    </row>
    <row r="2521" spans="1:17" x14ac:dyDescent="0.3">
      <c r="A2521" t="s">
        <v>3598</v>
      </c>
      <c r="B2521" s="6">
        <v>45058</v>
      </c>
      <c r="C2521" s="6" t="str">
        <f t="shared" si="117"/>
        <v>May</v>
      </c>
      <c r="D2521" t="s">
        <v>92</v>
      </c>
      <c r="E2521" t="s">
        <v>62</v>
      </c>
      <c r="F2521" t="s">
        <v>1325</v>
      </c>
      <c r="G2521">
        <v>3</v>
      </c>
      <c r="H2521" s="7">
        <v>149.79</v>
      </c>
      <c r="I2521" t="s">
        <v>46</v>
      </c>
      <c r="J2521" t="s">
        <v>28</v>
      </c>
      <c r="K2521">
        <v>5</v>
      </c>
      <c r="L2521" s="7">
        <f t="shared" si="118"/>
        <v>449.37</v>
      </c>
      <c r="M2521" s="7"/>
      <c r="O2521">
        <f t="shared" si="119"/>
        <v>2</v>
      </c>
      <c r="Q2521" t="s">
        <v>47</v>
      </c>
    </row>
    <row r="2522" spans="1:17" x14ac:dyDescent="0.3">
      <c r="A2522" t="s">
        <v>3599</v>
      </c>
      <c r="B2522" s="6">
        <v>45044</v>
      </c>
      <c r="C2522" s="6" t="str">
        <f t="shared" si="117"/>
        <v>Apr</v>
      </c>
      <c r="D2522" t="s">
        <v>300</v>
      </c>
      <c r="E2522" t="s">
        <v>19</v>
      </c>
      <c r="F2522" t="s">
        <v>257</v>
      </c>
      <c r="G2522">
        <v>3</v>
      </c>
      <c r="H2522" s="7">
        <v>87.9</v>
      </c>
      <c r="I2522" t="s">
        <v>103</v>
      </c>
      <c r="J2522" t="s">
        <v>72</v>
      </c>
      <c r="K2522">
        <v>5</v>
      </c>
      <c r="L2522" s="7">
        <f t="shared" si="118"/>
        <v>263.70000000000005</v>
      </c>
      <c r="M2522" s="7"/>
      <c r="O2522">
        <f t="shared" si="119"/>
        <v>2</v>
      </c>
      <c r="Q2522" t="s">
        <v>104</v>
      </c>
    </row>
    <row r="2523" spans="1:17" x14ac:dyDescent="0.3">
      <c r="A2523" t="s">
        <v>3600</v>
      </c>
      <c r="B2523" s="6">
        <v>45019</v>
      </c>
      <c r="C2523" s="6" t="str">
        <f t="shared" si="117"/>
        <v>Apr</v>
      </c>
      <c r="D2523" t="s">
        <v>361</v>
      </c>
      <c r="E2523" t="s">
        <v>19</v>
      </c>
      <c r="F2523" t="s">
        <v>657</v>
      </c>
      <c r="G2523">
        <v>3</v>
      </c>
      <c r="H2523" s="7">
        <v>252.16</v>
      </c>
      <c r="I2523" t="s">
        <v>19</v>
      </c>
      <c r="J2523" t="s">
        <v>28</v>
      </c>
      <c r="K2523">
        <v>5</v>
      </c>
      <c r="L2523" s="7">
        <f t="shared" si="118"/>
        <v>756.48</v>
      </c>
      <c r="M2523" s="7"/>
      <c r="O2523">
        <f t="shared" si="119"/>
        <v>2</v>
      </c>
      <c r="Q2523" t="s">
        <v>19</v>
      </c>
    </row>
    <row r="2524" spans="1:17" x14ac:dyDescent="0.3">
      <c r="A2524" t="s">
        <v>3601</v>
      </c>
      <c r="B2524" s="6">
        <v>44993</v>
      </c>
      <c r="C2524" s="6" t="str">
        <f t="shared" si="117"/>
        <v>Mar</v>
      </c>
      <c r="D2524" t="s">
        <v>1898</v>
      </c>
      <c r="E2524" t="s">
        <v>62</v>
      </c>
      <c r="F2524" t="s">
        <v>383</v>
      </c>
      <c r="G2524">
        <v>5</v>
      </c>
      <c r="H2524" s="7">
        <v>180.02</v>
      </c>
      <c r="I2524" t="s">
        <v>19</v>
      </c>
      <c r="J2524" t="s">
        <v>19</v>
      </c>
      <c r="K2524">
        <v>5</v>
      </c>
      <c r="L2524" s="7">
        <f t="shared" si="118"/>
        <v>900.1</v>
      </c>
      <c r="M2524" s="7"/>
      <c r="O2524">
        <f t="shared" si="119"/>
        <v>2</v>
      </c>
      <c r="Q2524" t="s">
        <v>19</v>
      </c>
    </row>
    <row r="2525" spans="1:17" x14ac:dyDescent="0.3">
      <c r="A2525" t="s">
        <v>3602</v>
      </c>
      <c r="B2525" s="6">
        <v>44953</v>
      </c>
      <c r="C2525" s="6" t="str">
        <f t="shared" si="117"/>
        <v>Jan</v>
      </c>
      <c r="D2525" t="s">
        <v>1040</v>
      </c>
      <c r="E2525" t="s">
        <v>26</v>
      </c>
      <c r="F2525" t="s">
        <v>242</v>
      </c>
      <c r="G2525">
        <v>5</v>
      </c>
      <c r="H2525" s="7">
        <v>70.569999999999993</v>
      </c>
      <c r="I2525" t="s">
        <v>19</v>
      </c>
      <c r="J2525" t="s">
        <v>19</v>
      </c>
      <c r="K2525">
        <v>5</v>
      </c>
      <c r="L2525" s="7">
        <f t="shared" si="118"/>
        <v>352.84999999999997</v>
      </c>
      <c r="M2525" s="7"/>
      <c r="O2525">
        <f t="shared" si="119"/>
        <v>2</v>
      </c>
      <c r="Q2525" t="s">
        <v>19</v>
      </c>
    </row>
    <row r="2526" spans="1:17" x14ac:dyDescent="0.3">
      <c r="A2526" t="s">
        <v>3603</v>
      </c>
      <c r="B2526" s="6">
        <v>44964</v>
      </c>
      <c r="C2526" s="6" t="str">
        <f t="shared" si="117"/>
        <v>Feb</v>
      </c>
      <c r="D2526" t="s">
        <v>600</v>
      </c>
      <c r="E2526" t="s">
        <v>36</v>
      </c>
      <c r="F2526" t="s">
        <v>148</v>
      </c>
      <c r="G2526">
        <v>7</v>
      </c>
      <c r="H2526" s="7">
        <v>337.78</v>
      </c>
      <c r="I2526" t="s">
        <v>32</v>
      </c>
      <c r="J2526" t="s">
        <v>72</v>
      </c>
      <c r="K2526">
        <v>10</v>
      </c>
      <c r="L2526" s="7">
        <f t="shared" si="118"/>
        <v>2364.46</v>
      </c>
      <c r="M2526" s="7"/>
      <c r="O2526">
        <f t="shared" si="119"/>
        <v>2</v>
      </c>
      <c r="Q2526" t="s">
        <v>33</v>
      </c>
    </row>
    <row r="2527" spans="1:17" x14ac:dyDescent="0.3">
      <c r="A2527" t="s">
        <v>3604</v>
      </c>
      <c r="B2527" s="6">
        <v>45157</v>
      </c>
      <c r="C2527" s="6" t="str">
        <f t="shared" si="117"/>
        <v>Aug</v>
      </c>
      <c r="D2527" t="s">
        <v>600</v>
      </c>
      <c r="E2527" t="s">
        <v>26</v>
      </c>
      <c r="F2527" t="s">
        <v>861</v>
      </c>
      <c r="G2527">
        <v>9</v>
      </c>
      <c r="H2527" s="7">
        <v>256.8</v>
      </c>
      <c r="I2527" t="s">
        <v>21</v>
      </c>
      <c r="J2527" t="s">
        <v>22</v>
      </c>
      <c r="K2527">
        <v>15</v>
      </c>
      <c r="L2527" s="7">
        <f t="shared" si="118"/>
        <v>2311.2000000000003</v>
      </c>
      <c r="M2527" s="7"/>
      <c r="O2527">
        <f t="shared" si="119"/>
        <v>2</v>
      </c>
      <c r="Q2527" t="s">
        <v>23</v>
      </c>
    </row>
    <row r="2528" spans="1:17" x14ac:dyDescent="0.3">
      <c r="A2528" t="s">
        <v>3605</v>
      </c>
      <c r="B2528" s="6">
        <v>45060</v>
      </c>
      <c r="C2528" s="6" t="str">
        <f t="shared" si="117"/>
        <v>May</v>
      </c>
      <c r="D2528" t="s">
        <v>1830</v>
      </c>
      <c r="E2528" t="s">
        <v>62</v>
      </c>
      <c r="F2528" t="s">
        <v>417</v>
      </c>
      <c r="G2528">
        <v>7</v>
      </c>
      <c r="H2528" s="7">
        <v>361.96</v>
      </c>
      <c r="I2528" t="s">
        <v>64</v>
      </c>
      <c r="J2528" t="s">
        <v>19</v>
      </c>
      <c r="K2528">
        <v>0</v>
      </c>
      <c r="L2528" s="7">
        <f t="shared" si="118"/>
        <v>2533.7199999999998</v>
      </c>
      <c r="M2528" s="7"/>
      <c r="O2528">
        <f t="shared" si="119"/>
        <v>3</v>
      </c>
      <c r="Q2528" t="s">
        <v>65</v>
      </c>
    </row>
    <row r="2529" spans="1:17" x14ac:dyDescent="0.3">
      <c r="A2529" t="s">
        <v>3606</v>
      </c>
      <c r="B2529" s="6">
        <v>45243</v>
      </c>
      <c r="C2529" s="6" t="str">
        <f t="shared" si="117"/>
        <v>Nov</v>
      </c>
      <c r="D2529" t="s">
        <v>924</v>
      </c>
      <c r="E2529" t="s">
        <v>19</v>
      </c>
      <c r="F2529" t="s">
        <v>1182</v>
      </c>
      <c r="G2529">
        <v>9</v>
      </c>
      <c r="H2529" s="7">
        <v>179.58</v>
      </c>
      <c r="I2529" t="s">
        <v>46</v>
      </c>
      <c r="J2529" t="s">
        <v>87</v>
      </c>
      <c r="K2529">
        <v>10</v>
      </c>
      <c r="L2529" s="7">
        <f t="shared" si="118"/>
        <v>1616.22</v>
      </c>
      <c r="M2529" s="7"/>
      <c r="O2529">
        <f t="shared" si="119"/>
        <v>2</v>
      </c>
      <c r="Q2529" t="s">
        <v>47</v>
      </c>
    </row>
    <row r="2530" spans="1:17" x14ac:dyDescent="0.3">
      <c r="A2530" t="s">
        <v>3607</v>
      </c>
      <c r="B2530" s="6">
        <v>45059</v>
      </c>
      <c r="C2530" s="6" t="str">
        <f t="shared" si="117"/>
        <v>May</v>
      </c>
      <c r="D2530" t="s">
        <v>664</v>
      </c>
      <c r="E2530" t="s">
        <v>36</v>
      </c>
      <c r="F2530" t="s">
        <v>856</v>
      </c>
      <c r="G2530">
        <v>3</v>
      </c>
      <c r="H2530" s="7">
        <v>166.22</v>
      </c>
      <c r="I2530" t="s">
        <v>19</v>
      </c>
      <c r="J2530" t="s">
        <v>19</v>
      </c>
      <c r="K2530">
        <v>10</v>
      </c>
      <c r="L2530" s="7">
        <f t="shared" si="118"/>
        <v>498.65999999999997</v>
      </c>
      <c r="M2530" s="7"/>
      <c r="O2530">
        <f t="shared" si="119"/>
        <v>2</v>
      </c>
      <c r="Q2530" t="s">
        <v>19</v>
      </c>
    </row>
    <row r="2531" spans="1:17" x14ac:dyDescent="0.3">
      <c r="A2531" t="s">
        <v>3608</v>
      </c>
      <c r="B2531" s="6">
        <v>45178</v>
      </c>
      <c r="C2531" s="6" t="str">
        <f t="shared" si="117"/>
        <v>Sep</v>
      </c>
      <c r="D2531" t="s">
        <v>571</v>
      </c>
      <c r="E2531" t="s">
        <v>31</v>
      </c>
      <c r="F2531" t="s">
        <v>1038</v>
      </c>
      <c r="G2531">
        <v>4</v>
      </c>
      <c r="H2531" s="7">
        <v>238.93</v>
      </c>
      <c r="I2531" t="s">
        <v>103</v>
      </c>
      <c r="J2531" t="s">
        <v>72</v>
      </c>
      <c r="K2531">
        <v>20</v>
      </c>
      <c r="L2531" s="7">
        <f t="shared" si="118"/>
        <v>955.72</v>
      </c>
      <c r="M2531" s="7"/>
      <c r="O2531">
        <f t="shared" si="119"/>
        <v>2</v>
      </c>
      <c r="Q2531" t="s">
        <v>104</v>
      </c>
    </row>
    <row r="2532" spans="1:17" x14ac:dyDescent="0.3">
      <c r="A2532" t="s">
        <v>3609</v>
      </c>
      <c r="B2532" s="6">
        <v>44964</v>
      </c>
      <c r="C2532" s="6" t="str">
        <f t="shared" si="117"/>
        <v>Feb</v>
      </c>
      <c r="D2532" t="s">
        <v>537</v>
      </c>
      <c r="E2532" t="s">
        <v>50</v>
      </c>
      <c r="F2532" t="s">
        <v>944</v>
      </c>
      <c r="G2532">
        <v>8</v>
      </c>
      <c r="H2532" s="7">
        <v>439.32</v>
      </c>
      <c r="I2532" t="s">
        <v>103</v>
      </c>
      <c r="J2532" t="s">
        <v>42</v>
      </c>
      <c r="K2532">
        <v>0</v>
      </c>
      <c r="L2532" s="7">
        <f t="shared" si="118"/>
        <v>3514.56</v>
      </c>
      <c r="M2532" s="7"/>
      <c r="O2532">
        <f t="shared" si="119"/>
        <v>5</v>
      </c>
      <c r="Q2532" t="s">
        <v>104</v>
      </c>
    </row>
    <row r="2533" spans="1:17" x14ac:dyDescent="0.3">
      <c r="A2533" t="s">
        <v>3610</v>
      </c>
      <c r="B2533" s="6">
        <v>45185</v>
      </c>
      <c r="C2533" s="6" t="str">
        <f t="shared" si="117"/>
        <v>Sep</v>
      </c>
      <c r="D2533" t="s">
        <v>567</v>
      </c>
      <c r="E2533" t="s">
        <v>50</v>
      </c>
      <c r="F2533" t="s">
        <v>165</v>
      </c>
      <c r="G2533">
        <v>6</v>
      </c>
      <c r="H2533" s="7">
        <v>24.94</v>
      </c>
      <c r="I2533" t="s">
        <v>21</v>
      </c>
      <c r="J2533" t="s">
        <v>42</v>
      </c>
      <c r="K2533">
        <v>5</v>
      </c>
      <c r="L2533" s="7">
        <f t="shared" si="118"/>
        <v>149.64000000000001</v>
      </c>
      <c r="M2533" s="7"/>
      <c r="O2533">
        <f t="shared" si="119"/>
        <v>2</v>
      </c>
      <c r="Q2533" t="s">
        <v>23</v>
      </c>
    </row>
    <row r="2534" spans="1:17" x14ac:dyDescent="0.3">
      <c r="A2534" t="s">
        <v>3611</v>
      </c>
      <c r="B2534" s="6">
        <v>45136</v>
      </c>
      <c r="C2534" s="6" t="str">
        <f t="shared" si="117"/>
        <v>Jul</v>
      </c>
      <c r="D2534" t="s">
        <v>2009</v>
      </c>
      <c r="E2534" t="s">
        <v>31</v>
      </c>
      <c r="F2534" t="s">
        <v>68</v>
      </c>
      <c r="G2534">
        <v>5</v>
      </c>
      <c r="H2534" s="7">
        <v>403.39</v>
      </c>
      <c r="I2534" t="s">
        <v>46</v>
      </c>
      <c r="J2534" t="s">
        <v>42</v>
      </c>
      <c r="K2534">
        <v>0</v>
      </c>
      <c r="L2534" s="7">
        <f t="shared" si="118"/>
        <v>2016.9499999999998</v>
      </c>
      <c r="M2534" s="7"/>
      <c r="O2534">
        <f t="shared" si="119"/>
        <v>2</v>
      </c>
      <c r="Q2534" t="s">
        <v>47</v>
      </c>
    </row>
    <row r="2535" spans="1:17" x14ac:dyDescent="0.3">
      <c r="A2535" t="s">
        <v>3612</v>
      </c>
      <c r="B2535" s="6">
        <v>45060</v>
      </c>
      <c r="C2535" s="6" t="str">
        <f t="shared" si="117"/>
        <v>May</v>
      </c>
      <c r="D2535" t="s">
        <v>1883</v>
      </c>
      <c r="E2535" t="s">
        <v>19</v>
      </c>
      <c r="F2535" t="s">
        <v>1251</v>
      </c>
      <c r="G2535">
        <v>4</v>
      </c>
      <c r="H2535" s="7">
        <v>187.65</v>
      </c>
      <c r="I2535" t="s">
        <v>32</v>
      </c>
      <c r="J2535" t="s">
        <v>87</v>
      </c>
      <c r="K2535">
        <v>15</v>
      </c>
      <c r="L2535" s="7">
        <f t="shared" si="118"/>
        <v>750.6</v>
      </c>
      <c r="M2535" s="7"/>
      <c r="O2535">
        <f t="shared" si="119"/>
        <v>2</v>
      </c>
      <c r="Q2535" t="s">
        <v>33</v>
      </c>
    </row>
    <row r="2536" spans="1:17" x14ac:dyDescent="0.3">
      <c r="A2536" t="s">
        <v>3613</v>
      </c>
      <c r="B2536" s="6">
        <v>44957</v>
      </c>
      <c r="C2536" s="6" t="str">
        <f t="shared" si="117"/>
        <v>Jan</v>
      </c>
      <c r="D2536" t="s">
        <v>2458</v>
      </c>
      <c r="E2536" t="s">
        <v>62</v>
      </c>
      <c r="F2536" t="s">
        <v>51</v>
      </c>
      <c r="G2536">
        <v>8</v>
      </c>
      <c r="H2536" s="7">
        <v>428.04</v>
      </c>
      <c r="I2536" t="s">
        <v>64</v>
      </c>
      <c r="J2536" t="s">
        <v>19</v>
      </c>
      <c r="K2536">
        <v>10</v>
      </c>
      <c r="L2536" s="7">
        <f t="shared" si="118"/>
        <v>3424.32</v>
      </c>
      <c r="M2536" s="7"/>
      <c r="O2536">
        <f t="shared" si="119"/>
        <v>4</v>
      </c>
      <c r="Q2536" t="s">
        <v>65</v>
      </c>
    </row>
    <row r="2537" spans="1:17" x14ac:dyDescent="0.3">
      <c r="A2537" t="s">
        <v>3614</v>
      </c>
      <c r="B2537" s="6">
        <v>45197</v>
      </c>
      <c r="C2537" s="6" t="str">
        <f t="shared" si="117"/>
        <v>Sep</v>
      </c>
      <c r="D2537" t="s">
        <v>2621</v>
      </c>
      <c r="E2537" t="s">
        <v>26</v>
      </c>
      <c r="F2537" t="s">
        <v>822</v>
      </c>
      <c r="G2537">
        <v>1</v>
      </c>
      <c r="H2537" s="7">
        <v>402.09</v>
      </c>
      <c r="I2537" t="s">
        <v>19</v>
      </c>
      <c r="J2537" t="s">
        <v>87</v>
      </c>
      <c r="K2537">
        <v>10</v>
      </c>
      <c r="L2537" s="7">
        <f t="shared" si="118"/>
        <v>402.09</v>
      </c>
      <c r="M2537" s="7"/>
      <c r="O2537">
        <f t="shared" si="119"/>
        <v>2</v>
      </c>
      <c r="Q2537" t="s">
        <v>19</v>
      </c>
    </row>
    <row r="2538" spans="1:17" x14ac:dyDescent="0.3">
      <c r="A2538" t="s">
        <v>3615</v>
      </c>
      <c r="B2538" s="6">
        <v>45220</v>
      </c>
      <c r="C2538" s="6" t="str">
        <f t="shared" si="117"/>
        <v>Oct</v>
      </c>
      <c r="D2538" t="s">
        <v>2161</v>
      </c>
      <c r="E2538" t="s">
        <v>36</v>
      </c>
      <c r="F2538" t="s">
        <v>662</v>
      </c>
      <c r="G2538">
        <v>9</v>
      </c>
      <c r="H2538" s="7">
        <v>177.64</v>
      </c>
      <c r="I2538" t="s">
        <v>46</v>
      </c>
      <c r="J2538" t="s">
        <v>87</v>
      </c>
      <c r="K2538">
        <v>0</v>
      </c>
      <c r="L2538" s="7">
        <f t="shared" si="118"/>
        <v>1598.7599999999998</v>
      </c>
      <c r="M2538" s="7"/>
      <c r="O2538">
        <f t="shared" si="119"/>
        <v>2</v>
      </c>
      <c r="Q2538" t="s">
        <v>47</v>
      </c>
    </row>
    <row r="2539" spans="1:17" x14ac:dyDescent="0.3">
      <c r="A2539" t="s">
        <v>3616</v>
      </c>
      <c r="B2539" s="6">
        <v>45275</v>
      </c>
      <c r="C2539" s="6" t="str">
        <f t="shared" si="117"/>
        <v>Dec</v>
      </c>
      <c r="D2539" t="s">
        <v>938</v>
      </c>
      <c r="E2539" t="s">
        <v>19</v>
      </c>
      <c r="F2539" t="s">
        <v>369</v>
      </c>
      <c r="G2539">
        <v>1</v>
      </c>
      <c r="H2539" s="7">
        <v>348.47</v>
      </c>
      <c r="I2539" t="s">
        <v>21</v>
      </c>
      <c r="J2539" t="s">
        <v>28</v>
      </c>
      <c r="K2539">
        <v>20</v>
      </c>
      <c r="L2539" s="7">
        <f t="shared" si="118"/>
        <v>348.47</v>
      </c>
      <c r="M2539" s="7"/>
      <c r="O2539">
        <f t="shared" si="119"/>
        <v>2</v>
      </c>
      <c r="Q2539" t="s">
        <v>23</v>
      </c>
    </row>
    <row r="2540" spans="1:17" x14ac:dyDescent="0.3">
      <c r="A2540" t="s">
        <v>3617</v>
      </c>
      <c r="B2540" s="6">
        <v>45035</v>
      </c>
      <c r="C2540" s="6" t="str">
        <f t="shared" si="117"/>
        <v>Apr</v>
      </c>
      <c r="D2540" t="s">
        <v>1801</v>
      </c>
      <c r="E2540" t="s">
        <v>31</v>
      </c>
      <c r="F2540" t="s">
        <v>242</v>
      </c>
      <c r="G2540">
        <v>8</v>
      </c>
      <c r="H2540" s="7">
        <v>84.02</v>
      </c>
      <c r="I2540" t="s">
        <v>103</v>
      </c>
      <c r="J2540" t="s">
        <v>22</v>
      </c>
      <c r="K2540">
        <v>15</v>
      </c>
      <c r="L2540" s="7">
        <f t="shared" si="118"/>
        <v>672.16</v>
      </c>
      <c r="M2540" s="7"/>
      <c r="O2540">
        <f t="shared" si="119"/>
        <v>2</v>
      </c>
      <c r="Q2540" t="s">
        <v>104</v>
      </c>
    </row>
    <row r="2541" spans="1:17" x14ac:dyDescent="0.3">
      <c r="A2541" t="s">
        <v>3618</v>
      </c>
      <c r="B2541" s="6">
        <v>45169</v>
      </c>
      <c r="C2541" s="6" t="str">
        <f t="shared" si="117"/>
        <v>Aug</v>
      </c>
      <c r="D2541" t="s">
        <v>2569</v>
      </c>
      <c r="E2541" t="s">
        <v>62</v>
      </c>
      <c r="F2541" t="s">
        <v>319</v>
      </c>
      <c r="G2541">
        <v>4</v>
      </c>
      <c r="H2541" s="7">
        <v>448.66</v>
      </c>
      <c r="I2541" t="s">
        <v>32</v>
      </c>
      <c r="J2541" t="s">
        <v>19</v>
      </c>
      <c r="K2541">
        <v>10</v>
      </c>
      <c r="L2541" s="7">
        <f t="shared" si="118"/>
        <v>1794.64</v>
      </c>
      <c r="M2541" s="7"/>
      <c r="O2541">
        <f t="shared" si="119"/>
        <v>2</v>
      </c>
      <c r="Q2541" t="s">
        <v>33</v>
      </c>
    </row>
    <row r="2542" spans="1:17" x14ac:dyDescent="0.3">
      <c r="A2542" t="s">
        <v>3619</v>
      </c>
      <c r="B2542" s="6">
        <v>44999</v>
      </c>
      <c r="C2542" s="6" t="str">
        <f t="shared" si="117"/>
        <v>Mar</v>
      </c>
      <c r="D2542" t="s">
        <v>1705</v>
      </c>
      <c r="E2542" t="s">
        <v>31</v>
      </c>
      <c r="F2542" t="s">
        <v>549</v>
      </c>
      <c r="G2542">
        <v>9</v>
      </c>
      <c r="H2542" s="7">
        <v>205.22</v>
      </c>
      <c r="I2542" t="s">
        <v>64</v>
      </c>
      <c r="J2542" t="s">
        <v>87</v>
      </c>
      <c r="K2542">
        <v>15</v>
      </c>
      <c r="L2542" s="7">
        <f t="shared" si="118"/>
        <v>1846.98</v>
      </c>
      <c r="M2542" s="7"/>
      <c r="O2542">
        <f t="shared" si="119"/>
        <v>2</v>
      </c>
      <c r="Q2542" t="s">
        <v>65</v>
      </c>
    </row>
    <row r="2543" spans="1:17" x14ac:dyDescent="0.3">
      <c r="A2543" t="s">
        <v>3620</v>
      </c>
      <c r="B2543" s="6">
        <v>45029</v>
      </c>
      <c r="C2543" s="6" t="str">
        <f t="shared" si="117"/>
        <v>Apr</v>
      </c>
      <c r="D2543" t="s">
        <v>1812</v>
      </c>
      <c r="E2543" t="s">
        <v>40</v>
      </c>
      <c r="F2543" t="s">
        <v>861</v>
      </c>
      <c r="G2543">
        <v>5</v>
      </c>
      <c r="H2543" s="7">
        <v>230.53</v>
      </c>
      <c r="I2543" t="s">
        <v>64</v>
      </c>
      <c r="J2543" t="s">
        <v>72</v>
      </c>
      <c r="K2543">
        <v>5</v>
      </c>
      <c r="L2543" s="7">
        <f t="shared" si="118"/>
        <v>1152.6500000000001</v>
      </c>
      <c r="M2543" s="7"/>
      <c r="O2543">
        <f t="shared" si="119"/>
        <v>2</v>
      </c>
      <c r="Q2543" t="s">
        <v>65</v>
      </c>
    </row>
    <row r="2544" spans="1:17" x14ac:dyDescent="0.3">
      <c r="A2544" t="s">
        <v>3621</v>
      </c>
      <c r="B2544" s="6">
        <v>45223</v>
      </c>
      <c r="C2544" s="6" t="str">
        <f t="shared" si="117"/>
        <v>Oct</v>
      </c>
      <c r="D2544" t="s">
        <v>3588</v>
      </c>
      <c r="E2544" t="s">
        <v>19</v>
      </c>
      <c r="F2544" t="s">
        <v>295</v>
      </c>
      <c r="G2544">
        <v>3</v>
      </c>
      <c r="H2544" s="7">
        <v>354.35</v>
      </c>
      <c r="I2544" t="s">
        <v>46</v>
      </c>
      <c r="J2544" t="s">
        <v>42</v>
      </c>
      <c r="K2544">
        <v>10</v>
      </c>
      <c r="L2544" s="7">
        <f t="shared" si="118"/>
        <v>1063.0500000000002</v>
      </c>
      <c r="M2544" s="7"/>
      <c r="O2544">
        <f t="shared" si="119"/>
        <v>2</v>
      </c>
      <c r="Q2544" t="s">
        <v>47</v>
      </c>
    </row>
    <row r="2545" spans="1:17" x14ac:dyDescent="0.3">
      <c r="A2545" t="s">
        <v>3622</v>
      </c>
      <c r="B2545" s="6">
        <v>45057</v>
      </c>
      <c r="C2545" s="6" t="str">
        <f t="shared" si="117"/>
        <v>May</v>
      </c>
      <c r="D2545" t="s">
        <v>841</v>
      </c>
      <c r="E2545" t="s">
        <v>19</v>
      </c>
      <c r="F2545" t="s">
        <v>193</v>
      </c>
      <c r="G2545">
        <v>9</v>
      </c>
      <c r="H2545" s="7">
        <v>411.32</v>
      </c>
      <c r="I2545" t="s">
        <v>21</v>
      </c>
      <c r="J2545" t="s">
        <v>42</v>
      </c>
      <c r="K2545">
        <v>20</v>
      </c>
      <c r="L2545" s="7">
        <f t="shared" si="118"/>
        <v>3701.88</v>
      </c>
      <c r="M2545" s="7"/>
      <c r="O2545">
        <f t="shared" si="119"/>
        <v>5</v>
      </c>
      <c r="Q2545" t="s">
        <v>23</v>
      </c>
    </row>
    <row r="2546" spans="1:17" x14ac:dyDescent="0.3">
      <c r="A2546" t="s">
        <v>3623</v>
      </c>
      <c r="B2546" s="6">
        <v>45107</v>
      </c>
      <c r="C2546" s="6" t="str">
        <f t="shared" si="117"/>
        <v>Jun</v>
      </c>
      <c r="D2546" t="s">
        <v>1799</v>
      </c>
      <c r="E2546" t="s">
        <v>50</v>
      </c>
      <c r="F2546" t="s">
        <v>334</v>
      </c>
      <c r="G2546">
        <v>9</v>
      </c>
      <c r="H2546" s="7">
        <v>121.99</v>
      </c>
      <c r="I2546" t="s">
        <v>103</v>
      </c>
      <c r="J2546" t="s">
        <v>42</v>
      </c>
      <c r="K2546">
        <v>10</v>
      </c>
      <c r="L2546" s="7">
        <f t="shared" si="118"/>
        <v>1097.9099999999999</v>
      </c>
      <c r="M2546" s="7"/>
      <c r="O2546">
        <f t="shared" si="119"/>
        <v>2</v>
      </c>
      <c r="Q2546" t="s">
        <v>104</v>
      </c>
    </row>
    <row r="2547" spans="1:17" x14ac:dyDescent="0.3">
      <c r="A2547" t="s">
        <v>3624</v>
      </c>
      <c r="B2547" s="6">
        <v>45094</v>
      </c>
      <c r="C2547" s="6" t="str">
        <f t="shared" si="117"/>
        <v>Jun</v>
      </c>
      <c r="D2547" t="s">
        <v>635</v>
      </c>
      <c r="E2547" t="s">
        <v>36</v>
      </c>
      <c r="F2547" t="s">
        <v>45</v>
      </c>
      <c r="G2547">
        <v>4</v>
      </c>
      <c r="H2547" s="7">
        <v>332.37</v>
      </c>
      <c r="I2547" t="s">
        <v>19</v>
      </c>
      <c r="J2547" t="s">
        <v>19</v>
      </c>
      <c r="K2547">
        <v>20</v>
      </c>
      <c r="L2547" s="7">
        <f t="shared" si="118"/>
        <v>1329.48</v>
      </c>
      <c r="M2547" s="7"/>
      <c r="O2547">
        <f t="shared" si="119"/>
        <v>2</v>
      </c>
      <c r="Q2547" t="s">
        <v>19</v>
      </c>
    </row>
    <row r="2548" spans="1:17" x14ac:dyDescent="0.3">
      <c r="A2548" t="s">
        <v>3625</v>
      </c>
      <c r="B2548" s="6">
        <v>44988</v>
      </c>
      <c r="C2548" s="6" t="str">
        <f t="shared" si="117"/>
        <v>Mar</v>
      </c>
      <c r="D2548" t="s">
        <v>1518</v>
      </c>
      <c r="E2548" t="s">
        <v>40</v>
      </c>
      <c r="F2548" t="s">
        <v>125</v>
      </c>
      <c r="G2548">
        <v>4</v>
      </c>
      <c r="H2548" s="7">
        <v>199.04</v>
      </c>
      <c r="I2548" t="s">
        <v>64</v>
      </c>
      <c r="J2548" t="s">
        <v>22</v>
      </c>
      <c r="K2548">
        <v>5</v>
      </c>
      <c r="L2548" s="7">
        <f t="shared" si="118"/>
        <v>796.16</v>
      </c>
      <c r="M2548" s="7"/>
      <c r="O2548">
        <f t="shared" si="119"/>
        <v>2</v>
      </c>
      <c r="Q2548" t="s">
        <v>65</v>
      </c>
    </row>
    <row r="2549" spans="1:17" x14ac:dyDescent="0.3">
      <c r="A2549" t="s">
        <v>3626</v>
      </c>
      <c r="B2549" s="6">
        <v>44960</v>
      </c>
      <c r="C2549" s="6" t="str">
        <f t="shared" si="117"/>
        <v>Feb</v>
      </c>
      <c r="D2549" t="s">
        <v>885</v>
      </c>
      <c r="E2549" t="s">
        <v>50</v>
      </c>
      <c r="F2549" t="s">
        <v>217</v>
      </c>
      <c r="G2549">
        <v>8</v>
      </c>
      <c r="H2549" s="7">
        <v>187.51</v>
      </c>
      <c r="I2549" t="s">
        <v>103</v>
      </c>
      <c r="J2549" t="s">
        <v>87</v>
      </c>
      <c r="K2549">
        <v>20</v>
      </c>
      <c r="L2549" s="7">
        <f t="shared" si="118"/>
        <v>1500.08</v>
      </c>
      <c r="M2549" s="7"/>
      <c r="O2549">
        <f t="shared" si="119"/>
        <v>2</v>
      </c>
      <c r="Q2549" t="s">
        <v>104</v>
      </c>
    </row>
    <row r="2550" spans="1:17" x14ac:dyDescent="0.3">
      <c r="A2550" t="s">
        <v>3627</v>
      </c>
      <c r="B2550" s="6">
        <v>45037</v>
      </c>
      <c r="C2550" s="6" t="str">
        <f t="shared" si="117"/>
        <v>Apr</v>
      </c>
      <c r="D2550" t="s">
        <v>577</v>
      </c>
      <c r="E2550" t="s">
        <v>50</v>
      </c>
      <c r="F2550" t="s">
        <v>359</v>
      </c>
      <c r="G2550">
        <v>2</v>
      </c>
      <c r="H2550" s="7">
        <v>346.56</v>
      </c>
      <c r="I2550" t="s">
        <v>64</v>
      </c>
      <c r="J2550" t="s">
        <v>72</v>
      </c>
      <c r="K2550">
        <v>15</v>
      </c>
      <c r="L2550" s="7">
        <f t="shared" si="118"/>
        <v>693.12</v>
      </c>
      <c r="M2550" s="7"/>
      <c r="O2550">
        <f t="shared" si="119"/>
        <v>2</v>
      </c>
      <c r="Q2550" t="s">
        <v>65</v>
      </c>
    </row>
    <row r="2551" spans="1:17" x14ac:dyDescent="0.3">
      <c r="A2551" t="s">
        <v>3628</v>
      </c>
      <c r="B2551" s="6">
        <v>45028</v>
      </c>
      <c r="C2551" s="6" t="str">
        <f t="shared" si="117"/>
        <v>Apr</v>
      </c>
      <c r="D2551" t="s">
        <v>788</v>
      </c>
      <c r="E2551" t="s">
        <v>36</v>
      </c>
      <c r="F2551" t="s">
        <v>1063</v>
      </c>
      <c r="G2551">
        <v>5</v>
      </c>
      <c r="H2551" s="7">
        <v>196.66</v>
      </c>
      <c r="I2551" t="s">
        <v>32</v>
      </c>
      <c r="J2551" t="s">
        <v>28</v>
      </c>
      <c r="K2551">
        <v>0</v>
      </c>
      <c r="L2551" s="7">
        <f t="shared" si="118"/>
        <v>983.3</v>
      </c>
      <c r="M2551" s="7"/>
      <c r="O2551">
        <f t="shared" si="119"/>
        <v>2</v>
      </c>
      <c r="Q2551" t="s">
        <v>33</v>
      </c>
    </row>
    <row r="2552" spans="1:17" x14ac:dyDescent="0.3">
      <c r="A2552" t="s">
        <v>3629</v>
      </c>
      <c r="B2552" s="6">
        <v>45184</v>
      </c>
      <c r="C2552" s="6" t="str">
        <f t="shared" si="117"/>
        <v>Sep</v>
      </c>
      <c r="D2552" t="s">
        <v>408</v>
      </c>
      <c r="E2552" t="s">
        <v>26</v>
      </c>
      <c r="F2552" t="s">
        <v>520</v>
      </c>
      <c r="G2552">
        <v>6</v>
      </c>
      <c r="H2552" s="7">
        <v>176.32</v>
      </c>
      <c r="I2552" t="s">
        <v>19</v>
      </c>
      <c r="J2552" t="s">
        <v>42</v>
      </c>
      <c r="K2552">
        <v>15</v>
      </c>
      <c r="L2552" s="7">
        <f t="shared" si="118"/>
        <v>1057.92</v>
      </c>
      <c r="M2552" s="7"/>
      <c r="O2552">
        <f t="shared" si="119"/>
        <v>2</v>
      </c>
      <c r="Q2552" t="s">
        <v>19</v>
      </c>
    </row>
    <row r="2553" spans="1:17" x14ac:dyDescent="0.3">
      <c r="A2553" t="s">
        <v>3630</v>
      </c>
      <c r="B2553" s="6">
        <v>45150</v>
      </c>
      <c r="C2553" s="6" t="str">
        <f t="shared" si="117"/>
        <v>Aug</v>
      </c>
      <c r="D2553" t="s">
        <v>695</v>
      </c>
      <c r="E2553" t="s">
        <v>50</v>
      </c>
      <c r="F2553" t="s">
        <v>322</v>
      </c>
      <c r="G2553">
        <v>9</v>
      </c>
      <c r="H2553" s="7">
        <v>418.76</v>
      </c>
      <c r="I2553" t="s">
        <v>46</v>
      </c>
      <c r="J2553" t="s">
        <v>19</v>
      </c>
      <c r="K2553">
        <v>10</v>
      </c>
      <c r="L2553" s="7">
        <f t="shared" si="118"/>
        <v>3768.84</v>
      </c>
      <c r="M2553" s="7"/>
      <c r="O2553">
        <f t="shared" si="119"/>
        <v>5</v>
      </c>
      <c r="Q2553" t="s">
        <v>47</v>
      </c>
    </row>
    <row r="2554" spans="1:17" x14ac:dyDescent="0.3">
      <c r="A2554" t="s">
        <v>3631</v>
      </c>
      <c r="B2554" s="6">
        <v>44996</v>
      </c>
      <c r="C2554" s="6" t="str">
        <f t="shared" si="117"/>
        <v>Mar</v>
      </c>
      <c r="D2554" t="s">
        <v>637</v>
      </c>
      <c r="E2554" t="s">
        <v>31</v>
      </c>
      <c r="F2554" t="s">
        <v>386</v>
      </c>
      <c r="G2554">
        <v>8</v>
      </c>
      <c r="H2554" s="7">
        <v>55.13</v>
      </c>
      <c r="I2554" t="s">
        <v>19</v>
      </c>
      <c r="J2554" t="s">
        <v>87</v>
      </c>
      <c r="K2554">
        <v>15</v>
      </c>
      <c r="L2554" s="7">
        <f t="shared" si="118"/>
        <v>441.04</v>
      </c>
      <c r="M2554" s="7"/>
      <c r="O2554">
        <f t="shared" si="119"/>
        <v>2</v>
      </c>
      <c r="Q2554" t="s">
        <v>19</v>
      </c>
    </row>
    <row r="2555" spans="1:17" x14ac:dyDescent="0.3">
      <c r="A2555" t="s">
        <v>3632</v>
      </c>
      <c r="B2555" s="6">
        <v>45119</v>
      </c>
      <c r="C2555" s="6" t="str">
        <f t="shared" si="117"/>
        <v>Jul</v>
      </c>
      <c r="D2555" t="s">
        <v>1240</v>
      </c>
      <c r="E2555" t="s">
        <v>26</v>
      </c>
      <c r="F2555" t="s">
        <v>2185</v>
      </c>
      <c r="G2555">
        <v>7</v>
      </c>
      <c r="H2555" s="7">
        <v>339.57</v>
      </c>
      <c r="I2555" t="s">
        <v>32</v>
      </c>
      <c r="J2555" t="s">
        <v>19</v>
      </c>
      <c r="K2555">
        <v>10</v>
      </c>
      <c r="L2555" s="7">
        <f t="shared" si="118"/>
        <v>2376.9899999999998</v>
      </c>
      <c r="M2555" s="7"/>
      <c r="O2555">
        <f t="shared" si="119"/>
        <v>2</v>
      </c>
      <c r="Q2555" t="s">
        <v>33</v>
      </c>
    </row>
    <row r="2556" spans="1:17" x14ac:dyDescent="0.3">
      <c r="A2556" t="s">
        <v>3633</v>
      </c>
      <c r="B2556" s="6">
        <v>45228</v>
      </c>
      <c r="C2556" s="6" t="str">
        <f t="shared" si="117"/>
        <v>Oct</v>
      </c>
      <c r="D2556" t="s">
        <v>897</v>
      </c>
      <c r="E2556" t="s">
        <v>36</v>
      </c>
      <c r="F2556" t="s">
        <v>231</v>
      </c>
      <c r="G2556">
        <v>1</v>
      </c>
      <c r="H2556" s="7">
        <v>128.12</v>
      </c>
      <c r="I2556" t="s">
        <v>64</v>
      </c>
      <c r="J2556" t="s">
        <v>42</v>
      </c>
      <c r="K2556">
        <v>5</v>
      </c>
      <c r="L2556" s="7">
        <f t="shared" si="118"/>
        <v>128.12</v>
      </c>
      <c r="M2556" s="7"/>
      <c r="O2556">
        <f t="shared" si="119"/>
        <v>2</v>
      </c>
      <c r="Q2556" t="s">
        <v>65</v>
      </c>
    </row>
    <row r="2557" spans="1:17" x14ac:dyDescent="0.3">
      <c r="A2557" t="s">
        <v>3634</v>
      </c>
      <c r="B2557" s="6">
        <v>45079</v>
      </c>
      <c r="C2557" s="6" t="str">
        <f t="shared" si="117"/>
        <v>Jun</v>
      </c>
      <c r="D2557" t="s">
        <v>53</v>
      </c>
      <c r="E2557" t="s">
        <v>26</v>
      </c>
      <c r="F2557" t="s">
        <v>1693</v>
      </c>
      <c r="G2557">
        <v>3</v>
      </c>
      <c r="H2557" s="7">
        <v>12.67</v>
      </c>
      <c r="I2557" t="s">
        <v>21</v>
      </c>
      <c r="J2557" t="s">
        <v>72</v>
      </c>
      <c r="K2557">
        <v>10</v>
      </c>
      <c r="L2557" s="7">
        <f t="shared" si="118"/>
        <v>38.01</v>
      </c>
      <c r="M2557" s="7"/>
      <c r="O2557">
        <f t="shared" si="119"/>
        <v>2</v>
      </c>
      <c r="Q2557" t="s">
        <v>23</v>
      </c>
    </row>
    <row r="2558" spans="1:17" x14ac:dyDescent="0.3">
      <c r="A2558" t="s">
        <v>3635</v>
      </c>
      <c r="B2558" s="6">
        <v>45087</v>
      </c>
      <c r="C2558" s="6" t="str">
        <f t="shared" si="117"/>
        <v>Jun</v>
      </c>
      <c r="D2558" t="s">
        <v>1376</v>
      </c>
      <c r="E2558" t="s">
        <v>36</v>
      </c>
      <c r="F2558" t="s">
        <v>646</v>
      </c>
      <c r="G2558">
        <v>2</v>
      </c>
      <c r="H2558" s="7">
        <v>87.55</v>
      </c>
      <c r="I2558" t="s">
        <v>46</v>
      </c>
      <c r="J2558" t="s">
        <v>42</v>
      </c>
      <c r="K2558">
        <v>10</v>
      </c>
      <c r="L2558" s="7">
        <f t="shared" si="118"/>
        <v>175.1</v>
      </c>
      <c r="M2558" s="7"/>
      <c r="O2558">
        <f t="shared" si="119"/>
        <v>2</v>
      </c>
      <c r="Q2558" t="s">
        <v>47</v>
      </c>
    </row>
    <row r="2559" spans="1:17" x14ac:dyDescent="0.3">
      <c r="A2559" t="s">
        <v>3636</v>
      </c>
      <c r="B2559" s="6">
        <v>45076</v>
      </c>
      <c r="C2559" s="6" t="str">
        <f t="shared" si="117"/>
        <v>May</v>
      </c>
      <c r="D2559" t="s">
        <v>702</v>
      </c>
      <c r="E2559" t="s">
        <v>19</v>
      </c>
      <c r="F2559" t="s">
        <v>598</v>
      </c>
      <c r="G2559">
        <v>5</v>
      </c>
      <c r="H2559" s="7">
        <v>305.3</v>
      </c>
      <c r="I2559" t="s">
        <v>32</v>
      </c>
      <c r="J2559" t="s">
        <v>28</v>
      </c>
      <c r="K2559">
        <v>10</v>
      </c>
      <c r="L2559" s="7">
        <f t="shared" si="118"/>
        <v>1526.5</v>
      </c>
      <c r="M2559" s="7"/>
      <c r="O2559">
        <f t="shared" si="119"/>
        <v>2</v>
      </c>
      <c r="Q2559" t="s">
        <v>33</v>
      </c>
    </row>
    <row r="2560" spans="1:17" x14ac:dyDescent="0.3">
      <c r="A2560" t="s">
        <v>3637</v>
      </c>
      <c r="B2560" s="6">
        <v>45065</v>
      </c>
      <c r="C2560" s="6" t="str">
        <f t="shared" si="117"/>
        <v>May</v>
      </c>
      <c r="D2560" t="s">
        <v>1370</v>
      </c>
      <c r="E2560" t="s">
        <v>31</v>
      </c>
      <c r="F2560" t="s">
        <v>398</v>
      </c>
      <c r="G2560">
        <v>5</v>
      </c>
      <c r="H2560" s="7">
        <v>356.02</v>
      </c>
      <c r="I2560" t="s">
        <v>21</v>
      </c>
      <c r="J2560" t="s">
        <v>72</v>
      </c>
      <c r="K2560">
        <v>0</v>
      </c>
      <c r="L2560" s="7">
        <f t="shared" si="118"/>
        <v>1780.1</v>
      </c>
      <c r="M2560" s="7"/>
      <c r="O2560">
        <f t="shared" si="119"/>
        <v>2</v>
      </c>
      <c r="Q2560" t="s">
        <v>23</v>
      </c>
    </row>
    <row r="2561" spans="1:17" x14ac:dyDescent="0.3">
      <c r="A2561" t="s">
        <v>3638</v>
      </c>
      <c r="B2561" s="6">
        <v>45213</v>
      </c>
      <c r="C2561" s="6" t="str">
        <f t="shared" si="117"/>
        <v>Oct</v>
      </c>
      <c r="D2561" t="s">
        <v>3639</v>
      </c>
      <c r="E2561" t="s">
        <v>26</v>
      </c>
      <c r="F2561" t="s">
        <v>359</v>
      </c>
      <c r="G2561">
        <v>5</v>
      </c>
      <c r="H2561" s="7">
        <v>15.42</v>
      </c>
      <c r="I2561" t="s">
        <v>21</v>
      </c>
      <c r="J2561" t="s">
        <v>22</v>
      </c>
      <c r="K2561">
        <v>20</v>
      </c>
      <c r="L2561" s="7">
        <f t="shared" si="118"/>
        <v>77.099999999999994</v>
      </c>
      <c r="M2561" s="7"/>
      <c r="O2561">
        <f t="shared" si="119"/>
        <v>2</v>
      </c>
      <c r="Q2561" t="s">
        <v>23</v>
      </c>
    </row>
    <row r="2562" spans="1:17" x14ac:dyDescent="0.3">
      <c r="A2562" t="s">
        <v>3640</v>
      </c>
      <c r="B2562" s="6">
        <v>45095</v>
      </c>
      <c r="C2562" s="6" t="str">
        <f t="shared" si="117"/>
        <v>Jun</v>
      </c>
      <c r="D2562" t="s">
        <v>1991</v>
      </c>
      <c r="E2562" t="s">
        <v>19</v>
      </c>
      <c r="F2562" t="s">
        <v>201</v>
      </c>
      <c r="G2562">
        <v>4</v>
      </c>
      <c r="H2562" s="7">
        <v>23.03</v>
      </c>
      <c r="I2562" t="s">
        <v>46</v>
      </c>
      <c r="J2562" t="s">
        <v>19</v>
      </c>
      <c r="K2562">
        <v>10</v>
      </c>
      <c r="L2562" s="7">
        <f t="shared" si="118"/>
        <v>92.12</v>
      </c>
      <c r="M2562" s="7"/>
      <c r="O2562">
        <f t="shared" si="119"/>
        <v>2</v>
      </c>
      <c r="Q2562" t="s">
        <v>47</v>
      </c>
    </row>
    <row r="2563" spans="1:17" x14ac:dyDescent="0.3">
      <c r="A2563" t="s">
        <v>3641</v>
      </c>
      <c r="B2563" s="6">
        <v>45051</v>
      </c>
      <c r="C2563" s="6" t="str">
        <f t="shared" ref="C2563:C2626" si="120">TEXT(B2563,"MMM")</f>
        <v>May</v>
      </c>
      <c r="D2563" t="s">
        <v>1596</v>
      </c>
      <c r="E2563" t="s">
        <v>26</v>
      </c>
      <c r="F2563" t="s">
        <v>403</v>
      </c>
      <c r="G2563">
        <v>5</v>
      </c>
      <c r="H2563" s="7">
        <v>451.76</v>
      </c>
      <c r="I2563" t="s">
        <v>19</v>
      </c>
      <c r="J2563" t="s">
        <v>22</v>
      </c>
      <c r="K2563">
        <v>5</v>
      </c>
      <c r="L2563" s="7">
        <f t="shared" ref="L2563:L2626" si="121">G2563*H2563</f>
        <v>2258.8000000000002</v>
      </c>
      <c r="M2563" s="7"/>
      <c r="O2563">
        <f t="shared" si="119"/>
        <v>2</v>
      </c>
      <c r="Q2563" t="s">
        <v>19</v>
      </c>
    </row>
    <row r="2564" spans="1:17" x14ac:dyDescent="0.3">
      <c r="A2564" t="s">
        <v>3642</v>
      </c>
      <c r="B2564" s="6">
        <v>45138</v>
      </c>
      <c r="C2564" s="6" t="str">
        <f t="shared" si="120"/>
        <v>Jul</v>
      </c>
      <c r="D2564" t="s">
        <v>837</v>
      </c>
      <c r="E2564" t="s">
        <v>36</v>
      </c>
      <c r="F2564" t="s">
        <v>423</v>
      </c>
      <c r="G2564">
        <v>3</v>
      </c>
      <c r="H2564" s="7">
        <v>41.29</v>
      </c>
      <c r="I2564" t="s">
        <v>103</v>
      </c>
      <c r="J2564" t="s">
        <v>22</v>
      </c>
      <c r="K2564">
        <v>0</v>
      </c>
      <c r="L2564" s="7">
        <f t="shared" si="121"/>
        <v>123.87</v>
      </c>
      <c r="M2564" s="7"/>
      <c r="O2564">
        <f t="shared" ref="O2564:O2627" si="122">IF(L2564&gt;3500,5,IF(L2564&gt;3000,4,IF(L2564&gt;2500,3,IF(L2564&gt;2000,2,IF(L2564&gt;1000,2,2)))))</f>
        <v>2</v>
      </c>
      <c r="Q2564" t="s">
        <v>104</v>
      </c>
    </row>
    <row r="2565" spans="1:17" x14ac:dyDescent="0.3">
      <c r="A2565" t="s">
        <v>3643</v>
      </c>
      <c r="B2565" s="6">
        <v>45187</v>
      </c>
      <c r="C2565" s="6" t="str">
        <f t="shared" si="120"/>
        <v>Sep</v>
      </c>
      <c r="D2565" t="s">
        <v>1543</v>
      </c>
      <c r="E2565" t="s">
        <v>36</v>
      </c>
      <c r="F2565" t="s">
        <v>706</v>
      </c>
      <c r="G2565">
        <v>1</v>
      </c>
      <c r="H2565" s="7">
        <v>447.62</v>
      </c>
      <c r="I2565" t="s">
        <v>19</v>
      </c>
      <c r="J2565" t="s">
        <v>28</v>
      </c>
      <c r="K2565">
        <v>15</v>
      </c>
      <c r="L2565" s="7">
        <f t="shared" si="121"/>
        <v>447.62</v>
      </c>
      <c r="M2565" s="7"/>
      <c r="O2565">
        <f t="shared" si="122"/>
        <v>2</v>
      </c>
      <c r="Q2565" t="s">
        <v>19</v>
      </c>
    </row>
    <row r="2566" spans="1:17" x14ac:dyDescent="0.3">
      <c r="A2566" t="s">
        <v>3644</v>
      </c>
      <c r="B2566" s="6">
        <v>45039</v>
      </c>
      <c r="C2566" s="6" t="str">
        <f t="shared" si="120"/>
        <v>Apr</v>
      </c>
      <c r="D2566" t="s">
        <v>1330</v>
      </c>
      <c r="E2566" t="s">
        <v>50</v>
      </c>
      <c r="F2566" t="s">
        <v>254</v>
      </c>
      <c r="G2566">
        <v>5</v>
      </c>
      <c r="H2566" s="7">
        <v>117.94</v>
      </c>
      <c r="I2566" t="s">
        <v>103</v>
      </c>
      <c r="J2566" t="s">
        <v>42</v>
      </c>
      <c r="K2566">
        <v>5</v>
      </c>
      <c r="L2566" s="7">
        <f t="shared" si="121"/>
        <v>589.70000000000005</v>
      </c>
      <c r="M2566" s="7"/>
      <c r="O2566">
        <f t="shared" si="122"/>
        <v>2</v>
      </c>
      <c r="Q2566" t="s">
        <v>104</v>
      </c>
    </row>
    <row r="2567" spans="1:17" x14ac:dyDescent="0.3">
      <c r="A2567" t="s">
        <v>3645</v>
      </c>
      <c r="B2567" s="6">
        <v>45145</v>
      </c>
      <c r="C2567" s="6" t="str">
        <f t="shared" si="120"/>
        <v>Aug</v>
      </c>
      <c r="D2567" t="s">
        <v>755</v>
      </c>
      <c r="E2567" t="s">
        <v>19</v>
      </c>
      <c r="F2567" t="s">
        <v>598</v>
      </c>
      <c r="G2567">
        <v>9</v>
      </c>
      <c r="H2567" s="7">
        <v>371.31</v>
      </c>
      <c r="I2567" t="s">
        <v>21</v>
      </c>
      <c r="J2567" t="s">
        <v>72</v>
      </c>
      <c r="K2567">
        <v>10</v>
      </c>
      <c r="L2567" s="7">
        <f t="shared" si="121"/>
        <v>3341.79</v>
      </c>
      <c r="M2567" s="7"/>
      <c r="O2567">
        <f t="shared" si="122"/>
        <v>4</v>
      </c>
      <c r="Q2567" t="s">
        <v>23</v>
      </c>
    </row>
    <row r="2568" spans="1:17" x14ac:dyDescent="0.3">
      <c r="A2568" t="s">
        <v>3646</v>
      </c>
      <c r="B2568" s="6">
        <v>45240</v>
      </c>
      <c r="C2568" s="6" t="str">
        <f t="shared" si="120"/>
        <v>Nov</v>
      </c>
      <c r="D2568" t="s">
        <v>2359</v>
      </c>
      <c r="E2568" t="s">
        <v>50</v>
      </c>
      <c r="F2568" t="s">
        <v>45</v>
      </c>
      <c r="G2568">
        <v>9</v>
      </c>
      <c r="H2568" s="7">
        <v>158.32</v>
      </c>
      <c r="I2568" t="s">
        <v>103</v>
      </c>
      <c r="J2568" t="s">
        <v>42</v>
      </c>
      <c r="K2568">
        <v>5</v>
      </c>
      <c r="L2568" s="7">
        <f t="shared" si="121"/>
        <v>1424.8799999999999</v>
      </c>
      <c r="M2568" s="7"/>
      <c r="O2568">
        <f t="shared" si="122"/>
        <v>2</v>
      </c>
      <c r="Q2568" t="s">
        <v>104</v>
      </c>
    </row>
    <row r="2569" spans="1:17" x14ac:dyDescent="0.3">
      <c r="A2569" t="s">
        <v>3647</v>
      </c>
      <c r="B2569" s="6">
        <v>45046</v>
      </c>
      <c r="C2569" s="6" t="str">
        <f t="shared" si="120"/>
        <v>Apr</v>
      </c>
      <c r="D2569" t="s">
        <v>2329</v>
      </c>
      <c r="E2569" t="s">
        <v>19</v>
      </c>
      <c r="F2569" t="s">
        <v>436</v>
      </c>
      <c r="G2569">
        <v>4</v>
      </c>
      <c r="H2569" s="7">
        <v>430.08</v>
      </c>
      <c r="I2569" t="s">
        <v>64</v>
      </c>
      <c r="J2569" t="s">
        <v>28</v>
      </c>
      <c r="K2569">
        <v>5</v>
      </c>
      <c r="L2569" s="7">
        <f t="shared" si="121"/>
        <v>1720.32</v>
      </c>
      <c r="M2569" s="7"/>
      <c r="O2569">
        <f t="shared" si="122"/>
        <v>2</v>
      </c>
      <c r="Q2569" t="s">
        <v>65</v>
      </c>
    </row>
    <row r="2570" spans="1:17" x14ac:dyDescent="0.3">
      <c r="A2570" t="s">
        <v>3648</v>
      </c>
      <c r="B2570" s="6">
        <v>44959</v>
      </c>
      <c r="C2570" s="6" t="str">
        <f t="shared" si="120"/>
        <v>Feb</v>
      </c>
      <c r="D2570" t="s">
        <v>1546</v>
      </c>
      <c r="E2570" t="s">
        <v>31</v>
      </c>
      <c r="F2570" t="s">
        <v>165</v>
      </c>
      <c r="G2570">
        <v>3</v>
      </c>
      <c r="H2570" s="7">
        <v>351.73</v>
      </c>
      <c r="I2570" t="s">
        <v>19</v>
      </c>
      <c r="J2570" t="s">
        <v>19</v>
      </c>
      <c r="K2570">
        <v>15</v>
      </c>
      <c r="L2570" s="7">
        <f t="shared" si="121"/>
        <v>1055.19</v>
      </c>
      <c r="M2570" s="7"/>
      <c r="O2570">
        <f t="shared" si="122"/>
        <v>2</v>
      </c>
      <c r="Q2570" t="s">
        <v>19</v>
      </c>
    </row>
    <row r="2571" spans="1:17" x14ac:dyDescent="0.3">
      <c r="A2571" t="s">
        <v>3649</v>
      </c>
      <c r="B2571" s="6">
        <v>44940</v>
      </c>
      <c r="C2571" s="6" t="str">
        <f t="shared" si="120"/>
        <v>Jan</v>
      </c>
      <c r="D2571" t="s">
        <v>1285</v>
      </c>
      <c r="E2571" t="s">
        <v>62</v>
      </c>
      <c r="F2571" t="s">
        <v>389</v>
      </c>
      <c r="G2571">
        <v>1</v>
      </c>
      <c r="H2571" s="7">
        <v>203.9</v>
      </c>
      <c r="I2571" t="s">
        <v>46</v>
      </c>
      <c r="J2571" t="s">
        <v>72</v>
      </c>
      <c r="K2571">
        <v>20</v>
      </c>
      <c r="L2571" s="7">
        <f t="shared" si="121"/>
        <v>203.9</v>
      </c>
      <c r="M2571" s="7"/>
      <c r="O2571">
        <f t="shared" si="122"/>
        <v>2</v>
      </c>
      <c r="Q2571" t="s">
        <v>47</v>
      </c>
    </row>
    <row r="2572" spans="1:17" x14ac:dyDescent="0.3">
      <c r="A2572" t="s">
        <v>3650</v>
      </c>
      <c r="B2572" s="6">
        <v>45215</v>
      </c>
      <c r="C2572" s="6" t="str">
        <f t="shared" si="120"/>
        <v>Oct</v>
      </c>
      <c r="D2572" t="s">
        <v>1818</v>
      </c>
      <c r="E2572" t="s">
        <v>26</v>
      </c>
      <c r="F2572" t="s">
        <v>403</v>
      </c>
      <c r="G2572">
        <v>2</v>
      </c>
      <c r="H2572" s="7">
        <v>42.77</v>
      </c>
      <c r="I2572" t="s">
        <v>32</v>
      </c>
      <c r="J2572" t="s">
        <v>42</v>
      </c>
      <c r="K2572">
        <v>10</v>
      </c>
      <c r="L2572" s="7">
        <f t="shared" si="121"/>
        <v>85.54</v>
      </c>
      <c r="M2572" s="7"/>
      <c r="O2572">
        <f t="shared" si="122"/>
        <v>2</v>
      </c>
      <c r="Q2572" t="s">
        <v>33</v>
      </c>
    </row>
    <row r="2573" spans="1:17" x14ac:dyDescent="0.3">
      <c r="A2573" t="s">
        <v>3651</v>
      </c>
      <c r="B2573" s="6">
        <v>45144</v>
      </c>
      <c r="C2573" s="6" t="str">
        <f t="shared" si="120"/>
        <v>Aug</v>
      </c>
      <c r="D2573" t="s">
        <v>3652</v>
      </c>
      <c r="E2573" t="s">
        <v>62</v>
      </c>
      <c r="F2573" t="s">
        <v>208</v>
      </c>
      <c r="G2573">
        <v>8</v>
      </c>
      <c r="H2573" s="7">
        <v>367.69</v>
      </c>
      <c r="I2573" t="s">
        <v>46</v>
      </c>
      <c r="J2573" t="s">
        <v>72</v>
      </c>
      <c r="K2573">
        <v>10</v>
      </c>
      <c r="L2573" s="7">
        <f t="shared" si="121"/>
        <v>2941.52</v>
      </c>
      <c r="M2573" s="7"/>
      <c r="O2573">
        <f t="shared" si="122"/>
        <v>3</v>
      </c>
      <c r="Q2573" t="s">
        <v>47</v>
      </c>
    </row>
    <row r="2574" spans="1:17" x14ac:dyDescent="0.3">
      <c r="A2574" t="s">
        <v>3653</v>
      </c>
      <c r="B2574" s="6">
        <v>45082</v>
      </c>
      <c r="C2574" s="6" t="str">
        <f t="shared" si="120"/>
        <v>Jun</v>
      </c>
      <c r="D2574" t="s">
        <v>1483</v>
      </c>
      <c r="E2574" t="s">
        <v>31</v>
      </c>
      <c r="F2574" t="s">
        <v>504</v>
      </c>
      <c r="G2574">
        <v>1</v>
      </c>
      <c r="H2574" s="7">
        <v>310.36</v>
      </c>
      <c r="I2574" t="s">
        <v>19</v>
      </c>
      <c r="J2574" t="s">
        <v>22</v>
      </c>
      <c r="K2574">
        <v>20</v>
      </c>
      <c r="L2574" s="7">
        <f t="shared" si="121"/>
        <v>310.36</v>
      </c>
      <c r="M2574" s="7"/>
      <c r="O2574">
        <f t="shared" si="122"/>
        <v>2</v>
      </c>
      <c r="Q2574" t="s">
        <v>19</v>
      </c>
    </row>
    <row r="2575" spans="1:17" x14ac:dyDescent="0.3">
      <c r="A2575" t="s">
        <v>3654</v>
      </c>
      <c r="B2575" s="6">
        <v>45241</v>
      </c>
      <c r="C2575" s="6" t="str">
        <f t="shared" si="120"/>
        <v>Nov</v>
      </c>
      <c r="D2575" t="s">
        <v>1505</v>
      </c>
      <c r="E2575" t="s">
        <v>62</v>
      </c>
      <c r="F2575" t="s">
        <v>224</v>
      </c>
      <c r="G2575">
        <v>8</v>
      </c>
      <c r="H2575" s="7">
        <v>6.44</v>
      </c>
      <c r="I2575" t="s">
        <v>103</v>
      </c>
      <c r="J2575" t="s">
        <v>42</v>
      </c>
      <c r="K2575">
        <v>0</v>
      </c>
      <c r="L2575" s="7">
        <f t="shared" si="121"/>
        <v>51.52</v>
      </c>
      <c r="M2575" s="7"/>
      <c r="O2575">
        <f t="shared" si="122"/>
        <v>2</v>
      </c>
      <c r="Q2575" t="s">
        <v>104</v>
      </c>
    </row>
    <row r="2576" spans="1:17" x14ac:dyDescent="0.3">
      <c r="A2576" t="s">
        <v>3655</v>
      </c>
      <c r="B2576" s="6">
        <v>45063</v>
      </c>
      <c r="C2576" s="6" t="str">
        <f t="shared" si="120"/>
        <v>May</v>
      </c>
      <c r="D2576" t="s">
        <v>2450</v>
      </c>
      <c r="E2576" t="s">
        <v>62</v>
      </c>
      <c r="F2576" t="s">
        <v>363</v>
      </c>
      <c r="G2576">
        <v>7</v>
      </c>
      <c r="H2576" s="7">
        <v>9.66</v>
      </c>
      <c r="I2576" t="s">
        <v>103</v>
      </c>
      <c r="J2576" t="s">
        <v>42</v>
      </c>
      <c r="K2576">
        <v>10</v>
      </c>
      <c r="L2576" s="7">
        <f t="shared" si="121"/>
        <v>67.62</v>
      </c>
      <c r="M2576" s="7"/>
      <c r="O2576">
        <f t="shared" si="122"/>
        <v>2</v>
      </c>
      <c r="Q2576" t="s">
        <v>104</v>
      </c>
    </row>
    <row r="2577" spans="1:17" x14ac:dyDescent="0.3">
      <c r="A2577" t="s">
        <v>3656</v>
      </c>
      <c r="B2577" s="6">
        <v>45094</v>
      </c>
      <c r="C2577" s="6" t="str">
        <f t="shared" si="120"/>
        <v>Jun</v>
      </c>
      <c r="D2577" t="s">
        <v>881</v>
      </c>
      <c r="E2577" t="s">
        <v>31</v>
      </c>
      <c r="F2577" t="s">
        <v>549</v>
      </c>
      <c r="G2577">
        <v>8</v>
      </c>
      <c r="H2577" s="7">
        <v>405.35</v>
      </c>
      <c r="I2577" t="s">
        <v>103</v>
      </c>
      <c r="J2577" t="s">
        <v>87</v>
      </c>
      <c r="K2577">
        <v>10</v>
      </c>
      <c r="L2577" s="7">
        <f t="shared" si="121"/>
        <v>3242.8</v>
      </c>
      <c r="M2577" s="7"/>
      <c r="O2577">
        <f t="shared" si="122"/>
        <v>4</v>
      </c>
      <c r="Q2577" t="s">
        <v>104</v>
      </c>
    </row>
    <row r="2578" spans="1:17" x14ac:dyDescent="0.3">
      <c r="A2578" t="s">
        <v>3657</v>
      </c>
      <c r="B2578" s="6">
        <v>45154</v>
      </c>
      <c r="C2578" s="6" t="str">
        <f t="shared" si="120"/>
        <v>Aug</v>
      </c>
      <c r="D2578" t="s">
        <v>283</v>
      </c>
      <c r="E2578" t="s">
        <v>36</v>
      </c>
      <c r="F2578" t="s">
        <v>154</v>
      </c>
      <c r="G2578">
        <v>6</v>
      </c>
      <c r="H2578" s="7">
        <v>133.4</v>
      </c>
      <c r="I2578" t="s">
        <v>64</v>
      </c>
      <c r="J2578" t="s">
        <v>28</v>
      </c>
      <c r="K2578">
        <v>0</v>
      </c>
      <c r="L2578" s="7">
        <f t="shared" si="121"/>
        <v>800.40000000000009</v>
      </c>
      <c r="M2578" s="7"/>
      <c r="O2578">
        <f t="shared" si="122"/>
        <v>2</v>
      </c>
      <c r="Q2578" t="s">
        <v>65</v>
      </c>
    </row>
    <row r="2579" spans="1:17" x14ac:dyDescent="0.3">
      <c r="A2579" t="s">
        <v>3658</v>
      </c>
      <c r="B2579" s="6">
        <v>45012</v>
      </c>
      <c r="C2579" s="6" t="str">
        <f t="shared" si="120"/>
        <v>Mar</v>
      </c>
      <c r="D2579" t="s">
        <v>2634</v>
      </c>
      <c r="E2579" t="s">
        <v>40</v>
      </c>
      <c r="F2579" t="s">
        <v>598</v>
      </c>
      <c r="G2579">
        <v>9</v>
      </c>
      <c r="H2579" s="7">
        <v>319.89</v>
      </c>
      <c r="I2579" t="s">
        <v>32</v>
      </c>
      <c r="J2579" t="s">
        <v>19</v>
      </c>
      <c r="K2579">
        <v>15</v>
      </c>
      <c r="L2579" s="7">
        <f t="shared" si="121"/>
        <v>2879.0099999999998</v>
      </c>
      <c r="M2579" s="7"/>
      <c r="O2579">
        <f t="shared" si="122"/>
        <v>3</v>
      </c>
      <c r="Q2579" t="s">
        <v>33</v>
      </c>
    </row>
    <row r="2580" spans="1:17" x14ac:dyDescent="0.3">
      <c r="A2580" t="s">
        <v>3659</v>
      </c>
      <c r="B2580" s="6">
        <v>45290</v>
      </c>
      <c r="C2580" s="6" t="str">
        <f t="shared" si="120"/>
        <v>Dec</v>
      </c>
      <c r="D2580" t="s">
        <v>124</v>
      </c>
      <c r="E2580" t="s">
        <v>26</v>
      </c>
      <c r="F2580" t="s">
        <v>222</v>
      </c>
      <c r="G2580">
        <v>3</v>
      </c>
      <c r="H2580" s="7">
        <v>229.84</v>
      </c>
      <c r="I2580" t="s">
        <v>21</v>
      </c>
      <c r="J2580" t="s">
        <v>28</v>
      </c>
      <c r="K2580">
        <v>20</v>
      </c>
      <c r="L2580" s="7">
        <f t="shared" si="121"/>
        <v>689.52</v>
      </c>
      <c r="M2580" s="7"/>
      <c r="O2580">
        <f t="shared" si="122"/>
        <v>2</v>
      </c>
      <c r="Q2580" t="s">
        <v>23</v>
      </c>
    </row>
    <row r="2581" spans="1:17" x14ac:dyDescent="0.3">
      <c r="A2581" t="s">
        <v>3660</v>
      </c>
      <c r="B2581" s="6">
        <v>45003</v>
      </c>
      <c r="C2581" s="6" t="str">
        <f t="shared" si="120"/>
        <v>Mar</v>
      </c>
      <c r="D2581" t="s">
        <v>2382</v>
      </c>
      <c r="E2581" t="s">
        <v>40</v>
      </c>
      <c r="F2581" t="s">
        <v>281</v>
      </c>
      <c r="G2581">
        <v>4</v>
      </c>
      <c r="H2581" s="7">
        <v>432.4</v>
      </c>
      <c r="I2581" t="s">
        <v>32</v>
      </c>
      <c r="J2581" t="s">
        <v>22</v>
      </c>
      <c r="K2581">
        <v>10</v>
      </c>
      <c r="L2581" s="7">
        <f t="shared" si="121"/>
        <v>1729.6</v>
      </c>
      <c r="M2581" s="7"/>
      <c r="O2581">
        <f t="shared" si="122"/>
        <v>2</v>
      </c>
      <c r="Q2581" t="s">
        <v>33</v>
      </c>
    </row>
    <row r="2582" spans="1:17" x14ac:dyDescent="0.3">
      <c r="A2582" t="s">
        <v>3661</v>
      </c>
      <c r="B2582" s="6">
        <v>44935</v>
      </c>
      <c r="C2582" s="6" t="str">
        <f t="shared" si="120"/>
        <v>Jan</v>
      </c>
      <c r="D2582" t="s">
        <v>677</v>
      </c>
      <c r="E2582" t="s">
        <v>19</v>
      </c>
      <c r="F2582" t="s">
        <v>322</v>
      </c>
      <c r="G2582">
        <v>6</v>
      </c>
      <c r="H2582" s="7">
        <v>458.9</v>
      </c>
      <c r="I2582" t="s">
        <v>64</v>
      </c>
      <c r="J2582" t="s">
        <v>19</v>
      </c>
      <c r="K2582">
        <v>5</v>
      </c>
      <c r="L2582" s="7">
        <f t="shared" si="121"/>
        <v>2753.3999999999996</v>
      </c>
      <c r="M2582" s="7"/>
      <c r="O2582">
        <f t="shared" si="122"/>
        <v>3</v>
      </c>
      <c r="Q2582" t="s">
        <v>65</v>
      </c>
    </row>
    <row r="2583" spans="1:17" x14ac:dyDescent="0.3">
      <c r="A2583" t="s">
        <v>3662</v>
      </c>
      <c r="B2583" s="6">
        <v>45147</v>
      </c>
      <c r="C2583" s="6" t="str">
        <f t="shared" si="120"/>
        <v>Aug</v>
      </c>
      <c r="D2583" t="s">
        <v>454</v>
      </c>
      <c r="E2583" t="s">
        <v>40</v>
      </c>
      <c r="F2583" t="s">
        <v>75</v>
      </c>
      <c r="G2583">
        <v>8</v>
      </c>
      <c r="H2583" s="7">
        <v>498.42</v>
      </c>
      <c r="I2583" t="s">
        <v>46</v>
      </c>
      <c r="J2583" t="s">
        <v>87</v>
      </c>
      <c r="K2583">
        <v>10</v>
      </c>
      <c r="L2583" s="7">
        <f t="shared" si="121"/>
        <v>3987.36</v>
      </c>
      <c r="M2583" s="7"/>
      <c r="O2583">
        <f t="shared" si="122"/>
        <v>5</v>
      </c>
      <c r="Q2583" t="s">
        <v>47</v>
      </c>
    </row>
    <row r="2584" spans="1:17" x14ac:dyDescent="0.3">
      <c r="A2584" t="s">
        <v>3663</v>
      </c>
      <c r="B2584" s="6">
        <v>45275</v>
      </c>
      <c r="C2584" s="6" t="str">
        <f t="shared" si="120"/>
        <v>Dec</v>
      </c>
      <c r="D2584" t="s">
        <v>256</v>
      </c>
      <c r="E2584" t="s">
        <v>36</v>
      </c>
      <c r="F2584" t="s">
        <v>185</v>
      </c>
      <c r="G2584">
        <v>5</v>
      </c>
      <c r="H2584" s="7">
        <v>81.069999999999993</v>
      </c>
      <c r="I2584" t="s">
        <v>32</v>
      </c>
      <c r="J2584" t="s">
        <v>28</v>
      </c>
      <c r="K2584">
        <v>10</v>
      </c>
      <c r="L2584" s="7">
        <f t="shared" si="121"/>
        <v>405.34999999999997</v>
      </c>
      <c r="M2584" s="7"/>
      <c r="O2584">
        <f t="shared" si="122"/>
        <v>2</v>
      </c>
      <c r="Q2584" t="s">
        <v>33</v>
      </c>
    </row>
    <row r="2585" spans="1:17" x14ac:dyDescent="0.3">
      <c r="A2585" t="s">
        <v>3664</v>
      </c>
      <c r="B2585" s="6">
        <v>44927</v>
      </c>
      <c r="C2585" s="6" t="str">
        <f t="shared" si="120"/>
        <v>Jan</v>
      </c>
      <c r="D2585" t="s">
        <v>3665</v>
      </c>
      <c r="E2585" t="s">
        <v>31</v>
      </c>
      <c r="F2585" t="s">
        <v>657</v>
      </c>
      <c r="G2585">
        <v>3</v>
      </c>
      <c r="H2585" s="7">
        <v>432.17</v>
      </c>
      <c r="I2585" t="s">
        <v>32</v>
      </c>
      <c r="J2585" t="s">
        <v>19</v>
      </c>
      <c r="K2585">
        <v>5</v>
      </c>
      <c r="L2585" s="7">
        <f t="shared" si="121"/>
        <v>1296.51</v>
      </c>
      <c r="M2585" s="7"/>
      <c r="O2585">
        <f t="shared" si="122"/>
        <v>2</v>
      </c>
      <c r="Q2585" t="s">
        <v>33</v>
      </c>
    </row>
    <row r="2586" spans="1:17" x14ac:dyDescent="0.3">
      <c r="A2586" t="s">
        <v>3666</v>
      </c>
      <c r="B2586" s="6">
        <v>45217</v>
      </c>
      <c r="C2586" s="6" t="str">
        <f t="shared" si="120"/>
        <v>Oct</v>
      </c>
      <c r="D2586" t="s">
        <v>3468</v>
      </c>
      <c r="E2586" t="s">
        <v>50</v>
      </c>
      <c r="F2586" t="s">
        <v>499</v>
      </c>
      <c r="G2586">
        <v>6</v>
      </c>
      <c r="H2586" s="7">
        <v>136.68</v>
      </c>
      <c r="I2586" t="s">
        <v>64</v>
      </c>
      <c r="J2586" t="s">
        <v>87</v>
      </c>
      <c r="K2586">
        <v>10</v>
      </c>
      <c r="L2586" s="7">
        <f t="shared" si="121"/>
        <v>820.08</v>
      </c>
      <c r="M2586" s="7"/>
      <c r="O2586">
        <f t="shared" si="122"/>
        <v>2</v>
      </c>
      <c r="Q2586" t="s">
        <v>65</v>
      </c>
    </row>
    <row r="2587" spans="1:17" x14ac:dyDescent="0.3">
      <c r="A2587" t="s">
        <v>3667</v>
      </c>
      <c r="B2587" s="6">
        <v>44997</v>
      </c>
      <c r="C2587" s="6" t="str">
        <f t="shared" si="120"/>
        <v>Mar</v>
      </c>
      <c r="D2587" t="s">
        <v>2168</v>
      </c>
      <c r="E2587" t="s">
        <v>31</v>
      </c>
      <c r="F2587" t="s">
        <v>257</v>
      </c>
      <c r="G2587">
        <v>4</v>
      </c>
      <c r="H2587" s="7">
        <v>297.45</v>
      </c>
      <c r="I2587" t="s">
        <v>64</v>
      </c>
      <c r="J2587" t="s">
        <v>42</v>
      </c>
      <c r="K2587">
        <v>0</v>
      </c>
      <c r="L2587" s="7">
        <f t="shared" si="121"/>
        <v>1189.8</v>
      </c>
      <c r="M2587" s="7"/>
      <c r="O2587">
        <f t="shared" si="122"/>
        <v>2</v>
      </c>
      <c r="Q2587" t="s">
        <v>65</v>
      </c>
    </row>
    <row r="2588" spans="1:17" x14ac:dyDescent="0.3">
      <c r="A2588" t="s">
        <v>3668</v>
      </c>
      <c r="B2588" s="6">
        <v>45158</v>
      </c>
      <c r="C2588" s="6" t="str">
        <f t="shared" si="120"/>
        <v>Aug</v>
      </c>
      <c r="D2588" t="s">
        <v>577</v>
      </c>
      <c r="E2588" t="s">
        <v>40</v>
      </c>
      <c r="F2588" t="s">
        <v>298</v>
      </c>
      <c r="G2588">
        <v>9</v>
      </c>
      <c r="H2588" s="7">
        <v>255.36</v>
      </c>
      <c r="I2588" t="s">
        <v>46</v>
      </c>
      <c r="J2588" t="s">
        <v>42</v>
      </c>
      <c r="K2588">
        <v>5</v>
      </c>
      <c r="L2588" s="7">
        <f t="shared" si="121"/>
        <v>2298.2400000000002</v>
      </c>
      <c r="M2588" s="7"/>
      <c r="O2588">
        <f t="shared" si="122"/>
        <v>2</v>
      </c>
      <c r="Q2588" t="s">
        <v>47</v>
      </c>
    </row>
    <row r="2589" spans="1:17" x14ac:dyDescent="0.3">
      <c r="A2589" t="s">
        <v>3669</v>
      </c>
      <c r="B2589" s="6">
        <v>45243</v>
      </c>
      <c r="C2589" s="6" t="str">
        <f t="shared" si="120"/>
        <v>Nov</v>
      </c>
      <c r="D2589" t="s">
        <v>1386</v>
      </c>
      <c r="E2589" t="s">
        <v>19</v>
      </c>
      <c r="F2589" t="s">
        <v>386</v>
      </c>
      <c r="G2589">
        <v>3</v>
      </c>
      <c r="H2589" s="7">
        <v>13.9</v>
      </c>
      <c r="I2589" t="s">
        <v>46</v>
      </c>
      <c r="J2589" t="s">
        <v>42</v>
      </c>
      <c r="K2589">
        <v>5</v>
      </c>
      <c r="L2589" s="7">
        <f t="shared" si="121"/>
        <v>41.7</v>
      </c>
      <c r="M2589" s="7"/>
      <c r="O2589">
        <f t="shared" si="122"/>
        <v>2</v>
      </c>
      <c r="Q2589" t="s">
        <v>47</v>
      </c>
    </row>
    <row r="2590" spans="1:17" x14ac:dyDescent="0.3">
      <c r="A2590" t="s">
        <v>3670</v>
      </c>
      <c r="B2590" s="6">
        <v>45223</v>
      </c>
      <c r="C2590" s="6" t="str">
        <f t="shared" si="120"/>
        <v>Oct</v>
      </c>
      <c r="D2590" t="s">
        <v>175</v>
      </c>
      <c r="E2590" t="s">
        <v>31</v>
      </c>
      <c r="F2590" t="s">
        <v>1117</v>
      </c>
      <c r="G2590">
        <v>4</v>
      </c>
      <c r="H2590" s="7">
        <v>466.72</v>
      </c>
      <c r="I2590" t="s">
        <v>19</v>
      </c>
      <c r="J2590" t="s">
        <v>19</v>
      </c>
      <c r="K2590">
        <v>10</v>
      </c>
      <c r="L2590" s="7">
        <f t="shared" si="121"/>
        <v>1866.88</v>
      </c>
      <c r="M2590" s="7"/>
      <c r="O2590">
        <f t="shared" si="122"/>
        <v>2</v>
      </c>
      <c r="Q2590" t="s">
        <v>19</v>
      </c>
    </row>
    <row r="2591" spans="1:17" x14ac:dyDescent="0.3">
      <c r="A2591" t="s">
        <v>3671</v>
      </c>
      <c r="B2591" s="6">
        <v>45099</v>
      </c>
      <c r="C2591" s="6" t="str">
        <f t="shared" si="120"/>
        <v>Jun</v>
      </c>
      <c r="D2591" t="s">
        <v>949</v>
      </c>
      <c r="E2591" t="s">
        <v>36</v>
      </c>
      <c r="F2591" t="s">
        <v>176</v>
      </c>
      <c r="G2591">
        <v>7</v>
      </c>
      <c r="H2591" s="7">
        <v>43.77</v>
      </c>
      <c r="I2591" t="s">
        <v>32</v>
      </c>
      <c r="J2591" t="s">
        <v>87</v>
      </c>
      <c r="K2591">
        <v>15</v>
      </c>
      <c r="L2591" s="7">
        <f t="shared" si="121"/>
        <v>306.39000000000004</v>
      </c>
      <c r="M2591" s="7"/>
      <c r="O2591">
        <f t="shared" si="122"/>
        <v>2</v>
      </c>
      <c r="Q2591" t="s">
        <v>33</v>
      </c>
    </row>
    <row r="2592" spans="1:17" x14ac:dyDescent="0.3">
      <c r="A2592" t="s">
        <v>3672</v>
      </c>
      <c r="B2592" s="6">
        <v>44986</v>
      </c>
      <c r="C2592" s="6" t="str">
        <f t="shared" si="120"/>
        <v>Mar</v>
      </c>
      <c r="D2592" t="s">
        <v>471</v>
      </c>
      <c r="E2592" t="s">
        <v>50</v>
      </c>
      <c r="F2592" t="s">
        <v>319</v>
      </c>
      <c r="G2592">
        <v>7</v>
      </c>
      <c r="H2592" s="7">
        <v>345.67</v>
      </c>
      <c r="I2592" t="s">
        <v>32</v>
      </c>
      <c r="J2592" t="s">
        <v>72</v>
      </c>
      <c r="K2592">
        <v>15</v>
      </c>
      <c r="L2592" s="7">
        <f t="shared" si="121"/>
        <v>2419.69</v>
      </c>
      <c r="M2592" s="7"/>
      <c r="O2592">
        <f t="shared" si="122"/>
        <v>2</v>
      </c>
      <c r="Q2592" t="s">
        <v>33</v>
      </c>
    </row>
    <row r="2593" spans="1:17" x14ac:dyDescent="0.3">
      <c r="A2593" t="s">
        <v>3673</v>
      </c>
      <c r="B2593" s="6">
        <v>45189</v>
      </c>
      <c r="C2593" s="6" t="str">
        <f t="shared" si="120"/>
        <v>Sep</v>
      </c>
      <c r="D2593" t="s">
        <v>1856</v>
      </c>
      <c r="E2593" t="s">
        <v>19</v>
      </c>
      <c r="F2593" t="s">
        <v>856</v>
      </c>
      <c r="G2593">
        <v>4</v>
      </c>
      <c r="H2593" s="7">
        <v>393.58</v>
      </c>
      <c r="I2593" t="s">
        <v>64</v>
      </c>
      <c r="J2593" t="s">
        <v>22</v>
      </c>
      <c r="K2593">
        <v>20</v>
      </c>
      <c r="L2593" s="7">
        <f t="shared" si="121"/>
        <v>1574.32</v>
      </c>
      <c r="M2593" s="7"/>
      <c r="O2593">
        <f t="shared" si="122"/>
        <v>2</v>
      </c>
      <c r="Q2593" t="s">
        <v>65</v>
      </c>
    </row>
    <row r="2594" spans="1:17" x14ac:dyDescent="0.3">
      <c r="A2594" t="s">
        <v>3674</v>
      </c>
      <c r="B2594" s="6">
        <v>45129</v>
      </c>
      <c r="C2594" s="6" t="str">
        <f t="shared" si="120"/>
        <v>Jul</v>
      </c>
      <c r="D2594" t="s">
        <v>1048</v>
      </c>
      <c r="E2594" t="s">
        <v>19</v>
      </c>
      <c r="F2594" t="s">
        <v>68</v>
      </c>
      <c r="G2594">
        <v>6</v>
      </c>
      <c r="H2594" s="7">
        <v>398.67</v>
      </c>
      <c r="I2594" t="s">
        <v>64</v>
      </c>
      <c r="J2594" t="s">
        <v>19</v>
      </c>
      <c r="K2594">
        <v>0</v>
      </c>
      <c r="L2594" s="7">
        <f t="shared" si="121"/>
        <v>2392.02</v>
      </c>
      <c r="M2594" s="7"/>
      <c r="O2594">
        <f t="shared" si="122"/>
        <v>2</v>
      </c>
      <c r="Q2594" t="s">
        <v>65</v>
      </c>
    </row>
    <row r="2595" spans="1:17" x14ac:dyDescent="0.3">
      <c r="A2595" t="s">
        <v>3675</v>
      </c>
      <c r="B2595" s="6">
        <v>45253</v>
      </c>
      <c r="C2595" s="6" t="str">
        <f t="shared" si="120"/>
        <v>Nov</v>
      </c>
      <c r="D2595" t="s">
        <v>797</v>
      </c>
      <c r="E2595" t="s">
        <v>19</v>
      </c>
      <c r="F2595" t="s">
        <v>983</v>
      </c>
      <c r="G2595">
        <v>3</v>
      </c>
      <c r="H2595" s="7">
        <v>72.069999999999993</v>
      </c>
      <c r="I2595" t="s">
        <v>46</v>
      </c>
      <c r="J2595" t="s">
        <v>28</v>
      </c>
      <c r="K2595">
        <v>15</v>
      </c>
      <c r="L2595" s="7">
        <f t="shared" si="121"/>
        <v>216.20999999999998</v>
      </c>
      <c r="M2595" s="7"/>
      <c r="O2595">
        <f t="shared" si="122"/>
        <v>2</v>
      </c>
      <c r="Q2595" t="s">
        <v>47</v>
      </c>
    </row>
    <row r="2596" spans="1:17" x14ac:dyDescent="0.3">
      <c r="A2596" t="s">
        <v>3676</v>
      </c>
      <c r="B2596" s="6">
        <v>45042</v>
      </c>
      <c r="C2596" s="6" t="str">
        <f t="shared" si="120"/>
        <v>Apr</v>
      </c>
      <c r="D2596" t="s">
        <v>219</v>
      </c>
      <c r="E2596" t="s">
        <v>31</v>
      </c>
      <c r="F2596" t="s">
        <v>434</v>
      </c>
      <c r="G2596">
        <v>6</v>
      </c>
      <c r="H2596" s="7">
        <v>226.55</v>
      </c>
      <c r="I2596" t="s">
        <v>32</v>
      </c>
      <c r="J2596" t="s">
        <v>19</v>
      </c>
      <c r="K2596">
        <v>10</v>
      </c>
      <c r="L2596" s="7">
        <f t="shared" si="121"/>
        <v>1359.3000000000002</v>
      </c>
      <c r="M2596" s="7"/>
      <c r="O2596">
        <f t="shared" si="122"/>
        <v>2</v>
      </c>
      <c r="Q2596" t="s">
        <v>33</v>
      </c>
    </row>
    <row r="2597" spans="1:17" x14ac:dyDescent="0.3">
      <c r="A2597" t="s">
        <v>3677</v>
      </c>
      <c r="B2597" s="6">
        <v>44967</v>
      </c>
      <c r="C2597" s="6" t="str">
        <f t="shared" si="120"/>
        <v>Feb</v>
      </c>
      <c r="D2597" t="s">
        <v>3229</v>
      </c>
      <c r="E2597" t="s">
        <v>40</v>
      </c>
      <c r="F2597" t="s">
        <v>331</v>
      </c>
      <c r="G2597">
        <v>2</v>
      </c>
      <c r="H2597" s="7">
        <v>415.57</v>
      </c>
      <c r="I2597" t="s">
        <v>46</v>
      </c>
      <c r="J2597" t="s">
        <v>87</v>
      </c>
      <c r="K2597">
        <v>15</v>
      </c>
      <c r="L2597" s="7">
        <f t="shared" si="121"/>
        <v>831.14</v>
      </c>
      <c r="M2597" s="7"/>
      <c r="O2597">
        <f t="shared" si="122"/>
        <v>2</v>
      </c>
      <c r="Q2597" t="s">
        <v>47</v>
      </c>
    </row>
    <row r="2598" spans="1:17" x14ac:dyDescent="0.3">
      <c r="A2598" t="s">
        <v>3678</v>
      </c>
      <c r="B2598" s="6">
        <v>45016</v>
      </c>
      <c r="C2598" s="6" t="str">
        <f t="shared" si="120"/>
        <v>Mar</v>
      </c>
      <c r="D2598" t="s">
        <v>1173</v>
      </c>
      <c r="E2598" t="s">
        <v>36</v>
      </c>
      <c r="F2598" t="s">
        <v>298</v>
      </c>
      <c r="G2598">
        <v>8</v>
      </c>
      <c r="H2598" s="7">
        <v>154.83000000000001</v>
      </c>
      <c r="I2598" t="s">
        <v>103</v>
      </c>
      <c r="J2598" t="s">
        <v>87</v>
      </c>
      <c r="K2598">
        <v>20</v>
      </c>
      <c r="L2598" s="7">
        <f t="shared" si="121"/>
        <v>1238.6400000000001</v>
      </c>
      <c r="M2598" s="7"/>
      <c r="O2598">
        <f t="shared" si="122"/>
        <v>2</v>
      </c>
      <c r="Q2598" t="s">
        <v>104</v>
      </c>
    </row>
    <row r="2599" spans="1:17" x14ac:dyDescent="0.3">
      <c r="A2599" t="s">
        <v>3679</v>
      </c>
      <c r="B2599" s="6">
        <v>45284</v>
      </c>
      <c r="C2599" s="6" t="str">
        <f t="shared" si="120"/>
        <v>Dec</v>
      </c>
      <c r="D2599" t="s">
        <v>1898</v>
      </c>
      <c r="E2599" t="s">
        <v>50</v>
      </c>
      <c r="F2599" t="s">
        <v>523</v>
      </c>
      <c r="G2599">
        <v>2</v>
      </c>
      <c r="H2599" s="7">
        <v>236.54</v>
      </c>
      <c r="I2599" t="s">
        <v>103</v>
      </c>
      <c r="J2599" t="s">
        <v>72</v>
      </c>
      <c r="K2599">
        <v>10</v>
      </c>
      <c r="L2599" s="7">
        <f t="shared" si="121"/>
        <v>473.08</v>
      </c>
      <c r="M2599" s="7"/>
      <c r="O2599">
        <f t="shared" si="122"/>
        <v>2</v>
      </c>
      <c r="Q2599" t="s">
        <v>104</v>
      </c>
    </row>
    <row r="2600" spans="1:17" x14ac:dyDescent="0.3">
      <c r="A2600" t="s">
        <v>3680</v>
      </c>
      <c r="B2600" s="6">
        <v>45173</v>
      </c>
      <c r="C2600" s="6" t="str">
        <f t="shared" si="120"/>
        <v>Sep</v>
      </c>
      <c r="D2600" t="s">
        <v>885</v>
      </c>
      <c r="E2600" t="s">
        <v>40</v>
      </c>
      <c r="F2600" t="s">
        <v>116</v>
      </c>
      <c r="G2600">
        <v>7</v>
      </c>
      <c r="H2600" s="7">
        <v>140.03</v>
      </c>
      <c r="I2600" t="s">
        <v>46</v>
      </c>
      <c r="J2600" t="s">
        <v>19</v>
      </c>
      <c r="K2600">
        <v>20</v>
      </c>
      <c r="L2600" s="7">
        <f t="shared" si="121"/>
        <v>980.21</v>
      </c>
      <c r="M2600" s="7"/>
      <c r="O2600">
        <f t="shared" si="122"/>
        <v>2</v>
      </c>
      <c r="Q2600" t="s">
        <v>47</v>
      </c>
    </row>
    <row r="2601" spans="1:17" x14ac:dyDescent="0.3">
      <c r="A2601" t="s">
        <v>3681</v>
      </c>
      <c r="B2601" s="6">
        <v>44998</v>
      </c>
      <c r="C2601" s="6" t="str">
        <f t="shared" si="120"/>
        <v>Mar</v>
      </c>
      <c r="D2601" t="s">
        <v>3217</v>
      </c>
      <c r="E2601" t="s">
        <v>31</v>
      </c>
      <c r="F2601" t="s">
        <v>222</v>
      </c>
      <c r="G2601">
        <v>5</v>
      </c>
      <c r="H2601" s="7">
        <v>234.46</v>
      </c>
      <c r="I2601" t="s">
        <v>103</v>
      </c>
      <c r="J2601" t="s">
        <v>87</v>
      </c>
      <c r="K2601">
        <v>5</v>
      </c>
      <c r="L2601" s="7">
        <f t="shared" si="121"/>
        <v>1172.3</v>
      </c>
      <c r="M2601" s="7"/>
      <c r="O2601">
        <f t="shared" si="122"/>
        <v>2</v>
      </c>
      <c r="Q2601" t="s">
        <v>104</v>
      </c>
    </row>
    <row r="2602" spans="1:17" x14ac:dyDescent="0.3">
      <c r="A2602" t="s">
        <v>3682</v>
      </c>
      <c r="B2602" s="6">
        <v>44973</v>
      </c>
      <c r="C2602" s="6" t="str">
        <f t="shared" si="120"/>
        <v>Feb</v>
      </c>
      <c r="D2602" t="s">
        <v>2537</v>
      </c>
      <c r="E2602" t="s">
        <v>36</v>
      </c>
      <c r="F2602" t="s">
        <v>316</v>
      </c>
      <c r="G2602">
        <v>5</v>
      </c>
      <c r="H2602" s="7">
        <v>252.16</v>
      </c>
      <c r="I2602" t="s">
        <v>19</v>
      </c>
      <c r="J2602" t="s">
        <v>42</v>
      </c>
      <c r="K2602">
        <v>5</v>
      </c>
      <c r="L2602" s="7">
        <f t="shared" si="121"/>
        <v>1260.8</v>
      </c>
      <c r="M2602" s="7"/>
      <c r="O2602">
        <f t="shared" si="122"/>
        <v>2</v>
      </c>
      <c r="Q2602" t="s">
        <v>19</v>
      </c>
    </row>
    <row r="2603" spans="1:17" x14ac:dyDescent="0.3">
      <c r="A2603" t="s">
        <v>3683</v>
      </c>
      <c r="B2603" s="6">
        <v>45104</v>
      </c>
      <c r="C2603" s="6" t="str">
        <f t="shared" si="120"/>
        <v>Jun</v>
      </c>
      <c r="D2603" t="s">
        <v>1187</v>
      </c>
      <c r="E2603" t="s">
        <v>62</v>
      </c>
      <c r="F2603" t="s">
        <v>389</v>
      </c>
      <c r="G2603">
        <v>8</v>
      </c>
      <c r="H2603" s="7">
        <v>230.29</v>
      </c>
      <c r="I2603" t="s">
        <v>19</v>
      </c>
      <c r="J2603" t="s">
        <v>19</v>
      </c>
      <c r="K2603">
        <v>15</v>
      </c>
      <c r="L2603" s="7">
        <f t="shared" si="121"/>
        <v>1842.32</v>
      </c>
      <c r="M2603" s="7"/>
      <c r="O2603">
        <f t="shared" si="122"/>
        <v>2</v>
      </c>
      <c r="Q2603" t="s">
        <v>19</v>
      </c>
    </row>
    <row r="2604" spans="1:17" x14ac:dyDescent="0.3">
      <c r="A2604" t="s">
        <v>3684</v>
      </c>
      <c r="B2604" s="6">
        <v>45256</v>
      </c>
      <c r="C2604" s="6" t="str">
        <f t="shared" si="120"/>
        <v>Nov</v>
      </c>
      <c r="D2604" t="s">
        <v>1562</v>
      </c>
      <c r="E2604" t="s">
        <v>62</v>
      </c>
      <c r="F2604" t="s">
        <v>170</v>
      </c>
      <c r="G2604">
        <v>7</v>
      </c>
      <c r="H2604" s="7">
        <v>280.18</v>
      </c>
      <c r="I2604" t="s">
        <v>46</v>
      </c>
      <c r="J2604" t="s">
        <v>42</v>
      </c>
      <c r="K2604">
        <v>15</v>
      </c>
      <c r="L2604" s="7">
        <f t="shared" si="121"/>
        <v>1961.26</v>
      </c>
      <c r="M2604" s="7"/>
      <c r="O2604">
        <f t="shared" si="122"/>
        <v>2</v>
      </c>
      <c r="Q2604" t="s">
        <v>47</v>
      </c>
    </row>
    <row r="2605" spans="1:17" x14ac:dyDescent="0.3">
      <c r="A2605" t="s">
        <v>3685</v>
      </c>
      <c r="B2605" s="6">
        <v>45270</v>
      </c>
      <c r="C2605" s="6" t="str">
        <f t="shared" si="120"/>
        <v>Dec</v>
      </c>
      <c r="D2605" t="s">
        <v>219</v>
      </c>
      <c r="E2605" t="s">
        <v>62</v>
      </c>
      <c r="F2605" t="s">
        <v>248</v>
      </c>
      <c r="G2605">
        <v>5</v>
      </c>
      <c r="H2605" s="7">
        <v>204.97</v>
      </c>
      <c r="I2605" t="s">
        <v>46</v>
      </c>
      <c r="J2605" t="s">
        <v>42</v>
      </c>
      <c r="K2605">
        <v>20</v>
      </c>
      <c r="L2605" s="7">
        <f t="shared" si="121"/>
        <v>1024.8499999999999</v>
      </c>
      <c r="M2605" s="7"/>
      <c r="O2605">
        <f t="shared" si="122"/>
        <v>2</v>
      </c>
      <c r="Q2605" t="s">
        <v>47</v>
      </c>
    </row>
    <row r="2606" spans="1:17" x14ac:dyDescent="0.3">
      <c r="A2606" t="s">
        <v>3686</v>
      </c>
      <c r="B2606" s="6">
        <v>45211</v>
      </c>
      <c r="C2606" s="6" t="str">
        <f t="shared" si="120"/>
        <v>Oct</v>
      </c>
      <c r="D2606" t="s">
        <v>275</v>
      </c>
      <c r="E2606" t="s">
        <v>26</v>
      </c>
      <c r="F2606" t="s">
        <v>341</v>
      </c>
      <c r="G2606">
        <v>6</v>
      </c>
      <c r="H2606" s="7">
        <v>232.76</v>
      </c>
      <c r="I2606" t="s">
        <v>64</v>
      </c>
      <c r="J2606" t="s">
        <v>72</v>
      </c>
      <c r="K2606">
        <v>20</v>
      </c>
      <c r="L2606" s="7">
        <f t="shared" si="121"/>
        <v>1396.56</v>
      </c>
      <c r="M2606" s="7"/>
      <c r="O2606">
        <f t="shared" si="122"/>
        <v>2</v>
      </c>
      <c r="Q2606" t="s">
        <v>65</v>
      </c>
    </row>
    <row r="2607" spans="1:17" x14ac:dyDescent="0.3">
      <c r="A2607" t="s">
        <v>3687</v>
      </c>
      <c r="B2607" s="6">
        <v>45197</v>
      </c>
      <c r="C2607" s="6" t="str">
        <f t="shared" si="120"/>
        <v>Sep</v>
      </c>
      <c r="D2607" t="s">
        <v>1311</v>
      </c>
      <c r="E2607" t="s">
        <v>19</v>
      </c>
      <c r="F2607" t="s">
        <v>246</v>
      </c>
      <c r="G2607">
        <v>6</v>
      </c>
      <c r="H2607" s="7">
        <v>12.51</v>
      </c>
      <c r="I2607" t="s">
        <v>103</v>
      </c>
      <c r="J2607" t="s">
        <v>22</v>
      </c>
      <c r="K2607">
        <v>10</v>
      </c>
      <c r="L2607" s="7">
        <f t="shared" si="121"/>
        <v>75.06</v>
      </c>
      <c r="M2607" s="7"/>
      <c r="O2607">
        <f t="shared" si="122"/>
        <v>2</v>
      </c>
      <c r="Q2607" t="s">
        <v>104</v>
      </c>
    </row>
    <row r="2608" spans="1:17" x14ac:dyDescent="0.3">
      <c r="A2608" t="s">
        <v>3688</v>
      </c>
      <c r="B2608" s="6">
        <v>45190</v>
      </c>
      <c r="C2608" s="6" t="str">
        <f t="shared" si="120"/>
        <v>Sep</v>
      </c>
      <c r="D2608" t="s">
        <v>3045</v>
      </c>
      <c r="E2608" t="s">
        <v>31</v>
      </c>
      <c r="F2608" t="s">
        <v>988</v>
      </c>
      <c r="G2608">
        <v>9</v>
      </c>
      <c r="H2608" s="7">
        <v>145.44999999999999</v>
      </c>
      <c r="I2608" t="s">
        <v>32</v>
      </c>
      <c r="J2608" t="s">
        <v>19</v>
      </c>
      <c r="K2608">
        <v>0</v>
      </c>
      <c r="L2608" s="7">
        <f t="shared" si="121"/>
        <v>1309.05</v>
      </c>
      <c r="M2608" s="7"/>
      <c r="O2608">
        <f t="shared" si="122"/>
        <v>2</v>
      </c>
      <c r="Q2608" t="s">
        <v>33</v>
      </c>
    </row>
    <row r="2609" spans="1:17" x14ac:dyDescent="0.3">
      <c r="A2609" t="s">
        <v>3689</v>
      </c>
      <c r="B2609" s="6">
        <v>45265</v>
      </c>
      <c r="C2609" s="6" t="str">
        <f t="shared" si="120"/>
        <v>Dec</v>
      </c>
      <c r="D2609" t="s">
        <v>592</v>
      </c>
      <c r="E2609" t="s">
        <v>36</v>
      </c>
      <c r="F2609" t="s">
        <v>469</v>
      </c>
      <c r="G2609">
        <v>2</v>
      </c>
      <c r="H2609" s="7">
        <v>221.11</v>
      </c>
      <c r="I2609" t="s">
        <v>19</v>
      </c>
      <c r="J2609" t="s">
        <v>87</v>
      </c>
      <c r="K2609">
        <v>10</v>
      </c>
      <c r="L2609" s="7">
        <f t="shared" si="121"/>
        <v>442.22</v>
      </c>
      <c r="M2609" s="7"/>
      <c r="O2609">
        <f t="shared" si="122"/>
        <v>2</v>
      </c>
      <c r="Q2609" t="s">
        <v>19</v>
      </c>
    </row>
    <row r="2610" spans="1:17" x14ac:dyDescent="0.3">
      <c r="A2610" t="s">
        <v>3690</v>
      </c>
      <c r="B2610" s="6">
        <v>45028</v>
      </c>
      <c r="C2610" s="6" t="str">
        <f t="shared" si="120"/>
        <v>Apr</v>
      </c>
      <c r="D2610" t="s">
        <v>908</v>
      </c>
      <c r="E2610" t="s">
        <v>40</v>
      </c>
      <c r="F2610" t="s">
        <v>719</v>
      </c>
      <c r="G2610">
        <v>1</v>
      </c>
      <c r="H2610" s="7">
        <v>318.73</v>
      </c>
      <c r="I2610" t="s">
        <v>19</v>
      </c>
      <c r="J2610" t="s">
        <v>22</v>
      </c>
      <c r="K2610">
        <v>5</v>
      </c>
      <c r="L2610" s="7">
        <f t="shared" si="121"/>
        <v>318.73</v>
      </c>
      <c r="M2610" s="7"/>
      <c r="O2610">
        <f t="shared" si="122"/>
        <v>2</v>
      </c>
      <c r="Q2610" t="s">
        <v>19</v>
      </c>
    </row>
    <row r="2611" spans="1:17" x14ac:dyDescent="0.3">
      <c r="A2611" t="s">
        <v>3691</v>
      </c>
      <c r="B2611" s="6">
        <v>45104</v>
      </c>
      <c r="C2611" s="6" t="str">
        <f t="shared" si="120"/>
        <v>Jun</v>
      </c>
      <c r="D2611" t="s">
        <v>2244</v>
      </c>
      <c r="E2611" t="s">
        <v>62</v>
      </c>
      <c r="F2611" t="s">
        <v>125</v>
      </c>
      <c r="G2611">
        <v>6</v>
      </c>
      <c r="H2611" s="7">
        <v>227.78</v>
      </c>
      <c r="I2611" t="s">
        <v>64</v>
      </c>
      <c r="J2611" t="s">
        <v>22</v>
      </c>
      <c r="K2611">
        <v>10</v>
      </c>
      <c r="L2611" s="7">
        <f t="shared" si="121"/>
        <v>1366.68</v>
      </c>
      <c r="M2611" s="7"/>
      <c r="O2611">
        <f t="shared" si="122"/>
        <v>2</v>
      </c>
      <c r="Q2611" t="s">
        <v>65</v>
      </c>
    </row>
    <row r="2612" spans="1:17" x14ac:dyDescent="0.3">
      <c r="A2612" t="s">
        <v>3692</v>
      </c>
      <c r="B2612" s="6">
        <v>45241</v>
      </c>
      <c r="C2612" s="6" t="str">
        <f t="shared" si="120"/>
        <v>Nov</v>
      </c>
      <c r="D2612" t="s">
        <v>3693</v>
      </c>
      <c r="E2612" t="s">
        <v>19</v>
      </c>
      <c r="F2612" t="s">
        <v>415</v>
      </c>
      <c r="G2612">
        <v>8</v>
      </c>
      <c r="H2612" s="7">
        <v>172.22</v>
      </c>
      <c r="I2612" t="s">
        <v>103</v>
      </c>
      <c r="J2612" t="s">
        <v>42</v>
      </c>
      <c r="K2612">
        <v>20</v>
      </c>
      <c r="L2612" s="7">
        <f t="shared" si="121"/>
        <v>1377.76</v>
      </c>
      <c r="M2612" s="7"/>
      <c r="O2612">
        <f t="shared" si="122"/>
        <v>2</v>
      </c>
      <c r="Q2612" t="s">
        <v>104</v>
      </c>
    </row>
    <row r="2613" spans="1:17" x14ac:dyDescent="0.3">
      <c r="A2613" t="s">
        <v>3694</v>
      </c>
      <c r="B2613" s="6">
        <v>44940</v>
      </c>
      <c r="C2613" s="6" t="str">
        <f t="shared" si="120"/>
        <v>Jan</v>
      </c>
      <c r="D2613" t="s">
        <v>677</v>
      </c>
      <c r="E2613" t="s">
        <v>50</v>
      </c>
      <c r="F2613" t="s">
        <v>1618</v>
      </c>
      <c r="G2613">
        <v>3</v>
      </c>
      <c r="H2613" s="7">
        <v>197.11</v>
      </c>
      <c r="I2613" t="s">
        <v>21</v>
      </c>
      <c r="J2613" t="s">
        <v>28</v>
      </c>
      <c r="K2613">
        <v>10</v>
      </c>
      <c r="L2613" s="7">
        <f t="shared" si="121"/>
        <v>591.33000000000004</v>
      </c>
      <c r="M2613" s="7"/>
      <c r="O2613">
        <f t="shared" si="122"/>
        <v>2</v>
      </c>
      <c r="Q2613" t="s">
        <v>23</v>
      </c>
    </row>
    <row r="2614" spans="1:17" x14ac:dyDescent="0.3">
      <c r="A2614" t="s">
        <v>3695</v>
      </c>
      <c r="B2614" s="6">
        <v>45284</v>
      </c>
      <c r="C2614" s="6" t="str">
        <f t="shared" si="120"/>
        <v>Dec</v>
      </c>
      <c r="D2614" t="s">
        <v>1786</v>
      </c>
      <c r="E2614" t="s">
        <v>62</v>
      </c>
      <c r="F2614" t="s">
        <v>154</v>
      </c>
      <c r="G2614">
        <v>1</v>
      </c>
      <c r="H2614" s="7">
        <v>124.94</v>
      </c>
      <c r="I2614" t="s">
        <v>103</v>
      </c>
      <c r="J2614" t="s">
        <v>22</v>
      </c>
      <c r="K2614">
        <v>10</v>
      </c>
      <c r="L2614" s="7">
        <f t="shared" si="121"/>
        <v>124.94</v>
      </c>
      <c r="M2614" s="7"/>
      <c r="O2614">
        <f t="shared" si="122"/>
        <v>2</v>
      </c>
      <c r="Q2614" t="s">
        <v>104</v>
      </c>
    </row>
    <row r="2615" spans="1:17" x14ac:dyDescent="0.3">
      <c r="A2615" t="s">
        <v>3696</v>
      </c>
      <c r="B2615" s="6">
        <v>45016</v>
      </c>
      <c r="C2615" s="6" t="str">
        <f t="shared" si="120"/>
        <v>Mar</v>
      </c>
      <c r="D2615" t="s">
        <v>746</v>
      </c>
      <c r="E2615" t="s">
        <v>26</v>
      </c>
      <c r="F2615" t="s">
        <v>719</v>
      </c>
      <c r="G2615">
        <v>9</v>
      </c>
      <c r="H2615" s="7">
        <v>462.62</v>
      </c>
      <c r="I2615" t="s">
        <v>32</v>
      </c>
      <c r="J2615" t="s">
        <v>28</v>
      </c>
      <c r="K2615">
        <v>0</v>
      </c>
      <c r="L2615" s="7">
        <f t="shared" si="121"/>
        <v>4163.58</v>
      </c>
      <c r="M2615" s="7"/>
      <c r="O2615">
        <f t="shared" si="122"/>
        <v>5</v>
      </c>
      <c r="Q2615" t="s">
        <v>33</v>
      </c>
    </row>
    <row r="2616" spans="1:17" x14ac:dyDescent="0.3">
      <c r="A2616" t="s">
        <v>3697</v>
      </c>
      <c r="B2616" s="6">
        <v>44979</v>
      </c>
      <c r="C2616" s="6" t="str">
        <f t="shared" si="120"/>
        <v>Feb</v>
      </c>
      <c r="D2616" t="s">
        <v>583</v>
      </c>
      <c r="E2616" t="s">
        <v>26</v>
      </c>
      <c r="F2616" t="s">
        <v>347</v>
      </c>
      <c r="G2616">
        <v>1</v>
      </c>
      <c r="H2616" s="7">
        <v>263.26</v>
      </c>
      <c r="I2616" t="s">
        <v>32</v>
      </c>
      <c r="J2616" t="s">
        <v>42</v>
      </c>
      <c r="K2616">
        <v>20</v>
      </c>
      <c r="L2616" s="7">
        <f t="shared" si="121"/>
        <v>263.26</v>
      </c>
      <c r="M2616" s="7"/>
      <c r="O2616">
        <f t="shared" si="122"/>
        <v>2</v>
      </c>
      <c r="Q2616" t="s">
        <v>33</v>
      </c>
    </row>
    <row r="2617" spans="1:17" x14ac:dyDescent="0.3">
      <c r="A2617" t="s">
        <v>3698</v>
      </c>
      <c r="B2617" s="6">
        <v>45117</v>
      </c>
      <c r="C2617" s="6" t="str">
        <f t="shared" si="120"/>
        <v>Jul</v>
      </c>
      <c r="D2617" t="s">
        <v>970</v>
      </c>
      <c r="E2617" t="s">
        <v>36</v>
      </c>
      <c r="F2617" t="s">
        <v>417</v>
      </c>
      <c r="G2617">
        <v>3</v>
      </c>
      <c r="H2617" s="7">
        <v>11.64</v>
      </c>
      <c r="I2617" t="s">
        <v>19</v>
      </c>
      <c r="J2617" t="s">
        <v>22</v>
      </c>
      <c r="K2617">
        <v>15</v>
      </c>
      <c r="L2617" s="7">
        <f t="shared" si="121"/>
        <v>34.92</v>
      </c>
      <c r="M2617" s="7"/>
      <c r="O2617">
        <f t="shared" si="122"/>
        <v>2</v>
      </c>
      <c r="Q2617" t="s">
        <v>19</v>
      </c>
    </row>
    <row r="2618" spans="1:17" x14ac:dyDescent="0.3">
      <c r="A2618" t="s">
        <v>3699</v>
      </c>
      <c r="B2618" s="6">
        <v>45027</v>
      </c>
      <c r="C2618" s="6" t="str">
        <f t="shared" si="120"/>
        <v>Apr</v>
      </c>
      <c r="D2618" t="s">
        <v>915</v>
      </c>
      <c r="E2618" t="s">
        <v>50</v>
      </c>
      <c r="F2618" t="s">
        <v>289</v>
      </c>
      <c r="G2618">
        <v>8</v>
      </c>
      <c r="H2618" s="7">
        <v>14.63</v>
      </c>
      <c r="I2618" t="s">
        <v>46</v>
      </c>
      <c r="J2618" t="s">
        <v>87</v>
      </c>
      <c r="K2618">
        <v>10</v>
      </c>
      <c r="L2618" s="7">
        <f t="shared" si="121"/>
        <v>117.04</v>
      </c>
      <c r="M2618" s="7"/>
      <c r="O2618">
        <f t="shared" si="122"/>
        <v>2</v>
      </c>
      <c r="Q2618" t="s">
        <v>47</v>
      </c>
    </row>
    <row r="2619" spans="1:17" x14ac:dyDescent="0.3">
      <c r="A2619" t="s">
        <v>3700</v>
      </c>
      <c r="B2619" s="6">
        <v>45248</v>
      </c>
      <c r="C2619" s="6" t="str">
        <f t="shared" si="120"/>
        <v>Nov</v>
      </c>
      <c r="D2619" t="s">
        <v>1995</v>
      </c>
      <c r="E2619" t="s">
        <v>50</v>
      </c>
      <c r="F2619" t="s">
        <v>188</v>
      </c>
      <c r="G2619">
        <v>3</v>
      </c>
      <c r="H2619" s="7">
        <v>486.62</v>
      </c>
      <c r="I2619" t="s">
        <v>64</v>
      </c>
      <c r="J2619" t="s">
        <v>22</v>
      </c>
      <c r="K2619">
        <v>20</v>
      </c>
      <c r="L2619" s="7">
        <f t="shared" si="121"/>
        <v>1459.8600000000001</v>
      </c>
      <c r="M2619" s="7"/>
      <c r="O2619">
        <f t="shared" si="122"/>
        <v>2</v>
      </c>
      <c r="Q2619" t="s">
        <v>65</v>
      </c>
    </row>
    <row r="2620" spans="1:17" x14ac:dyDescent="0.3">
      <c r="A2620" t="s">
        <v>3701</v>
      </c>
      <c r="B2620" s="6">
        <v>45169</v>
      </c>
      <c r="C2620" s="6" t="str">
        <f t="shared" si="120"/>
        <v>Aug</v>
      </c>
      <c r="D2620" t="s">
        <v>1364</v>
      </c>
      <c r="E2620" t="s">
        <v>50</v>
      </c>
      <c r="F2620" t="s">
        <v>944</v>
      </c>
      <c r="G2620">
        <v>4</v>
      </c>
      <c r="H2620" s="7">
        <v>114.62</v>
      </c>
      <c r="I2620" t="s">
        <v>46</v>
      </c>
      <c r="J2620" t="s">
        <v>87</v>
      </c>
      <c r="K2620">
        <v>15</v>
      </c>
      <c r="L2620" s="7">
        <f t="shared" si="121"/>
        <v>458.48</v>
      </c>
      <c r="M2620" s="7"/>
      <c r="O2620">
        <f t="shared" si="122"/>
        <v>2</v>
      </c>
      <c r="Q2620" t="s">
        <v>47</v>
      </c>
    </row>
    <row r="2621" spans="1:17" x14ac:dyDescent="0.3">
      <c r="A2621" t="s">
        <v>3702</v>
      </c>
      <c r="B2621" s="6">
        <v>44993</v>
      </c>
      <c r="C2621" s="6" t="str">
        <f t="shared" si="120"/>
        <v>Mar</v>
      </c>
      <c r="D2621" t="s">
        <v>1594</v>
      </c>
      <c r="E2621" t="s">
        <v>19</v>
      </c>
      <c r="F2621" t="s">
        <v>642</v>
      </c>
      <c r="G2621">
        <v>8</v>
      </c>
      <c r="H2621" s="7">
        <v>403.78</v>
      </c>
      <c r="I2621" t="s">
        <v>21</v>
      </c>
      <c r="J2621" t="s">
        <v>28</v>
      </c>
      <c r="K2621">
        <v>15</v>
      </c>
      <c r="L2621" s="7">
        <f t="shared" si="121"/>
        <v>3230.24</v>
      </c>
      <c r="M2621" s="7"/>
      <c r="O2621">
        <f t="shared" si="122"/>
        <v>4</v>
      </c>
      <c r="Q2621" t="s">
        <v>23</v>
      </c>
    </row>
    <row r="2622" spans="1:17" x14ac:dyDescent="0.3">
      <c r="A2622" t="s">
        <v>3703</v>
      </c>
      <c r="B2622" s="6">
        <v>45200</v>
      </c>
      <c r="C2622" s="6" t="str">
        <f t="shared" si="120"/>
        <v>Oct</v>
      </c>
      <c r="D2622" t="s">
        <v>321</v>
      </c>
      <c r="E2622" t="s">
        <v>31</v>
      </c>
      <c r="F2622" t="s">
        <v>131</v>
      </c>
      <c r="G2622">
        <v>1</v>
      </c>
      <c r="H2622" s="7">
        <v>33.85</v>
      </c>
      <c r="I2622" t="s">
        <v>64</v>
      </c>
      <c r="J2622" t="s">
        <v>42</v>
      </c>
      <c r="K2622">
        <v>5</v>
      </c>
      <c r="L2622" s="7">
        <f t="shared" si="121"/>
        <v>33.85</v>
      </c>
      <c r="M2622" s="7"/>
      <c r="O2622">
        <f t="shared" si="122"/>
        <v>2</v>
      </c>
      <c r="Q2622" t="s">
        <v>65</v>
      </c>
    </row>
    <row r="2623" spans="1:17" x14ac:dyDescent="0.3">
      <c r="A2623" t="s">
        <v>3704</v>
      </c>
      <c r="B2623" s="6">
        <v>45160</v>
      </c>
      <c r="C2623" s="6" t="str">
        <f t="shared" si="120"/>
        <v>Aug</v>
      </c>
      <c r="D2623" t="s">
        <v>633</v>
      </c>
      <c r="E2623" t="s">
        <v>40</v>
      </c>
      <c r="F2623" t="s">
        <v>423</v>
      </c>
      <c r="G2623">
        <v>6</v>
      </c>
      <c r="H2623" s="7">
        <v>460.98</v>
      </c>
      <c r="I2623" t="s">
        <v>21</v>
      </c>
      <c r="J2623" t="s">
        <v>42</v>
      </c>
      <c r="K2623">
        <v>5</v>
      </c>
      <c r="L2623" s="7">
        <f t="shared" si="121"/>
        <v>2765.88</v>
      </c>
      <c r="M2623" s="7"/>
      <c r="O2623">
        <f t="shared" si="122"/>
        <v>3</v>
      </c>
      <c r="Q2623" t="s">
        <v>23</v>
      </c>
    </row>
    <row r="2624" spans="1:17" x14ac:dyDescent="0.3">
      <c r="A2624" t="s">
        <v>3705</v>
      </c>
      <c r="B2624" s="6">
        <v>45232</v>
      </c>
      <c r="C2624" s="6" t="str">
        <f t="shared" si="120"/>
        <v>Nov</v>
      </c>
      <c r="D2624" t="s">
        <v>1163</v>
      </c>
      <c r="E2624" t="s">
        <v>19</v>
      </c>
      <c r="F2624" t="s">
        <v>59</v>
      </c>
      <c r="G2624">
        <v>1</v>
      </c>
      <c r="H2624" s="7">
        <v>437.84</v>
      </c>
      <c r="I2624" t="s">
        <v>103</v>
      </c>
      <c r="J2624" t="s">
        <v>22</v>
      </c>
      <c r="K2624">
        <v>20</v>
      </c>
      <c r="L2624" s="7">
        <f t="shared" si="121"/>
        <v>437.84</v>
      </c>
      <c r="M2624" s="7"/>
      <c r="O2624">
        <f t="shared" si="122"/>
        <v>2</v>
      </c>
      <c r="Q2624" t="s">
        <v>104</v>
      </c>
    </row>
    <row r="2625" spans="1:17" x14ac:dyDescent="0.3">
      <c r="A2625" t="s">
        <v>3706</v>
      </c>
      <c r="B2625" s="6">
        <v>45073</v>
      </c>
      <c r="C2625" s="6" t="str">
        <f t="shared" si="120"/>
        <v>May</v>
      </c>
      <c r="D2625" t="s">
        <v>3707</v>
      </c>
      <c r="E2625" t="s">
        <v>50</v>
      </c>
      <c r="F2625" t="s">
        <v>359</v>
      </c>
      <c r="G2625">
        <v>1</v>
      </c>
      <c r="H2625" s="7">
        <v>287.69</v>
      </c>
      <c r="I2625" t="s">
        <v>21</v>
      </c>
      <c r="J2625" t="s">
        <v>72</v>
      </c>
      <c r="K2625">
        <v>20</v>
      </c>
      <c r="L2625" s="7">
        <f t="shared" si="121"/>
        <v>287.69</v>
      </c>
      <c r="M2625" s="7"/>
      <c r="O2625">
        <f t="shared" si="122"/>
        <v>2</v>
      </c>
      <c r="Q2625" t="s">
        <v>23</v>
      </c>
    </row>
    <row r="2626" spans="1:17" x14ac:dyDescent="0.3">
      <c r="A2626" t="s">
        <v>3708</v>
      </c>
      <c r="B2626" s="6">
        <v>45259</v>
      </c>
      <c r="C2626" s="6" t="str">
        <f t="shared" si="120"/>
        <v>Nov</v>
      </c>
      <c r="D2626" t="s">
        <v>494</v>
      </c>
      <c r="E2626" t="s">
        <v>36</v>
      </c>
      <c r="F2626" t="s">
        <v>151</v>
      </c>
      <c r="G2626">
        <v>5</v>
      </c>
      <c r="H2626" s="7">
        <v>9.4499999999999993</v>
      </c>
      <c r="I2626" t="s">
        <v>64</v>
      </c>
      <c r="J2626" t="s">
        <v>28</v>
      </c>
      <c r="K2626">
        <v>10</v>
      </c>
      <c r="L2626" s="7">
        <f t="shared" si="121"/>
        <v>47.25</v>
      </c>
      <c r="M2626" s="7"/>
      <c r="O2626">
        <f t="shared" si="122"/>
        <v>2</v>
      </c>
      <c r="Q2626" t="s">
        <v>65</v>
      </c>
    </row>
    <row r="2627" spans="1:17" x14ac:dyDescent="0.3">
      <c r="A2627" t="s">
        <v>3709</v>
      </c>
      <c r="B2627" s="6">
        <v>44964</v>
      </c>
      <c r="C2627" s="6" t="str">
        <f t="shared" ref="C2627:C2690" si="123">TEXT(B2627,"MMM")</f>
        <v>Feb</v>
      </c>
      <c r="D2627" t="s">
        <v>994</v>
      </c>
      <c r="E2627" t="s">
        <v>62</v>
      </c>
      <c r="F2627" t="s">
        <v>469</v>
      </c>
      <c r="G2627">
        <v>4</v>
      </c>
      <c r="H2627" s="7">
        <v>132.62</v>
      </c>
      <c r="I2627" t="s">
        <v>46</v>
      </c>
      <c r="J2627" t="s">
        <v>28</v>
      </c>
      <c r="K2627">
        <v>0</v>
      </c>
      <c r="L2627" s="7">
        <f t="shared" ref="L2627:L2690" si="124">G2627*H2627</f>
        <v>530.48</v>
      </c>
      <c r="M2627" s="7"/>
      <c r="O2627">
        <f t="shared" si="122"/>
        <v>2</v>
      </c>
      <c r="Q2627" t="s">
        <v>47</v>
      </c>
    </row>
    <row r="2628" spans="1:17" x14ac:dyDescent="0.3">
      <c r="A2628" t="s">
        <v>3710</v>
      </c>
      <c r="B2628" s="6">
        <v>44982</v>
      </c>
      <c r="C2628" s="6" t="str">
        <f t="shared" si="123"/>
        <v>Feb</v>
      </c>
      <c r="D2628" t="s">
        <v>266</v>
      </c>
      <c r="E2628" t="s">
        <v>40</v>
      </c>
      <c r="F2628" t="s">
        <v>730</v>
      </c>
      <c r="G2628">
        <v>1</v>
      </c>
      <c r="H2628" s="7">
        <v>252.16</v>
      </c>
      <c r="I2628" t="s">
        <v>64</v>
      </c>
      <c r="J2628" t="s">
        <v>19</v>
      </c>
      <c r="K2628">
        <v>0</v>
      </c>
      <c r="L2628" s="7">
        <f t="shared" si="124"/>
        <v>252.16</v>
      </c>
      <c r="M2628" s="7"/>
      <c r="O2628">
        <f t="shared" ref="O2628:O2691" si="125">IF(L2628&gt;3500,5,IF(L2628&gt;3000,4,IF(L2628&gt;2500,3,IF(L2628&gt;2000,2,IF(L2628&gt;1000,2,2)))))</f>
        <v>2</v>
      </c>
      <c r="Q2628" t="s">
        <v>65</v>
      </c>
    </row>
    <row r="2629" spans="1:17" x14ac:dyDescent="0.3">
      <c r="A2629" t="s">
        <v>3711</v>
      </c>
      <c r="B2629" s="6">
        <v>44964</v>
      </c>
      <c r="C2629" s="6" t="str">
        <f t="shared" si="123"/>
        <v>Feb</v>
      </c>
      <c r="D2629" t="s">
        <v>3712</v>
      </c>
      <c r="E2629" t="s">
        <v>19</v>
      </c>
      <c r="F2629" t="s">
        <v>334</v>
      </c>
      <c r="G2629">
        <v>7</v>
      </c>
      <c r="H2629" s="7">
        <v>232.73</v>
      </c>
      <c r="I2629" t="s">
        <v>21</v>
      </c>
      <c r="J2629" t="s">
        <v>22</v>
      </c>
      <c r="K2629">
        <v>20</v>
      </c>
      <c r="L2629" s="7">
        <f t="shared" si="124"/>
        <v>1629.11</v>
      </c>
      <c r="M2629" s="7"/>
      <c r="O2629">
        <f t="shared" si="125"/>
        <v>2</v>
      </c>
      <c r="Q2629" t="s">
        <v>23</v>
      </c>
    </row>
    <row r="2630" spans="1:17" x14ac:dyDescent="0.3">
      <c r="A2630" t="s">
        <v>3713</v>
      </c>
      <c r="B2630" s="6">
        <v>44933</v>
      </c>
      <c r="C2630" s="6" t="str">
        <f t="shared" si="123"/>
        <v>Jan</v>
      </c>
      <c r="D2630" t="s">
        <v>109</v>
      </c>
      <c r="E2630" t="s">
        <v>19</v>
      </c>
      <c r="F2630" t="s">
        <v>423</v>
      </c>
      <c r="G2630">
        <v>5</v>
      </c>
      <c r="H2630" s="7">
        <v>152.35</v>
      </c>
      <c r="I2630" t="s">
        <v>46</v>
      </c>
      <c r="J2630" t="s">
        <v>87</v>
      </c>
      <c r="K2630">
        <v>5</v>
      </c>
      <c r="L2630" s="7">
        <f t="shared" si="124"/>
        <v>761.75</v>
      </c>
      <c r="M2630" s="7"/>
      <c r="O2630">
        <f t="shared" si="125"/>
        <v>2</v>
      </c>
      <c r="Q2630" t="s">
        <v>47</v>
      </c>
    </row>
    <row r="2631" spans="1:17" x14ac:dyDescent="0.3">
      <c r="A2631" t="s">
        <v>3714</v>
      </c>
      <c r="B2631" s="6">
        <v>45030</v>
      </c>
      <c r="C2631" s="6" t="str">
        <f t="shared" si="123"/>
        <v>Apr</v>
      </c>
      <c r="D2631" t="s">
        <v>395</v>
      </c>
      <c r="E2631" t="s">
        <v>36</v>
      </c>
      <c r="F2631" t="s">
        <v>231</v>
      </c>
      <c r="G2631">
        <v>5</v>
      </c>
      <c r="H2631" s="7">
        <v>21.31</v>
      </c>
      <c r="I2631" t="s">
        <v>21</v>
      </c>
      <c r="J2631" t="s">
        <v>22</v>
      </c>
      <c r="K2631">
        <v>10</v>
      </c>
      <c r="L2631" s="7">
        <f t="shared" si="124"/>
        <v>106.55</v>
      </c>
      <c r="M2631" s="7"/>
      <c r="O2631">
        <f t="shared" si="125"/>
        <v>2</v>
      </c>
      <c r="Q2631" t="s">
        <v>23</v>
      </c>
    </row>
    <row r="2632" spans="1:17" x14ac:dyDescent="0.3">
      <c r="A2632" t="s">
        <v>3715</v>
      </c>
      <c r="B2632" s="6">
        <v>44962</v>
      </c>
      <c r="C2632" s="6" t="str">
        <f t="shared" si="123"/>
        <v>Feb</v>
      </c>
      <c r="D2632" t="s">
        <v>1664</v>
      </c>
      <c r="E2632" t="s">
        <v>19</v>
      </c>
      <c r="F2632" t="s">
        <v>687</v>
      </c>
      <c r="G2632">
        <v>1</v>
      </c>
      <c r="H2632" s="7">
        <v>297.11</v>
      </c>
      <c r="I2632" t="s">
        <v>103</v>
      </c>
      <c r="J2632" t="s">
        <v>72</v>
      </c>
      <c r="K2632">
        <v>10</v>
      </c>
      <c r="L2632" s="7">
        <f t="shared" si="124"/>
        <v>297.11</v>
      </c>
      <c r="M2632" s="7"/>
      <c r="O2632">
        <f t="shared" si="125"/>
        <v>2</v>
      </c>
      <c r="Q2632" t="s">
        <v>104</v>
      </c>
    </row>
    <row r="2633" spans="1:17" x14ac:dyDescent="0.3">
      <c r="A2633" t="s">
        <v>3716</v>
      </c>
      <c r="B2633" s="6">
        <v>45244</v>
      </c>
      <c r="C2633" s="6" t="str">
        <f t="shared" si="123"/>
        <v>Nov</v>
      </c>
      <c r="D2633" t="s">
        <v>603</v>
      </c>
      <c r="E2633" t="s">
        <v>36</v>
      </c>
      <c r="F2633" t="s">
        <v>142</v>
      </c>
      <c r="G2633">
        <v>6</v>
      </c>
      <c r="H2633" s="7">
        <v>264.45999999999998</v>
      </c>
      <c r="I2633" t="s">
        <v>21</v>
      </c>
      <c r="J2633" t="s">
        <v>42</v>
      </c>
      <c r="K2633">
        <v>0</v>
      </c>
      <c r="L2633" s="7">
        <f t="shared" si="124"/>
        <v>1586.7599999999998</v>
      </c>
      <c r="M2633" s="7"/>
      <c r="O2633">
        <f t="shared" si="125"/>
        <v>2</v>
      </c>
      <c r="Q2633" t="s">
        <v>23</v>
      </c>
    </row>
    <row r="2634" spans="1:17" x14ac:dyDescent="0.3">
      <c r="A2634" t="s">
        <v>3717</v>
      </c>
      <c r="B2634" s="6">
        <v>45101</v>
      </c>
      <c r="C2634" s="6" t="str">
        <f t="shared" si="123"/>
        <v>Jun</v>
      </c>
      <c r="D2634" t="s">
        <v>669</v>
      </c>
      <c r="E2634" t="s">
        <v>40</v>
      </c>
      <c r="F2634" t="s">
        <v>706</v>
      </c>
      <c r="G2634">
        <v>9</v>
      </c>
      <c r="H2634" s="7">
        <v>145.09</v>
      </c>
      <c r="I2634" t="s">
        <v>103</v>
      </c>
      <c r="J2634" t="s">
        <v>72</v>
      </c>
      <c r="K2634">
        <v>20</v>
      </c>
      <c r="L2634" s="7">
        <f t="shared" si="124"/>
        <v>1305.81</v>
      </c>
      <c r="M2634" s="7"/>
      <c r="O2634">
        <f t="shared" si="125"/>
        <v>2</v>
      </c>
      <c r="Q2634" t="s">
        <v>104</v>
      </c>
    </row>
    <row r="2635" spans="1:17" x14ac:dyDescent="0.3">
      <c r="A2635" t="s">
        <v>3718</v>
      </c>
      <c r="B2635" s="6">
        <v>45121</v>
      </c>
      <c r="C2635" s="6" t="str">
        <f t="shared" si="123"/>
        <v>Jul</v>
      </c>
      <c r="D2635" t="s">
        <v>1229</v>
      </c>
      <c r="E2635" t="s">
        <v>40</v>
      </c>
      <c r="F2635" t="s">
        <v>313</v>
      </c>
      <c r="G2635">
        <v>9</v>
      </c>
      <c r="H2635" s="7">
        <v>23.8</v>
      </c>
      <c r="I2635" t="s">
        <v>21</v>
      </c>
      <c r="J2635" t="s">
        <v>42</v>
      </c>
      <c r="K2635">
        <v>5</v>
      </c>
      <c r="L2635" s="7">
        <f t="shared" si="124"/>
        <v>214.20000000000002</v>
      </c>
      <c r="M2635" s="7"/>
      <c r="O2635">
        <f t="shared" si="125"/>
        <v>2</v>
      </c>
      <c r="Q2635" t="s">
        <v>23</v>
      </c>
    </row>
    <row r="2636" spans="1:17" x14ac:dyDescent="0.3">
      <c r="A2636" t="s">
        <v>3719</v>
      </c>
      <c r="B2636" s="6">
        <v>45286</v>
      </c>
      <c r="C2636" s="6" t="str">
        <f t="shared" si="123"/>
        <v>Dec</v>
      </c>
      <c r="D2636" t="s">
        <v>336</v>
      </c>
      <c r="E2636" t="s">
        <v>50</v>
      </c>
      <c r="F2636" t="s">
        <v>575</v>
      </c>
      <c r="G2636">
        <v>8</v>
      </c>
      <c r="H2636" s="7">
        <v>497.32</v>
      </c>
      <c r="I2636" t="s">
        <v>32</v>
      </c>
      <c r="J2636" t="s">
        <v>28</v>
      </c>
      <c r="K2636">
        <v>5</v>
      </c>
      <c r="L2636" s="7">
        <f t="shared" si="124"/>
        <v>3978.56</v>
      </c>
      <c r="M2636" s="7"/>
      <c r="O2636">
        <f t="shared" si="125"/>
        <v>5</v>
      </c>
      <c r="Q2636" t="s">
        <v>33</v>
      </c>
    </row>
    <row r="2637" spans="1:17" x14ac:dyDescent="0.3">
      <c r="A2637" t="s">
        <v>3720</v>
      </c>
      <c r="B2637" s="6">
        <v>45220</v>
      </c>
      <c r="C2637" s="6" t="str">
        <f t="shared" si="123"/>
        <v>Oct</v>
      </c>
      <c r="D2637" t="s">
        <v>2463</v>
      </c>
      <c r="E2637" t="s">
        <v>19</v>
      </c>
      <c r="F2637" t="s">
        <v>434</v>
      </c>
      <c r="G2637">
        <v>5</v>
      </c>
      <c r="H2637" s="7">
        <v>243.58</v>
      </c>
      <c r="I2637" t="s">
        <v>46</v>
      </c>
      <c r="J2637" t="s">
        <v>72</v>
      </c>
      <c r="K2637">
        <v>5</v>
      </c>
      <c r="L2637" s="7">
        <f t="shared" si="124"/>
        <v>1217.9000000000001</v>
      </c>
      <c r="M2637" s="7"/>
      <c r="O2637">
        <f t="shared" si="125"/>
        <v>2</v>
      </c>
      <c r="Q2637" t="s">
        <v>47</v>
      </c>
    </row>
    <row r="2638" spans="1:17" x14ac:dyDescent="0.3">
      <c r="A2638" t="s">
        <v>3721</v>
      </c>
      <c r="B2638" s="6">
        <v>45104</v>
      </c>
      <c r="C2638" s="6" t="str">
        <f t="shared" si="123"/>
        <v>Jun</v>
      </c>
      <c r="D2638" t="s">
        <v>1600</v>
      </c>
      <c r="E2638" t="s">
        <v>26</v>
      </c>
      <c r="F2638" t="s">
        <v>472</v>
      </c>
      <c r="G2638">
        <v>1</v>
      </c>
      <c r="H2638" s="7">
        <v>379.22</v>
      </c>
      <c r="I2638" t="s">
        <v>103</v>
      </c>
      <c r="J2638" t="s">
        <v>19</v>
      </c>
      <c r="K2638">
        <v>10</v>
      </c>
      <c r="L2638" s="7">
        <f t="shared" si="124"/>
        <v>379.22</v>
      </c>
      <c r="M2638" s="7"/>
      <c r="O2638">
        <f t="shared" si="125"/>
        <v>2</v>
      </c>
      <c r="Q2638" t="s">
        <v>104</v>
      </c>
    </row>
    <row r="2639" spans="1:17" x14ac:dyDescent="0.3">
      <c r="A2639" t="s">
        <v>3722</v>
      </c>
      <c r="B2639" s="6">
        <v>45102</v>
      </c>
      <c r="C2639" s="6" t="str">
        <f t="shared" si="123"/>
        <v>Jun</v>
      </c>
      <c r="D2639" t="s">
        <v>197</v>
      </c>
      <c r="E2639" t="s">
        <v>19</v>
      </c>
      <c r="F2639" t="s">
        <v>188</v>
      </c>
      <c r="G2639">
        <v>9</v>
      </c>
      <c r="H2639" s="7">
        <v>228.9</v>
      </c>
      <c r="I2639" t="s">
        <v>64</v>
      </c>
      <c r="J2639" t="s">
        <v>42</v>
      </c>
      <c r="K2639">
        <v>15</v>
      </c>
      <c r="L2639" s="7">
        <f t="shared" si="124"/>
        <v>2060.1</v>
      </c>
      <c r="M2639" s="7"/>
      <c r="O2639">
        <f t="shared" si="125"/>
        <v>2</v>
      </c>
      <c r="Q2639" t="s">
        <v>65</v>
      </c>
    </row>
    <row r="2640" spans="1:17" x14ac:dyDescent="0.3">
      <c r="A2640" t="s">
        <v>3723</v>
      </c>
      <c r="B2640" s="6">
        <v>45274</v>
      </c>
      <c r="C2640" s="6" t="str">
        <f t="shared" si="123"/>
        <v>Dec</v>
      </c>
      <c r="D2640" t="s">
        <v>802</v>
      </c>
      <c r="E2640" t="s">
        <v>62</v>
      </c>
      <c r="F2640" t="s">
        <v>800</v>
      </c>
      <c r="G2640">
        <v>1</v>
      </c>
      <c r="H2640" s="7">
        <v>26.37</v>
      </c>
      <c r="I2640" t="s">
        <v>32</v>
      </c>
      <c r="J2640" t="s">
        <v>87</v>
      </c>
      <c r="K2640">
        <v>10</v>
      </c>
      <c r="L2640" s="7">
        <f t="shared" si="124"/>
        <v>26.37</v>
      </c>
      <c r="M2640" s="7"/>
      <c r="O2640">
        <f t="shared" si="125"/>
        <v>2</v>
      </c>
      <c r="Q2640" t="s">
        <v>33</v>
      </c>
    </row>
    <row r="2641" spans="1:17" x14ac:dyDescent="0.3">
      <c r="A2641" t="s">
        <v>3724</v>
      </c>
      <c r="B2641" s="6">
        <v>45039</v>
      </c>
      <c r="C2641" s="6" t="str">
        <f t="shared" si="123"/>
        <v>Apr</v>
      </c>
      <c r="D2641" t="s">
        <v>3725</v>
      </c>
      <c r="E2641" t="s">
        <v>19</v>
      </c>
      <c r="F2641" t="s">
        <v>185</v>
      </c>
      <c r="G2641">
        <v>8</v>
      </c>
      <c r="H2641" s="7">
        <v>158.25</v>
      </c>
      <c r="I2641" t="s">
        <v>21</v>
      </c>
      <c r="J2641" t="s">
        <v>72</v>
      </c>
      <c r="K2641">
        <v>5</v>
      </c>
      <c r="L2641" s="7">
        <f t="shared" si="124"/>
        <v>1266</v>
      </c>
      <c r="M2641" s="7"/>
      <c r="O2641">
        <f t="shared" si="125"/>
        <v>2</v>
      </c>
      <c r="Q2641" t="s">
        <v>23</v>
      </c>
    </row>
    <row r="2642" spans="1:17" x14ac:dyDescent="0.3">
      <c r="A2642" t="s">
        <v>3726</v>
      </c>
      <c r="B2642" s="6">
        <v>45252</v>
      </c>
      <c r="C2642" s="6" t="str">
        <f t="shared" si="123"/>
        <v>Nov</v>
      </c>
      <c r="D2642" t="s">
        <v>1511</v>
      </c>
      <c r="E2642" t="s">
        <v>19</v>
      </c>
      <c r="F2642" t="s">
        <v>575</v>
      </c>
      <c r="G2642">
        <v>5</v>
      </c>
      <c r="H2642" s="7">
        <v>163.44999999999999</v>
      </c>
      <c r="I2642" t="s">
        <v>21</v>
      </c>
      <c r="J2642" t="s">
        <v>72</v>
      </c>
      <c r="K2642">
        <v>20</v>
      </c>
      <c r="L2642" s="7">
        <f t="shared" si="124"/>
        <v>817.25</v>
      </c>
      <c r="M2642" s="7"/>
      <c r="O2642">
        <f t="shared" si="125"/>
        <v>2</v>
      </c>
      <c r="Q2642" t="s">
        <v>23</v>
      </c>
    </row>
    <row r="2643" spans="1:17" x14ac:dyDescent="0.3">
      <c r="A2643" t="s">
        <v>3727</v>
      </c>
      <c r="B2643" s="6">
        <v>45194</v>
      </c>
      <c r="C2643" s="6" t="str">
        <f t="shared" si="123"/>
        <v>Sep</v>
      </c>
      <c r="D2643" t="s">
        <v>1330</v>
      </c>
      <c r="E2643" t="s">
        <v>19</v>
      </c>
      <c r="F2643" t="s">
        <v>657</v>
      </c>
      <c r="G2643">
        <v>3</v>
      </c>
      <c r="H2643" s="7">
        <v>419.98</v>
      </c>
      <c r="I2643" t="s">
        <v>32</v>
      </c>
      <c r="J2643" t="s">
        <v>19</v>
      </c>
      <c r="K2643">
        <v>10</v>
      </c>
      <c r="L2643" s="7">
        <f t="shared" si="124"/>
        <v>1259.94</v>
      </c>
      <c r="M2643" s="7"/>
      <c r="O2643">
        <f t="shared" si="125"/>
        <v>2</v>
      </c>
      <c r="Q2643" t="s">
        <v>33</v>
      </c>
    </row>
    <row r="2644" spans="1:17" x14ac:dyDescent="0.3">
      <c r="A2644" t="s">
        <v>3728</v>
      </c>
      <c r="B2644" s="6">
        <v>45041</v>
      </c>
      <c r="C2644" s="6" t="str">
        <f t="shared" si="123"/>
        <v>Apr</v>
      </c>
      <c r="D2644" t="s">
        <v>429</v>
      </c>
      <c r="E2644" t="s">
        <v>19</v>
      </c>
      <c r="F2644" t="s">
        <v>54</v>
      </c>
      <c r="G2644">
        <v>7</v>
      </c>
      <c r="H2644" s="7">
        <v>328.84</v>
      </c>
      <c r="I2644" t="s">
        <v>32</v>
      </c>
      <c r="J2644" t="s">
        <v>72</v>
      </c>
      <c r="K2644">
        <v>10</v>
      </c>
      <c r="L2644" s="7">
        <f t="shared" si="124"/>
        <v>2301.8799999999997</v>
      </c>
      <c r="M2644" s="7"/>
      <c r="O2644">
        <f t="shared" si="125"/>
        <v>2</v>
      </c>
      <c r="Q2644" t="s">
        <v>33</v>
      </c>
    </row>
    <row r="2645" spans="1:17" x14ac:dyDescent="0.3">
      <c r="A2645" t="s">
        <v>3729</v>
      </c>
      <c r="B2645" s="6">
        <v>45143</v>
      </c>
      <c r="C2645" s="6" t="str">
        <f t="shared" si="123"/>
        <v>Aug</v>
      </c>
      <c r="D2645" t="s">
        <v>1193</v>
      </c>
      <c r="E2645" t="s">
        <v>36</v>
      </c>
      <c r="F2645" t="s">
        <v>372</v>
      </c>
      <c r="G2645">
        <v>7</v>
      </c>
      <c r="H2645" s="7">
        <v>141.34</v>
      </c>
      <c r="I2645" t="s">
        <v>103</v>
      </c>
      <c r="J2645" t="s">
        <v>87</v>
      </c>
      <c r="K2645">
        <v>20</v>
      </c>
      <c r="L2645" s="7">
        <f t="shared" si="124"/>
        <v>989.38</v>
      </c>
      <c r="M2645" s="7"/>
      <c r="O2645">
        <f t="shared" si="125"/>
        <v>2</v>
      </c>
      <c r="Q2645" t="s">
        <v>104</v>
      </c>
    </row>
    <row r="2646" spans="1:17" x14ac:dyDescent="0.3">
      <c r="A2646" t="s">
        <v>3730</v>
      </c>
      <c r="B2646" s="6">
        <v>45178</v>
      </c>
      <c r="C2646" s="6" t="str">
        <f t="shared" si="123"/>
        <v>Sep</v>
      </c>
      <c r="D2646" t="s">
        <v>266</v>
      </c>
      <c r="E2646" t="s">
        <v>26</v>
      </c>
      <c r="F2646" t="s">
        <v>687</v>
      </c>
      <c r="G2646">
        <v>9</v>
      </c>
      <c r="H2646" s="7">
        <v>484.03</v>
      </c>
      <c r="I2646" t="s">
        <v>64</v>
      </c>
      <c r="J2646" t="s">
        <v>42</v>
      </c>
      <c r="K2646">
        <v>5</v>
      </c>
      <c r="L2646" s="7">
        <f t="shared" si="124"/>
        <v>4356.2699999999995</v>
      </c>
      <c r="M2646" s="7"/>
      <c r="O2646">
        <f t="shared" si="125"/>
        <v>5</v>
      </c>
      <c r="Q2646" t="s">
        <v>65</v>
      </c>
    </row>
    <row r="2647" spans="1:17" x14ac:dyDescent="0.3">
      <c r="A2647" t="s">
        <v>3731</v>
      </c>
      <c r="B2647" s="6">
        <v>44968</v>
      </c>
      <c r="C2647" s="6" t="str">
        <f t="shared" si="123"/>
        <v>Feb</v>
      </c>
      <c r="D2647" t="s">
        <v>3732</v>
      </c>
      <c r="E2647" t="s">
        <v>62</v>
      </c>
      <c r="F2647" t="s">
        <v>469</v>
      </c>
      <c r="G2647">
        <v>7</v>
      </c>
      <c r="H2647" s="7">
        <v>164.16</v>
      </c>
      <c r="I2647" t="s">
        <v>46</v>
      </c>
      <c r="J2647" t="s">
        <v>42</v>
      </c>
      <c r="K2647">
        <v>10</v>
      </c>
      <c r="L2647" s="7">
        <f t="shared" si="124"/>
        <v>1149.1199999999999</v>
      </c>
      <c r="M2647" s="7"/>
      <c r="O2647">
        <f t="shared" si="125"/>
        <v>2</v>
      </c>
      <c r="Q2647" t="s">
        <v>47</v>
      </c>
    </row>
    <row r="2648" spans="1:17" x14ac:dyDescent="0.3">
      <c r="A2648" t="s">
        <v>3733</v>
      </c>
      <c r="B2648" s="6">
        <v>44987</v>
      </c>
      <c r="C2648" s="6" t="str">
        <f t="shared" si="123"/>
        <v>Mar</v>
      </c>
      <c r="D2648" t="s">
        <v>858</v>
      </c>
      <c r="E2648" t="s">
        <v>26</v>
      </c>
      <c r="F2648" t="s">
        <v>37</v>
      </c>
      <c r="G2648">
        <v>3</v>
      </c>
      <c r="H2648" s="7">
        <v>499.13</v>
      </c>
      <c r="I2648" t="s">
        <v>32</v>
      </c>
      <c r="J2648" t="s">
        <v>87</v>
      </c>
      <c r="K2648">
        <v>0</v>
      </c>
      <c r="L2648" s="7">
        <f t="shared" si="124"/>
        <v>1497.3899999999999</v>
      </c>
      <c r="M2648" s="7"/>
      <c r="O2648">
        <f t="shared" si="125"/>
        <v>2</v>
      </c>
      <c r="Q2648" t="s">
        <v>33</v>
      </c>
    </row>
    <row r="2649" spans="1:17" x14ac:dyDescent="0.3">
      <c r="A2649" t="s">
        <v>3734</v>
      </c>
      <c r="B2649" s="6">
        <v>45075</v>
      </c>
      <c r="C2649" s="6" t="str">
        <f t="shared" si="123"/>
        <v>May</v>
      </c>
      <c r="D2649" t="s">
        <v>3735</v>
      </c>
      <c r="E2649" t="s">
        <v>31</v>
      </c>
      <c r="F2649" t="s">
        <v>504</v>
      </c>
      <c r="G2649">
        <v>1</v>
      </c>
      <c r="H2649" s="7">
        <v>498.1</v>
      </c>
      <c r="I2649" t="s">
        <v>21</v>
      </c>
      <c r="J2649" t="s">
        <v>72</v>
      </c>
      <c r="K2649">
        <v>0</v>
      </c>
      <c r="L2649" s="7">
        <f t="shared" si="124"/>
        <v>498.1</v>
      </c>
      <c r="M2649" s="7"/>
      <c r="O2649">
        <f t="shared" si="125"/>
        <v>2</v>
      </c>
      <c r="Q2649" t="s">
        <v>23</v>
      </c>
    </row>
    <row r="2650" spans="1:17" x14ac:dyDescent="0.3">
      <c r="A2650" t="s">
        <v>3736</v>
      </c>
      <c r="B2650" s="6">
        <v>45079</v>
      </c>
      <c r="C2650" s="6" t="str">
        <f t="shared" si="123"/>
        <v>Jun</v>
      </c>
      <c r="D2650" t="s">
        <v>2057</v>
      </c>
      <c r="E2650" t="s">
        <v>19</v>
      </c>
      <c r="F2650" t="s">
        <v>708</v>
      </c>
      <c r="G2650">
        <v>8</v>
      </c>
      <c r="H2650" s="7">
        <v>99.65</v>
      </c>
      <c r="I2650" t="s">
        <v>21</v>
      </c>
      <c r="J2650" t="s">
        <v>19</v>
      </c>
      <c r="K2650">
        <v>20</v>
      </c>
      <c r="L2650" s="7">
        <f t="shared" si="124"/>
        <v>797.2</v>
      </c>
      <c r="M2650" s="7"/>
      <c r="O2650">
        <f t="shared" si="125"/>
        <v>2</v>
      </c>
      <c r="Q2650" t="s">
        <v>23</v>
      </c>
    </row>
    <row r="2651" spans="1:17" x14ac:dyDescent="0.3">
      <c r="A2651" t="s">
        <v>3737</v>
      </c>
      <c r="B2651" s="6">
        <v>44969</v>
      </c>
      <c r="C2651" s="6" t="str">
        <f t="shared" si="123"/>
        <v>Feb</v>
      </c>
      <c r="D2651" t="s">
        <v>3304</v>
      </c>
      <c r="E2651" t="s">
        <v>40</v>
      </c>
      <c r="F2651" t="s">
        <v>472</v>
      </c>
      <c r="G2651">
        <v>3</v>
      </c>
      <c r="H2651" s="7">
        <v>159.81</v>
      </c>
      <c r="I2651" t="s">
        <v>64</v>
      </c>
      <c r="J2651" t="s">
        <v>28</v>
      </c>
      <c r="K2651">
        <v>10</v>
      </c>
      <c r="L2651" s="7">
        <f t="shared" si="124"/>
        <v>479.43</v>
      </c>
      <c r="M2651" s="7"/>
      <c r="O2651">
        <f t="shared" si="125"/>
        <v>2</v>
      </c>
      <c r="Q2651" t="s">
        <v>65</v>
      </c>
    </row>
    <row r="2652" spans="1:17" x14ac:dyDescent="0.3">
      <c r="A2652" t="s">
        <v>3738</v>
      </c>
      <c r="B2652" s="6">
        <v>45012</v>
      </c>
      <c r="C2652" s="6" t="str">
        <f t="shared" si="123"/>
        <v>Mar</v>
      </c>
      <c r="D2652" t="s">
        <v>2968</v>
      </c>
      <c r="E2652" t="s">
        <v>31</v>
      </c>
      <c r="F2652" t="s">
        <v>1063</v>
      </c>
      <c r="G2652">
        <v>8</v>
      </c>
      <c r="H2652" s="7">
        <v>245.59</v>
      </c>
      <c r="I2652" t="s">
        <v>21</v>
      </c>
      <c r="J2652" t="s">
        <v>42</v>
      </c>
      <c r="K2652">
        <v>20</v>
      </c>
      <c r="L2652" s="7">
        <f t="shared" si="124"/>
        <v>1964.72</v>
      </c>
      <c r="M2652" s="7"/>
      <c r="O2652">
        <f t="shared" si="125"/>
        <v>2</v>
      </c>
      <c r="Q2652" t="s">
        <v>23</v>
      </c>
    </row>
    <row r="2653" spans="1:17" x14ac:dyDescent="0.3">
      <c r="A2653" t="s">
        <v>3739</v>
      </c>
      <c r="B2653" s="6">
        <v>45014</v>
      </c>
      <c r="C2653" s="6" t="str">
        <f t="shared" si="123"/>
        <v>Mar</v>
      </c>
      <c r="D2653" t="s">
        <v>715</v>
      </c>
      <c r="E2653" t="s">
        <v>50</v>
      </c>
      <c r="F2653" t="s">
        <v>708</v>
      </c>
      <c r="G2653">
        <v>8</v>
      </c>
      <c r="H2653" s="7">
        <v>333.73</v>
      </c>
      <c r="I2653" t="s">
        <v>46</v>
      </c>
      <c r="J2653" t="s">
        <v>72</v>
      </c>
      <c r="K2653">
        <v>10</v>
      </c>
      <c r="L2653" s="7">
        <f t="shared" si="124"/>
        <v>2669.84</v>
      </c>
      <c r="M2653" s="7"/>
      <c r="O2653">
        <f t="shared" si="125"/>
        <v>3</v>
      </c>
      <c r="Q2653" t="s">
        <v>47</v>
      </c>
    </row>
    <row r="2654" spans="1:17" x14ac:dyDescent="0.3">
      <c r="A2654" t="s">
        <v>3740</v>
      </c>
      <c r="B2654" s="6">
        <v>45274</v>
      </c>
      <c r="C2654" s="6" t="str">
        <f t="shared" si="123"/>
        <v>Dec</v>
      </c>
      <c r="D2654" t="s">
        <v>1697</v>
      </c>
      <c r="E2654" t="s">
        <v>62</v>
      </c>
      <c r="F2654" t="s">
        <v>665</v>
      </c>
      <c r="G2654">
        <v>5</v>
      </c>
      <c r="H2654" s="7">
        <v>252.16</v>
      </c>
      <c r="I2654" t="s">
        <v>46</v>
      </c>
      <c r="J2654" t="s">
        <v>42</v>
      </c>
      <c r="K2654">
        <v>10</v>
      </c>
      <c r="L2654" s="7">
        <f t="shared" si="124"/>
        <v>1260.8</v>
      </c>
      <c r="M2654" s="7"/>
      <c r="O2654">
        <f t="shared" si="125"/>
        <v>2</v>
      </c>
      <c r="Q2654" t="s">
        <v>47</v>
      </c>
    </row>
    <row r="2655" spans="1:17" x14ac:dyDescent="0.3">
      <c r="A2655" t="s">
        <v>3741</v>
      </c>
      <c r="B2655" s="6">
        <v>45169</v>
      </c>
      <c r="C2655" s="6" t="str">
        <f t="shared" si="123"/>
        <v>Aug</v>
      </c>
      <c r="D2655" t="s">
        <v>2236</v>
      </c>
      <c r="E2655" t="s">
        <v>40</v>
      </c>
      <c r="F2655" t="s">
        <v>706</v>
      </c>
      <c r="G2655">
        <v>1</v>
      </c>
      <c r="H2655" s="7">
        <v>484.87</v>
      </c>
      <c r="I2655" t="s">
        <v>19</v>
      </c>
      <c r="J2655" t="s">
        <v>22</v>
      </c>
      <c r="K2655">
        <v>20</v>
      </c>
      <c r="L2655" s="7">
        <f t="shared" si="124"/>
        <v>484.87</v>
      </c>
      <c r="M2655" s="7"/>
      <c r="O2655">
        <f t="shared" si="125"/>
        <v>2</v>
      </c>
      <c r="Q2655" t="s">
        <v>19</v>
      </c>
    </row>
    <row r="2656" spans="1:17" x14ac:dyDescent="0.3">
      <c r="A2656" t="s">
        <v>3742</v>
      </c>
      <c r="B2656" s="6">
        <v>45161</v>
      </c>
      <c r="C2656" s="6" t="str">
        <f t="shared" si="123"/>
        <v>Aug</v>
      </c>
      <c r="D2656" t="s">
        <v>2754</v>
      </c>
      <c r="E2656" t="s">
        <v>40</v>
      </c>
      <c r="F2656" t="s">
        <v>684</v>
      </c>
      <c r="G2656">
        <v>7</v>
      </c>
      <c r="H2656" s="7">
        <v>363.37</v>
      </c>
      <c r="I2656" t="s">
        <v>32</v>
      </c>
      <c r="J2656" t="s">
        <v>19</v>
      </c>
      <c r="K2656">
        <v>10</v>
      </c>
      <c r="L2656" s="7">
        <f t="shared" si="124"/>
        <v>2543.59</v>
      </c>
      <c r="M2656" s="7"/>
      <c r="O2656">
        <f t="shared" si="125"/>
        <v>3</v>
      </c>
      <c r="Q2656" t="s">
        <v>33</v>
      </c>
    </row>
    <row r="2657" spans="1:17" x14ac:dyDescent="0.3">
      <c r="A2657" t="s">
        <v>3743</v>
      </c>
      <c r="B2657" s="6">
        <v>45269</v>
      </c>
      <c r="C2657" s="6" t="str">
        <f t="shared" si="123"/>
        <v>Dec</v>
      </c>
      <c r="D2657" t="s">
        <v>1795</v>
      </c>
      <c r="E2657" t="s">
        <v>62</v>
      </c>
      <c r="F2657" t="s">
        <v>488</v>
      </c>
      <c r="G2657">
        <v>5</v>
      </c>
      <c r="H2657" s="7">
        <v>109.96</v>
      </c>
      <c r="I2657" t="s">
        <v>46</v>
      </c>
      <c r="J2657" t="s">
        <v>72</v>
      </c>
      <c r="K2657">
        <v>10</v>
      </c>
      <c r="L2657" s="7">
        <f t="shared" si="124"/>
        <v>549.79999999999995</v>
      </c>
      <c r="M2657" s="7"/>
      <c r="O2657">
        <f t="shared" si="125"/>
        <v>2</v>
      </c>
      <c r="Q2657" t="s">
        <v>47</v>
      </c>
    </row>
    <row r="2658" spans="1:17" x14ac:dyDescent="0.3">
      <c r="A2658" t="s">
        <v>3744</v>
      </c>
      <c r="B2658" s="6">
        <v>44989</v>
      </c>
      <c r="C2658" s="6" t="str">
        <f t="shared" si="123"/>
        <v>Mar</v>
      </c>
      <c r="D2658" t="s">
        <v>1242</v>
      </c>
      <c r="E2658" t="s">
        <v>19</v>
      </c>
      <c r="F2658" t="s">
        <v>975</v>
      </c>
      <c r="G2658">
        <v>8</v>
      </c>
      <c r="H2658" s="7">
        <v>57.02</v>
      </c>
      <c r="I2658" t="s">
        <v>46</v>
      </c>
      <c r="J2658" t="s">
        <v>19</v>
      </c>
      <c r="K2658">
        <v>5</v>
      </c>
      <c r="L2658" s="7">
        <f t="shared" si="124"/>
        <v>456.16</v>
      </c>
      <c r="M2658" s="7"/>
      <c r="O2658">
        <f t="shared" si="125"/>
        <v>2</v>
      </c>
      <c r="Q2658" t="s">
        <v>47</v>
      </c>
    </row>
    <row r="2659" spans="1:17" x14ac:dyDescent="0.3">
      <c r="A2659" t="s">
        <v>3745</v>
      </c>
      <c r="B2659" s="6">
        <v>44947</v>
      </c>
      <c r="C2659" s="6" t="str">
        <f t="shared" si="123"/>
        <v>Jan</v>
      </c>
      <c r="D2659" t="s">
        <v>1582</v>
      </c>
      <c r="E2659" t="s">
        <v>31</v>
      </c>
      <c r="F2659" t="s">
        <v>504</v>
      </c>
      <c r="G2659">
        <v>9</v>
      </c>
      <c r="H2659" s="7">
        <v>345.76</v>
      </c>
      <c r="I2659" t="s">
        <v>46</v>
      </c>
      <c r="J2659" t="s">
        <v>19</v>
      </c>
      <c r="K2659">
        <v>10</v>
      </c>
      <c r="L2659" s="7">
        <f t="shared" si="124"/>
        <v>3111.84</v>
      </c>
      <c r="M2659" s="7"/>
      <c r="O2659">
        <f t="shared" si="125"/>
        <v>4</v>
      </c>
      <c r="Q2659" t="s">
        <v>47</v>
      </c>
    </row>
    <row r="2660" spans="1:17" x14ac:dyDescent="0.3">
      <c r="A2660" t="s">
        <v>3746</v>
      </c>
      <c r="B2660" s="6">
        <v>45001</v>
      </c>
      <c r="C2660" s="6" t="str">
        <f t="shared" si="123"/>
        <v>Mar</v>
      </c>
      <c r="D2660" t="s">
        <v>462</v>
      </c>
      <c r="E2660" t="s">
        <v>19</v>
      </c>
      <c r="F2660" t="s">
        <v>586</v>
      </c>
      <c r="G2660">
        <v>7</v>
      </c>
      <c r="H2660" s="7">
        <v>83.43</v>
      </c>
      <c r="I2660" t="s">
        <v>21</v>
      </c>
      <c r="J2660" t="s">
        <v>72</v>
      </c>
      <c r="K2660">
        <v>10</v>
      </c>
      <c r="L2660" s="7">
        <f t="shared" si="124"/>
        <v>584.01</v>
      </c>
      <c r="M2660" s="7"/>
      <c r="O2660">
        <f t="shared" si="125"/>
        <v>2</v>
      </c>
      <c r="Q2660" t="s">
        <v>23</v>
      </c>
    </row>
    <row r="2661" spans="1:17" x14ac:dyDescent="0.3">
      <c r="A2661" t="s">
        <v>3747</v>
      </c>
      <c r="B2661" s="6">
        <v>45203</v>
      </c>
      <c r="C2661" s="6" t="str">
        <f t="shared" si="123"/>
        <v>Oct</v>
      </c>
      <c r="D2661" t="s">
        <v>3565</v>
      </c>
      <c r="E2661" t="s">
        <v>40</v>
      </c>
      <c r="F2661" t="s">
        <v>789</v>
      </c>
      <c r="G2661">
        <v>7</v>
      </c>
      <c r="H2661" s="7">
        <v>394.9</v>
      </c>
      <c r="I2661" t="s">
        <v>64</v>
      </c>
      <c r="J2661" t="s">
        <v>19</v>
      </c>
      <c r="K2661">
        <v>10</v>
      </c>
      <c r="L2661" s="7">
        <f t="shared" si="124"/>
        <v>2764.2999999999997</v>
      </c>
      <c r="M2661" s="7"/>
      <c r="O2661">
        <f t="shared" si="125"/>
        <v>3</v>
      </c>
      <c r="Q2661" t="s">
        <v>65</v>
      </c>
    </row>
    <row r="2662" spans="1:17" x14ac:dyDescent="0.3">
      <c r="A2662" t="s">
        <v>3748</v>
      </c>
      <c r="B2662" s="6">
        <v>45073</v>
      </c>
      <c r="C2662" s="6" t="str">
        <f t="shared" si="123"/>
        <v>May</v>
      </c>
      <c r="D2662" t="s">
        <v>1740</v>
      </c>
      <c r="E2662" t="s">
        <v>26</v>
      </c>
      <c r="F2662" t="s">
        <v>356</v>
      </c>
      <c r="G2662">
        <v>1</v>
      </c>
      <c r="H2662" s="7">
        <v>158.96</v>
      </c>
      <c r="I2662" t="s">
        <v>64</v>
      </c>
      <c r="J2662" t="s">
        <v>19</v>
      </c>
      <c r="K2662">
        <v>10</v>
      </c>
      <c r="L2662" s="7">
        <f t="shared" si="124"/>
        <v>158.96</v>
      </c>
      <c r="M2662" s="7"/>
      <c r="O2662">
        <f t="shared" si="125"/>
        <v>2</v>
      </c>
      <c r="Q2662" t="s">
        <v>65</v>
      </c>
    </row>
    <row r="2663" spans="1:17" x14ac:dyDescent="0.3">
      <c r="A2663" t="s">
        <v>3749</v>
      </c>
      <c r="B2663" s="6">
        <v>45195</v>
      </c>
      <c r="C2663" s="6" t="str">
        <f t="shared" si="123"/>
        <v>Sep</v>
      </c>
      <c r="D2663" t="s">
        <v>1269</v>
      </c>
      <c r="E2663" t="s">
        <v>19</v>
      </c>
      <c r="F2663" t="s">
        <v>713</v>
      </c>
      <c r="G2663">
        <v>4</v>
      </c>
      <c r="H2663" s="7">
        <v>166.81</v>
      </c>
      <c r="I2663" t="s">
        <v>32</v>
      </c>
      <c r="J2663" t="s">
        <v>42</v>
      </c>
      <c r="K2663">
        <v>20</v>
      </c>
      <c r="L2663" s="7">
        <f t="shared" si="124"/>
        <v>667.24</v>
      </c>
      <c r="M2663" s="7"/>
      <c r="O2663">
        <f t="shared" si="125"/>
        <v>2</v>
      </c>
      <c r="Q2663" t="s">
        <v>33</v>
      </c>
    </row>
    <row r="2664" spans="1:17" x14ac:dyDescent="0.3">
      <c r="A2664" t="s">
        <v>3750</v>
      </c>
      <c r="B2664" s="6">
        <v>44958</v>
      </c>
      <c r="C2664" s="6" t="str">
        <f t="shared" si="123"/>
        <v>Feb</v>
      </c>
      <c r="D2664" t="s">
        <v>3751</v>
      </c>
      <c r="E2664" t="s">
        <v>50</v>
      </c>
      <c r="F2664" t="s">
        <v>833</v>
      </c>
      <c r="G2664">
        <v>2</v>
      </c>
      <c r="H2664" s="7">
        <v>10.35</v>
      </c>
      <c r="I2664" t="s">
        <v>103</v>
      </c>
      <c r="J2664" t="s">
        <v>72</v>
      </c>
      <c r="K2664">
        <v>0</v>
      </c>
      <c r="L2664" s="7">
        <f t="shared" si="124"/>
        <v>20.7</v>
      </c>
      <c r="M2664" s="7"/>
      <c r="O2664">
        <f t="shared" si="125"/>
        <v>2</v>
      </c>
      <c r="Q2664" t="s">
        <v>104</v>
      </c>
    </row>
    <row r="2665" spans="1:17" x14ac:dyDescent="0.3">
      <c r="A2665" t="s">
        <v>3752</v>
      </c>
      <c r="B2665" s="6">
        <v>45240</v>
      </c>
      <c r="C2665" s="6" t="str">
        <f t="shared" si="123"/>
        <v>Nov</v>
      </c>
      <c r="D2665" t="s">
        <v>2102</v>
      </c>
      <c r="E2665" t="s">
        <v>19</v>
      </c>
      <c r="F2665" t="s">
        <v>270</v>
      </c>
      <c r="G2665">
        <v>2</v>
      </c>
      <c r="H2665" s="7">
        <v>352</v>
      </c>
      <c r="I2665" t="s">
        <v>19</v>
      </c>
      <c r="J2665" t="s">
        <v>22</v>
      </c>
      <c r="K2665">
        <v>15</v>
      </c>
      <c r="L2665" s="7">
        <f t="shared" si="124"/>
        <v>704</v>
      </c>
      <c r="M2665" s="7"/>
      <c r="O2665">
        <f t="shared" si="125"/>
        <v>2</v>
      </c>
      <c r="Q2665" t="s">
        <v>19</v>
      </c>
    </row>
    <row r="2666" spans="1:17" x14ac:dyDescent="0.3">
      <c r="A2666" t="s">
        <v>3753</v>
      </c>
      <c r="B2666" s="6">
        <v>45045</v>
      </c>
      <c r="C2666" s="6" t="str">
        <f t="shared" si="123"/>
        <v>Apr</v>
      </c>
      <c r="D2666" t="s">
        <v>1821</v>
      </c>
      <c r="E2666" t="s">
        <v>40</v>
      </c>
      <c r="F2666" t="s">
        <v>1325</v>
      </c>
      <c r="G2666">
        <v>2</v>
      </c>
      <c r="H2666" s="7">
        <v>61.07</v>
      </c>
      <c r="I2666" t="s">
        <v>19</v>
      </c>
      <c r="J2666" t="s">
        <v>28</v>
      </c>
      <c r="K2666">
        <v>10</v>
      </c>
      <c r="L2666" s="7">
        <f t="shared" si="124"/>
        <v>122.14</v>
      </c>
      <c r="M2666" s="7"/>
      <c r="O2666">
        <f t="shared" si="125"/>
        <v>2</v>
      </c>
      <c r="Q2666" t="s">
        <v>19</v>
      </c>
    </row>
    <row r="2667" spans="1:17" x14ac:dyDescent="0.3">
      <c r="A2667" t="s">
        <v>3754</v>
      </c>
      <c r="B2667" s="6">
        <v>45230</v>
      </c>
      <c r="C2667" s="6" t="str">
        <f t="shared" si="123"/>
        <v>Oct</v>
      </c>
      <c r="D2667" t="s">
        <v>2327</v>
      </c>
      <c r="E2667" t="s">
        <v>62</v>
      </c>
      <c r="F2667" t="s">
        <v>708</v>
      </c>
      <c r="G2667">
        <v>4</v>
      </c>
      <c r="H2667" s="7">
        <v>387.58</v>
      </c>
      <c r="I2667" t="s">
        <v>32</v>
      </c>
      <c r="J2667" t="s">
        <v>28</v>
      </c>
      <c r="K2667">
        <v>15</v>
      </c>
      <c r="L2667" s="7">
        <f t="shared" si="124"/>
        <v>1550.32</v>
      </c>
      <c r="M2667" s="7"/>
      <c r="O2667">
        <f t="shared" si="125"/>
        <v>2</v>
      </c>
      <c r="Q2667" t="s">
        <v>33</v>
      </c>
    </row>
    <row r="2668" spans="1:17" x14ac:dyDescent="0.3">
      <c r="A2668" t="s">
        <v>3755</v>
      </c>
      <c r="B2668" s="6">
        <v>45208</v>
      </c>
      <c r="C2668" s="6" t="str">
        <f t="shared" si="123"/>
        <v>Oct</v>
      </c>
      <c r="D2668" t="s">
        <v>1670</v>
      </c>
      <c r="E2668" t="s">
        <v>40</v>
      </c>
      <c r="F2668" t="s">
        <v>122</v>
      </c>
      <c r="G2668">
        <v>5</v>
      </c>
      <c r="H2668" s="7">
        <v>248.47</v>
      </c>
      <c r="I2668" t="s">
        <v>21</v>
      </c>
      <c r="J2668" t="s">
        <v>72</v>
      </c>
      <c r="K2668">
        <v>10</v>
      </c>
      <c r="L2668" s="7">
        <f t="shared" si="124"/>
        <v>1242.3499999999999</v>
      </c>
      <c r="M2668" s="7"/>
      <c r="O2668">
        <f t="shared" si="125"/>
        <v>2</v>
      </c>
      <c r="Q2668" t="s">
        <v>23</v>
      </c>
    </row>
    <row r="2669" spans="1:17" x14ac:dyDescent="0.3">
      <c r="A2669" t="s">
        <v>3756</v>
      </c>
      <c r="B2669" s="6">
        <v>45076</v>
      </c>
      <c r="C2669" s="6" t="str">
        <f t="shared" si="123"/>
        <v>May</v>
      </c>
      <c r="D2669" t="s">
        <v>527</v>
      </c>
      <c r="E2669" t="s">
        <v>40</v>
      </c>
      <c r="F2669" t="s">
        <v>474</v>
      </c>
      <c r="G2669">
        <v>4</v>
      </c>
      <c r="H2669" s="7">
        <v>393.22</v>
      </c>
      <c r="I2669" t="s">
        <v>46</v>
      </c>
      <c r="J2669" t="s">
        <v>19</v>
      </c>
      <c r="K2669">
        <v>20</v>
      </c>
      <c r="L2669" s="7">
        <f t="shared" si="124"/>
        <v>1572.88</v>
      </c>
      <c r="M2669" s="7"/>
      <c r="O2669">
        <f t="shared" si="125"/>
        <v>2</v>
      </c>
      <c r="Q2669" t="s">
        <v>47</v>
      </c>
    </row>
    <row r="2670" spans="1:17" x14ac:dyDescent="0.3">
      <c r="A2670" t="s">
        <v>3757</v>
      </c>
      <c r="B2670" s="6">
        <v>44964</v>
      </c>
      <c r="C2670" s="6" t="str">
        <f t="shared" si="123"/>
        <v>Feb</v>
      </c>
      <c r="D2670" t="s">
        <v>626</v>
      </c>
      <c r="E2670" t="s">
        <v>36</v>
      </c>
      <c r="F2670" t="s">
        <v>334</v>
      </c>
      <c r="G2670">
        <v>5</v>
      </c>
      <c r="H2670" s="7">
        <v>294.04000000000002</v>
      </c>
      <c r="I2670" t="s">
        <v>32</v>
      </c>
      <c r="J2670" t="s">
        <v>72</v>
      </c>
      <c r="K2670">
        <v>20</v>
      </c>
      <c r="L2670" s="7">
        <f t="shared" si="124"/>
        <v>1470.2</v>
      </c>
      <c r="M2670" s="7"/>
      <c r="O2670">
        <f t="shared" si="125"/>
        <v>2</v>
      </c>
      <c r="Q2670" t="s">
        <v>33</v>
      </c>
    </row>
    <row r="2671" spans="1:17" x14ac:dyDescent="0.3">
      <c r="A2671" t="s">
        <v>3758</v>
      </c>
      <c r="B2671" s="6">
        <v>44999</v>
      </c>
      <c r="C2671" s="6" t="str">
        <f t="shared" si="123"/>
        <v>Mar</v>
      </c>
      <c r="D2671" t="s">
        <v>2596</v>
      </c>
      <c r="E2671" t="s">
        <v>19</v>
      </c>
      <c r="F2671" t="s">
        <v>1325</v>
      </c>
      <c r="G2671">
        <v>5</v>
      </c>
      <c r="H2671" s="7">
        <v>252.16</v>
      </c>
      <c r="I2671" t="s">
        <v>46</v>
      </c>
      <c r="J2671" t="s">
        <v>19</v>
      </c>
      <c r="K2671">
        <v>10</v>
      </c>
      <c r="L2671" s="7">
        <f t="shared" si="124"/>
        <v>1260.8</v>
      </c>
      <c r="M2671" s="7"/>
      <c r="O2671">
        <f t="shared" si="125"/>
        <v>2</v>
      </c>
      <c r="Q2671" t="s">
        <v>47</v>
      </c>
    </row>
    <row r="2672" spans="1:17" x14ac:dyDescent="0.3">
      <c r="A2672" t="s">
        <v>3759</v>
      </c>
      <c r="B2672" s="6">
        <v>45219</v>
      </c>
      <c r="C2672" s="6" t="str">
        <f t="shared" si="123"/>
        <v>Oct</v>
      </c>
      <c r="D2672" t="s">
        <v>774</v>
      </c>
      <c r="E2672" t="s">
        <v>62</v>
      </c>
      <c r="F2672" t="s">
        <v>231</v>
      </c>
      <c r="G2672">
        <v>3</v>
      </c>
      <c r="H2672" s="7">
        <v>384</v>
      </c>
      <c r="I2672" t="s">
        <v>103</v>
      </c>
      <c r="J2672" t="s">
        <v>72</v>
      </c>
      <c r="K2672">
        <v>10</v>
      </c>
      <c r="L2672" s="7">
        <f t="shared" si="124"/>
        <v>1152</v>
      </c>
      <c r="M2672" s="7"/>
      <c r="O2672">
        <f t="shared" si="125"/>
        <v>2</v>
      </c>
      <c r="Q2672" t="s">
        <v>104</v>
      </c>
    </row>
    <row r="2673" spans="1:17" x14ac:dyDescent="0.3">
      <c r="A2673" t="s">
        <v>3760</v>
      </c>
      <c r="B2673" s="6">
        <v>45179</v>
      </c>
      <c r="C2673" s="6" t="str">
        <f t="shared" si="123"/>
        <v>Sep</v>
      </c>
      <c r="D2673" t="s">
        <v>2145</v>
      </c>
      <c r="E2673" t="s">
        <v>36</v>
      </c>
      <c r="F2673" t="s">
        <v>366</v>
      </c>
      <c r="G2673">
        <v>5</v>
      </c>
      <c r="H2673" s="7">
        <v>39.549999999999997</v>
      </c>
      <c r="I2673" t="s">
        <v>46</v>
      </c>
      <c r="J2673" t="s">
        <v>42</v>
      </c>
      <c r="K2673">
        <v>20</v>
      </c>
      <c r="L2673" s="7">
        <f t="shared" si="124"/>
        <v>197.75</v>
      </c>
      <c r="M2673" s="7"/>
      <c r="O2673">
        <f t="shared" si="125"/>
        <v>2</v>
      </c>
      <c r="Q2673" t="s">
        <v>47</v>
      </c>
    </row>
    <row r="2674" spans="1:17" x14ac:dyDescent="0.3">
      <c r="A2674" t="s">
        <v>3761</v>
      </c>
      <c r="B2674" s="6">
        <v>45059</v>
      </c>
      <c r="C2674" s="6" t="str">
        <f t="shared" si="123"/>
        <v>May</v>
      </c>
      <c r="D2674" t="s">
        <v>965</v>
      </c>
      <c r="E2674" t="s">
        <v>31</v>
      </c>
      <c r="F2674" t="s">
        <v>239</v>
      </c>
      <c r="G2674">
        <v>4</v>
      </c>
      <c r="H2674" s="7">
        <v>241.96</v>
      </c>
      <c r="I2674" t="s">
        <v>103</v>
      </c>
      <c r="J2674" t="s">
        <v>72</v>
      </c>
      <c r="K2674">
        <v>20</v>
      </c>
      <c r="L2674" s="7">
        <f t="shared" si="124"/>
        <v>967.84</v>
      </c>
      <c r="M2674" s="7"/>
      <c r="O2674">
        <f t="shared" si="125"/>
        <v>2</v>
      </c>
      <c r="Q2674" t="s">
        <v>104</v>
      </c>
    </row>
    <row r="2675" spans="1:17" x14ac:dyDescent="0.3">
      <c r="A2675" t="s">
        <v>3762</v>
      </c>
      <c r="B2675" s="6">
        <v>45201</v>
      </c>
      <c r="C2675" s="6" t="str">
        <f t="shared" si="123"/>
        <v>Oct</v>
      </c>
      <c r="D2675" t="s">
        <v>804</v>
      </c>
      <c r="E2675" t="s">
        <v>62</v>
      </c>
      <c r="F2675" t="s">
        <v>119</v>
      </c>
      <c r="G2675">
        <v>1</v>
      </c>
      <c r="H2675" s="7">
        <v>90.31</v>
      </c>
      <c r="I2675" t="s">
        <v>64</v>
      </c>
      <c r="J2675" t="s">
        <v>22</v>
      </c>
      <c r="K2675">
        <v>10</v>
      </c>
      <c r="L2675" s="7">
        <f t="shared" si="124"/>
        <v>90.31</v>
      </c>
      <c r="M2675" s="7"/>
      <c r="O2675">
        <f t="shared" si="125"/>
        <v>2</v>
      </c>
      <c r="Q2675" t="s">
        <v>65</v>
      </c>
    </row>
    <row r="2676" spans="1:17" x14ac:dyDescent="0.3">
      <c r="A2676" t="s">
        <v>3763</v>
      </c>
      <c r="B2676" s="6">
        <v>45042</v>
      </c>
      <c r="C2676" s="6" t="str">
        <f t="shared" si="123"/>
        <v>Apr</v>
      </c>
      <c r="D2676" t="s">
        <v>804</v>
      </c>
      <c r="E2676" t="s">
        <v>40</v>
      </c>
      <c r="F2676" t="s">
        <v>822</v>
      </c>
      <c r="G2676">
        <v>1</v>
      </c>
      <c r="H2676" s="7">
        <v>377.41</v>
      </c>
      <c r="I2676" t="s">
        <v>46</v>
      </c>
      <c r="J2676" t="s">
        <v>72</v>
      </c>
      <c r="K2676">
        <v>10</v>
      </c>
      <c r="L2676" s="7">
        <f t="shared" si="124"/>
        <v>377.41</v>
      </c>
      <c r="M2676" s="7"/>
      <c r="O2676">
        <f t="shared" si="125"/>
        <v>2</v>
      </c>
      <c r="Q2676" t="s">
        <v>47</v>
      </c>
    </row>
    <row r="2677" spans="1:17" x14ac:dyDescent="0.3">
      <c r="A2677" t="s">
        <v>3764</v>
      </c>
      <c r="B2677" s="6">
        <v>45186</v>
      </c>
      <c r="C2677" s="6" t="str">
        <f t="shared" si="123"/>
        <v>Sep</v>
      </c>
      <c r="D2677" t="s">
        <v>2832</v>
      </c>
      <c r="E2677" t="s">
        <v>50</v>
      </c>
      <c r="F2677" t="s">
        <v>504</v>
      </c>
      <c r="G2677">
        <v>5</v>
      </c>
      <c r="H2677" s="7">
        <v>456.24</v>
      </c>
      <c r="I2677" t="s">
        <v>103</v>
      </c>
      <c r="J2677" t="s">
        <v>19</v>
      </c>
      <c r="K2677">
        <v>10</v>
      </c>
      <c r="L2677" s="7">
        <f t="shared" si="124"/>
        <v>2281.1999999999998</v>
      </c>
      <c r="M2677" s="7"/>
      <c r="O2677">
        <f t="shared" si="125"/>
        <v>2</v>
      </c>
      <c r="Q2677" t="s">
        <v>104</v>
      </c>
    </row>
    <row r="2678" spans="1:17" x14ac:dyDescent="0.3">
      <c r="A2678" t="s">
        <v>3765</v>
      </c>
      <c r="B2678" s="6">
        <v>44928</v>
      </c>
      <c r="C2678" s="6" t="str">
        <f t="shared" si="123"/>
        <v>Jan</v>
      </c>
      <c r="D2678" t="s">
        <v>3766</v>
      </c>
      <c r="E2678" t="s">
        <v>62</v>
      </c>
      <c r="F2678" t="s">
        <v>665</v>
      </c>
      <c r="G2678">
        <v>9</v>
      </c>
      <c r="H2678" s="7">
        <v>279.29000000000002</v>
      </c>
      <c r="I2678" t="s">
        <v>19</v>
      </c>
      <c r="J2678" t="s">
        <v>42</v>
      </c>
      <c r="K2678">
        <v>10</v>
      </c>
      <c r="L2678" s="7">
        <f t="shared" si="124"/>
        <v>2513.61</v>
      </c>
      <c r="M2678" s="7"/>
      <c r="O2678">
        <f t="shared" si="125"/>
        <v>3</v>
      </c>
      <c r="Q2678" t="s">
        <v>19</v>
      </c>
    </row>
    <row r="2679" spans="1:17" x14ac:dyDescent="0.3">
      <c r="A2679" t="s">
        <v>3767</v>
      </c>
      <c r="B2679" s="6">
        <v>45191</v>
      </c>
      <c r="C2679" s="6" t="str">
        <f t="shared" si="123"/>
        <v>Sep</v>
      </c>
      <c r="D2679" t="s">
        <v>2022</v>
      </c>
      <c r="E2679" t="s">
        <v>62</v>
      </c>
      <c r="F2679" t="s">
        <v>139</v>
      </c>
      <c r="G2679">
        <v>5</v>
      </c>
      <c r="H2679" s="7">
        <v>265.94</v>
      </c>
      <c r="I2679" t="s">
        <v>21</v>
      </c>
      <c r="J2679" t="s">
        <v>22</v>
      </c>
      <c r="K2679">
        <v>10</v>
      </c>
      <c r="L2679" s="7">
        <f t="shared" si="124"/>
        <v>1329.7</v>
      </c>
      <c r="M2679" s="7"/>
      <c r="O2679">
        <f t="shared" si="125"/>
        <v>2</v>
      </c>
      <c r="Q2679" t="s">
        <v>23</v>
      </c>
    </row>
    <row r="2680" spans="1:17" x14ac:dyDescent="0.3">
      <c r="A2680" t="s">
        <v>3768</v>
      </c>
      <c r="B2680" s="6">
        <v>44964</v>
      </c>
      <c r="C2680" s="6" t="str">
        <f t="shared" si="123"/>
        <v>Feb</v>
      </c>
      <c r="D2680" t="s">
        <v>906</v>
      </c>
      <c r="E2680" t="s">
        <v>19</v>
      </c>
      <c r="F2680" t="s">
        <v>173</v>
      </c>
      <c r="G2680">
        <v>2</v>
      </c>
      <c r="H2680" s="7">
        <v>383.16</v>
      </c>
      <c r="I2680" t="s">
        <v>19</v>
      </c>
      <c r="J2680" t="s">
        <v>22</v>
      </c>
      <c r="K2680">
        <v>0</v>
      </c>
      <c r="L2680" s="7">
        <f t="shared" si="124"/>
        <v>766.32</v>
      </c>
      <c r="M2680" s="7"/>
      <c r="O2680">
        <f t="shared" si="125"/>
        <v>2</v>
      </c>
      <c r="Q2680" t="s">
        <v>19</v>
      </c>
    </row>
    <row r="2681" spans="1:17" x14ac:dyDescent="0.3">
      <c r="A2681" t="s">
        <v>3769</v>
      </c>
      <c r="B2681" s="6">
        <v>45059</v>
      </c>
      <c r="C2681" s="6" t="str">
        <f t="shared" si="123"/>
        <v>May</v>
      </c>
      <c r="D2681" t="s">
        <v>1048</v>
      </c>
      <c r="E2681" t="s">
        <v>19</v>
      </c>
      <c r="F2681" t="s">
        <v>415</v>
      </c>
      <c r="G2681">
        <v>9</v>
      </c>
      <c r="H2681" s="7">
        <v>7.51</v>
      </c>
      <c r="I2681" t="s">
        <v>32</v>
      </c>
      <c r="J2681" t="s">
        <v>72</v>
      </c>
      <c r="K2681">
        <v>10</v>
      </c>
      <c r="L2681" s="7">
        <f t="shared" si="124"/>
        <v>67.59</v>
      </c>
      <c r="M2681" s="7"/>
      <c r="O2681">
        <f t="shared" si="125"/>
        <v>2</v>
      </c>
      <c r="Q2681" t="s">
        <v>33</v>
      </c>
    </row>
    <row r="2682" spans="1:17" x14ac:dyDescent="0.3">
      <c r="A2682" t="s">
        <v>3770</v>
      </c>
      <c r="B2682" s="6">
        <v>45092</v>
      </c>
      <c r="C2682" s="6" t="str">
        <f t="shared" si="123"/>
        <v>Jun</v>
      </c>
      <c r="D2682" t="s">
        <v>3771</v>
      </c>
      <c r="E2682" t="s">
        <v>36</v>
      </c>
      <c r="F2682" t="s">
        <v>1302</v>
      </c>
      <c r="G2682">
        <v>2</v>
      </c>
      <c r="H2682" s="7">
        <v>252.16</v>
      </c>
      <c r="I2682" t="s">
        <v>46</v>
      </c>
      <c r="J2682" t="s">
        <v>42</v>
      </c>
      <c r="K2682">
        <v>0</v>
      </c>
      <c r="L2682" s="7">
        <f t="shared" si="124"/>
        <v>504.32</v>
      </c>
      <c r="M2682" s="7"/>
      <c r="O2682">
        <f t="shared" si="125"/>
        <v>2</v>
      </c>
      <c r="Q2682" t="s">
        <v>47</v>
      </c>
    </row>
    <row r="2683" spans="1:17" x14ac:dyDescent="0.3">
      <c r="A2683" t="s">
        <v>3772</v>
      </c>
      <c r="B2683" s="6">
        <v>45136</v>
      </c>
      <c r="C2683" s="6" t="str">
        <f t="shared" si="123"/>
        <v>Jul</v>
      </c>
      <c r="D2683" t="s">
        <v>3773</v>
      </c>
      <c r="E2683" t="s">
        <v>19</v>
      </c>
      <c r="F2683" t="s">
        <v>131</v>
      </c>
      <c r="G2683">
        <v>3</v>
      </c>
      <c r="H2683" s="7">
        <v>102.74</v>
      </c>
      <c r="I2683" t="s">
        <v>64</v>
      </c>
      <c r="J2683" t="s">
        <v>87</v>
      </c>
      <c r="K2683">
        <v>20</v>
      </c>
      <c r="L2683" s="7">
        <f t="shared" si="124"/>
        <v>308.21999999999997</v>
      </c>
      <c r="M2683" s="7"/>
      <c r="O2683">
        <f t="shared" si="125"/>
        <v>2</v>
      </c>
      <c r="Q2683" t="s">
        <v>65</v>
      </c>
    </row>
    <row r="2684" spans="1:17" x14ac:dyDescent="0.3">
      <c r="A2684" t="s">
        <v>3774</v>
      </c>
      <c r="B2684" s="6">
        <v>45198</v>
      </c>
      <c r="C2684" s="6" t="str">
        <f t="shared" si="123"/>
        <v>Sep</v>
      </c>
      <c r="D2684" t="s">
        <v>717</v>
      </c>
      <c r="E2684" t="s">
        <v>40</v>
      </c>
      <c r="F2684" t="s">
        <v>450</v>
      </c>
      <c r="G2684">
        <v>2</v>
      </c>
      <c r="H2684" s="7">
        <v>492.14</v>
      </c>
      <c r="I2684" t="s">
        <v>21</v>
      </c>
      <c r="J2684" t="s">
        <v>28</v>
      </c>
      <c r="K2684">
        <v>0</v>
      </c>
      <c r="L2684" s="7">
        <f t="shared" si="124"/>
        <v>984.28</v>
      </c>
      <c r="M2684" s="7"/>
      <c r="O2684">
        <f t="shared" si="125"/>
        <v>2</v>
      </c>
      <c r="Q2684" t="s">
        <v>23</v>
      </c>
    </row>
    <row r="2685" spans="1:17" x14ac:dyDescent="0.3">
      <c r="A2685" t="s">
        <v>3775</v>
      </c>
      <c r="B2685" s="6">
        <v>45217</v>
      </c>
      <c r="C2685" s="6" t="str">
        <f t="shared" si="123"/>
        <v>Oct</v>
      </c>
      <c r="D2685" t="s">
        <v>1305</v>
      </c>
      <c r="E2685" t="s">
        <v>19</v>
      </c>
      <c r="F2685" t="s">
        <v>139</v>
      </c>
      <c r="G2685">
        <v>3</v>
      </c>
      <c r="H2685" s="7">
        <v>369.45</v>
      </c>
      <c r="I2685" t="s">
        <v>64</v>
      </c>
      <c r="J2685" t="s">
        <v>28</v>
      </c>
      <c r="K2685">
        <v>10</v>
      </c>
      <c r="L2685" s="7">
        <f t="shared" si="124"/>
        <v>1108.3499999999999</v>
      </c>
      <c r="M2685" s="7"/>
      <c r="O2685">
        <f t="shared" si="125"/>
        <v>2</v>
      </c>
      <c r="Q2685" t="s">
        <v>65</v>
      </c>
    </row>
    <row r="2686" spans="1:17" x14ac:dyDescent="0.3">
      <c r="A2686" t="s">
        <v>3776</v>
      </c>
      <c r="B2686" s="6">
        <v>45224</v>
      </c>
      <c r="C2686" s="6" t="str">
        <f t="shared" si="123"/>
        <v>Oct</v>
      </c>
      <c r="D2686" t="s">
        <v>710</v>
      </c>
      <c r="E2686" t="s">
        <v>62</v>
      </c>
      <c r="F2686" t="s">
        <v>134</v>
      </c>
      <c r="G2686">
        <v>6</v>
      </c>
      <c r="H2686" s="7">
        <v>388.25</v>
      </c>
      <c r="I2686" t="s">
        <v>32</v>
      </c>
      <c r="J2686" t="s">
        <v>87</v>
      </c>
      <c r="K2686">
        <v>20</v>
      </c>
      <c r="L2686" s="7">
        <f t="shared" si="124"/>
        <v>2329.5</v>
      </c>
      <c r="M2686" s="7"/>
      <c r="O2686">
        <f t="shared" si="125"/>
        <v>2</v>
      </c>
      <c r="Q2686" t="s">
        <v>33</v>
      </c>
    </row>
    <row r="2687" spans="1:17" x14ac:dyDescent="0.3">
      <c r="A2687" t="s">
        <v>3777</v>
      </c>
      <c r="B2687" s="6">
        <v>44961</v>
      </c>
      <c r="C2687" s="6" t="str">
        <f t="shared" si="123"/>
        <v>Feb</v>
      </c>
      <c r="D2687" t="s">
        <v>391</v>
      </c>
      <c r="E2687" t="s">
        <v>31</v>
      </c>
      <c r="F2687" t="s">
        <v>125</v>
      </c>
      <c r="G2687">
        <v>9</v>
      </c>
      <c r="H2687" s="7">
        <v>329.82</v>
      </c>
      <c r="I2687" t="s">
        <v>46</v>
      </c>
      <c r="J2687" t="s">
        <v>28</v>
      </c>
      <c r="K2687">
        <v>0</v>
      </c>
      <c r="L2687" s="7">
        <f t="shared" si="124"/>
        <v>2968.38</v>
      </c>
      <c r="M2687" s="7"/>
      <c r="O2687">
        <f t="shared" si="125"/>
        <v>3</v>
      </c>
      <c r="Q2687" t="s">
        <v>47</v>
      </c>
    </row>
    <row r="2688" spans="1:17" x14ac:dyDescent="0.3">
      <c r="A2688" t="s">
        <v>3778</v>
      </c>
      <c r="B2688" s="6">
        <v>45237</v>
      </c>
      <c r="C2688" s="6" t="str">
        <f t="shared" si="123"/>
        <v>Nov</v>
      </c>
      <c r="D2688" t="s">
        <v>1492</v>
      </c>
      <c r="E2688" t="s">
        <v>26</v>
      </c>
      <c r="F2688" t="s">
        <v>119</v>
      </c>
      <c r="G2688">
        <v>9</v>
      </c>
      <c r="H2688" s="7">
        <v>238.47</v>
      </c>
      <c r="I2688" t="s">
        <v>19</v>
      </c>
      <c r="J2688" t="s">
        <v>28</v>
      </c>
      <c r="K2688">
        <v>0</v>
      </c>
      <c r="L2688" s="7">
        <f t="shared" si="124"/>
        <v>2146.23</v>
      </c>
      <c r="M2688" s="7"/>
      <c r="O2688">
        <f t="shared" si="125"/>
        <v>2</v>
      </c>
      <c r="Q2688" t="s">
        <v>19</v>
      </c>
    </row>
    <row r="2689" spans="1:17" x14ac:dyDescent="0.3">
      <c r="A2689" t="s">
        <v>3779</v>
      </c>
      <c r="B2689" s="6">
        <v>45112</v>
      </c>
      <c r="C2689" s="6" t="str">
        <f t="shared" si="123"/>
        <v>Jul</v>
      </c>
      <c r="D2689" t="s">
        <v>2001</v>
      </c>
      <c r="E2689" t="s">
        <v>62</v>
      </c>
      <c r="F2689" t="s">
        <v>1023</v>
      </c>
      <c r="G2689">
        <v>7</v>
      </c>
      <c r="H2689" s="7">
        <v>287.95999999999998</v>
      </c>
      <c r="I2689" t="s">
        <v>19</v>
      </c>
      <c r="J2689" t="s">
        <v>19</v>
      </c>
      <c r="K2689">
        <v>10</v>
      </c>
      <c r="L2689" s="7">
        <f t="shared" si="124"/>
        <v>2015.7199999999998</v>
      </c>
      <c r="M2689" s="7"/>
      <c r="O2689">
        <f t="shared" si="125"/>
        <v>2</v>
      </c>
      <c r="Q2689" t="s">
        <v>19</v>
      </c>
    </row>
    <row r="2690" spans="1:17" x14ac:dyDescent="0.3">
      <c r="A2690" t="s">
        <v>3780</v>
      </c>
      <c r="B2690" s="6">
        <v>44949</v>
      </c>
      <c r="C2690" s="6" t="str">
        <f t="shared" si="123"/>
        <v>Jan</v>
      </c>
      <c r="D2690" t="s">
        <v>2076</v>
      </c>
      <c r="E2690" t="s">
        <v>50</v>
      </c>
      <c r="F2690" t="s">
        <v>719</v>
      </c>
      <c r="G2690">
        <v>3</v>
      </c>
      <c r="H2690" s="7">
        <v>27.97</v>
      </c>
      <c r="I2690" t="s">
        <v>103</v>
      </c>
      <c r="J2690" t="s">
        <v>72</v>
      </c>
      <c r="K2690">
        <v>0</v>
      </c>
      <c r="L2690" s="7">
        <f t="shared" si="124"/>
        <v>83.91</v>
      </c>
      <c r="M2690" s="7"/>
      <c r="O2690">
        <f t="shared" si="125"/>
        <v>2</v>
      </c>
      <c r="Q2690" t="s">
        <v>104</v>
      </c>
    </row>
    <row r="2691" spans="1:17" x14ac:dyDescent="0.3">
      <c r="A2691" t="s">
        <v>3781</v>
      </c>
      <c r="B2691" s="6">
        <v>44988</v>
      </c>
      <c r="C2691" s="6" t="str">
        <f t="shared" ref="C2691:C2754" si="126">TEXT(B2691,"MMM")</f>
        <v>Mar</v>
      </c>
      <c r="D2691" t="s">
        <v>3045</v>
      </c>
      <c r="E2691" t="s">
        <v>19</v>
      </c>
      <c r="F2691" t="s">
        <v>423</v>
      </c>
      <c r="G2691">
        <v>4</v>
      </c>
      <c r="H2691" s="7">
        <v>313.86</v>
      </c>
      <c r="I2691" t="s">
        <v>103</v>
      </c>
      <c r="J2691" t="s">
        <v>28</v>
      </c>
      <c r="K2691">
        <v>20</v>
      </c>
      <c r="L2691" s="7">
        <f t="shared" ref="L2691:L2754" si="127">G2691*H2691</f>
        <v>1255.44</v>
      </c>
      <c r="M2691" s="7"/>
      <c r="O2691">
        <f t="shared" si="125"/>
        <v>2</v>
      </c>
      <c r="Q2691" t="s">
        <v>104</v>
      </c>
    </row>
    <row r="2692" spans="1:17" x14ac:dyDescent="0.3">
      <c r="A2692" t="s">
        <v>3782</v>
      </c>
      <c r="B2692" s="6">
        <v>44954</v>
      </c>
      <c r="C2692" s="6" t="str">
        <f t="shared" si="126"/>
        <v>Jan</v>
      </c>
      <c r="D2692" t="s">
        <v>558</v>
      </c>
      <c r="E2692" t="s">
        <v>26</v>
      </c>
      <c r="F2692" t="s">
        <v>90</v>
      </c>
      <c r="G2692">
        <v>6</v>
      </c>
      <c r="H2692" s="7">
        <v>314.92</v>
      </c>
      <c r="I2692" t="s">
        <v>103</v>
      </c>
      <c r="J2692" t="s">
        <v>42</v>
      </c>
      <c r="K2692">
        <v>10</v>
      </c>
      <c r="L2692" s="7">
        <f t="shared" si="127"/>
        <v>1889.52</v>
      </c>
      <c r="M2692" s="7"/>
      <c r="O2692">
        <f t="shared" ref="O2692:O2755" si="128">IF(L2692&gt;3500,5,IF(L2692&gt;3000,4,IF(L2692&gt;2500,3,IF(L2692&gt;2000,2,IF(L2692&gt;1000,2,2)))))</f>
        <v>2</v>
      </c>
      <c r="Q2692" t="s">
        <v>104</v>
      </c>
    </row>
    <row r="2693" spans="1:17" x14ac:dyDescent="0.3">
      <c r="A2693" t="s">
        <v>3783</v>
      </c>
      <c r="B2693" s="6">
        <v>44967</v>
      </c>
      <c r="C2693" s="6" t="str">
        <f t="shared" si="126"/>
        <v>Feb</v>
      </c>
      <c r="D2693" t="s">
        <v>3784</v>
      </c>
      <c r="E2693" t="s">
        <v>19</v>
      </c>
      <c r="F2693" t="s">
        <v>415</v>
      </c>
      <c r="G2693">
        <v>5</v>
      </c>
      <c r="H2693" s="7">
        <v>446.14</v>
      </c>
      <c r="I2693" t="s">
        <v>19</v>
      </c>
      <c r="J2693" t="s">
        <v>72</v>
      </c>
      <c r="K2693">
        <v>10</v>
      </c>
      <c r="L2693" s="7">
        <f t="shared" si="127"/>
        <v>2230.6999999999998</v>
      </c>
      <c r="M2693" s="7"/>
      <c r="O2693">
        <f t="shared" si="128"/>
        <v>2</v>
      </c>
      <c r="Q2693" t="s">
        <v>19</v>
      </c>
    </row>
    <row r="2694" spans="1:17" x14ac:dyDescent="0.3">
      <c r="A2694" t="s">
        <v>3785</v>
      </c>
      <c r="B2694" s="6">
        <v>45093</v>
      </c>
      <c r="C2694" s="6" t="str">
        <f t="shared" si="126"/>
        <v>Jun</v>
      </c>
      <c r="D2694" t="s">
        <v>858</v>
      </c>
      <c r="E2694" t="s">
        <v>19</v>
      </c>
      <c r="F2694" t="s">
        <v>242</v>
      </c>
      <c r="G2694">
        <v>2</v>
      </c>
      <c r="H2694" s="7">
        <v>255.3</v>
      </c>
      <c r="I2694" t="s">
        <v>21</v>
      </c>
      <c r="J2694" t="s">
        <v>42</v>
      </c>
      <c r="K2694">
        <v>0</v>
      </c>
      <c r="L2694" s="7">
        <f t="shared" si="127"/>
        <v>510.6</v>
      </c>
      <c r="M2694" s="7"/>
      <c r="O2694">
        <f t="shared" si="128"/>
        <v>2</v>
      </c>
      <c r="Q2694" t="s">
        <v>23</v>
      </c>
    </row>
    <row r="2695" spans="1:17" x14ac:dyDescent="0.3">
      <c r="A2695" t="s">
        <v>3786</v>
      </c>
      <c r="B2695" s="6">
        <v>44938</v>
      </c>
      <c r="C2695" s="6" t="str">
        <f t="shared" si="126"/>
        <v>Jan</v>
      </c>
      <c r="D2695" t="s">
        <v>919</v>
      </c>
      <c r="E2695" t="s">
        <v>50</v>
      </c>
      <c r="F2695" t="s">
        <v>278</v>
      </c>
      <c r="G2695">
        <v>6</v>
      </c>
      <c r="H2695" s="7">
        <v>43.19</v>
      </c>
      <c r="I2695" t="s">
        <v>21</v>
      </c>
      <c r="J2695" t="s">
        <v>28</v>
      </c>
      <c r="K2695">
        <v>10</v>
      </c>
      <c r="L2695" s="7">
        <f t="shared" si="127"/>
        <v>259.14</v>
      </c>
      <c r="M2695" s="7"/>
      <c r="O2695">
        <f t="shared" si="128"/>
        <v>2</v>
      </c>
      <c r="Q2695" t="s">
        <v>23</v>
      </c>
    </row>
    <row r="2696" spans="1:17" x14ac:dyDescent="0.3">
      <c r="A2696" t="s">
        <v>3787</v>
      </c>
      <c r="B2696" s="6">
        <v>45259</v>
      </c>
      <c r="C2696" s="6" t="str">
        <f t="shared" si="126"/>
        <v>Nov</v>
      </c>
      <c r="D2696" t="s">
        <v>1177</v>
      </c>
      <c r="E2696" t="s">
        <v>62</v>
      </c>
      <c r="F2696" t="s">
        <v>54</v>
      </c>
      <c r="G2696">
        <v>3</v>
      </c>
      <c r="H2696" s="7">
        <v>156.57</v>
      </c>
      <c r="I2696" t="s">
        <v>46</v>
      </c>
      <c r="J2696" t="s">
        <v>22</v>
      </c>
      <c r="K2696">
        <v>15</v>
      </c>
      <c r="L2696" s="7">
        <f t="shared" si="127"/>
        <v>469.71</v>
      </c>
      <c r="M2696" s="7"/>
      <c r="O2696">
        <f t="shared" si="128"/>
        <v>2</v>
      </c>
      <c r="Q2696" t="s">
        <v>47</v>
      </c>
    </row>
    <row r="2697" spans="1:17" x14ac:dyDescent="0.3">
      <c r="A2697" t="s">
        <v>3788</v>
      </c>
      <c r="B2697" s="6">
        <v>45101</v>
      </c>
      <c r="C2697" s="6" t="str">
        <f t="shared" si="126"/>
        <v>Jun</v>
      </c>
      <c r="D2697" t="s">
        <v>746</v>
      </c>
      <c r="E2697" t="s">
        <v>50</v>
      </c>
      <c r="F2697" t="s">
        <v>789</v>
      </c>
      <c r="G2697">
        <v>8</v>
      </c>
      <c r="H2697" s="7">
        <v>329.54</v>
      </c>
      <c r="I2697" t="s">
        <v>21</v>
      </c>
      <c r="J2697" t="s">
        <v>22</v>
      </c>
      <c r="K2697">
        <v>10</v>
      </c>
      <c r="L2697" s="7">
        <f t="shared" si="127"/>
        <v>2636.32</v>
      </c>
      <c r="M2697" s="7"/>
      <c r="O2697">
        <f t="shared" si="128"/>
        <v>3</v>
      </c>
      <c r="Q2697" t="s">
        <v>23</v>
      </c>
    </row>
    <row r="2698" spans="1:17" x14ac:dyDescent="0.3">
      <c r="A2698" t="s">
        <v>3789</v>
      </c>
      <c r="B2698" s="6">
        <v>45228</v>
      </c>
      <c r="C2698" s="6" t="str">
        <f t="shared" si="126"/>
        <v>Oct</v>
      </c>
      <c r="D2698" t="s">
        <v>2920</v>
      </c>
      <c r="E2698" t="s">
        <v>62</v>
      </c>
      <c r="F2698" t="s">
        <v>1142</v>
      </c>
      <c r="G2698">
        <v>5</v>
      </c>
      <c r="H2698" s="7">
        <v>123.43</v>
      </c>
      <c r="I2698" t="s">
        <v>32</v>
      </c>
      <c r="J2698" t="s">
        <v>28</v>
      </c>
      <c r="K2698">
        <v>10</v>
      </c>
      <c r="L2698" s="7">
        <f t="shared" si="127"/>
        <v>617.15000000000009</v>
      </c>
      <c r="M2698" s="7"/>
      <c r="O2698">
        <f t="shared" si="128"/>
        <v>2</v>
      </c>
      <c r="Q2698" t="s">
        <v>33</v>
      </c>
    </row>
    <row r="2699" spans="1:17" x14ac:dyDescent="0.3">
      <c r="A2699" t="s">
        <v>3790</v>
      </c>
      <c r="B2699" s="6">
        <v>45102</v>
      </c>
      <c r="C2699" s="6" t="str">
        <f t="shared" si="126"/>
        <v>Jun</v>
      </c>
      <c r="D2699" t="s">
        <v>422</v>
      </c>
      <c r="E2699" t="s">
        <v>62</v>
      </c>
      <c r="F2699" t="s">
        <v>246</v>
      </c>
      <c r="G2699">
        <v>1</v>
      </c>
      <c r="H2699" s="7">
        <v>143.86000000000001</v>
      </c>
      <c r="I2699" t="s">
        <v>46</v>
      </c>
      <c r="J2699" t="s">
        <v>42</v>
      </c>
      <c r="K2699">
        <v>15</v>
      </c>
      <c r="L2699" s="7">
        <f t="shared" si="127"/>
        <v>143.86000000000001</v>
      </c>
      <c r="M2699" s="7"/>
      <c r="O2699">
        <f t="shared" si="128"/>
        <v>2</v>
      </c>
      <c r="Q2699" t="s">
        <v>47</v>
      </c>
    </row>
    <row r="2700" spans="1:17" x14ac:dyDescent="0.3">
      <c r="A2700" t="s">
        <v>3791</v>
      </c>
      <c r="B2700" s="6">
        <v>45059</v>
      </c>
      <c r="C2700" s="6" t="str">
        <f t="shared" si="126"/>
        <v>May</v>
      </c>
      <c r="D2700" t="s">
        <v>2619</v>
      </c>
      <c r="E2700" t="s">
        <v>31</v>
      </c>
      <c r="F2700" t="s">
        <v>131</v>
      </c>
      <c r="G2700">
        <v>9</v>
      </c>
      <c r="H2700" s="7">
        <v>411.13</v>
      </c>
      <c r="I2700" t="s">
        <v>21</v>
      </c>
      <c r="J2700" t="s">
        <v>22</v>
      </c>
      <c r="K2700">
        <v>15</v>
      </c>
      <c r="L2700" s="7">
        <f t="shared" si="127"/>
        <v>3700.17</v>
      </c>
      <c r="M2700" s="7"/>
      <c r="O2700">
        <f t="shared" si="128"/>
        <v>5</v>
      </c>
      <c r="Q2700" t="s">
        <v>23</v>
      </c>
    </row>
    <row r="2701" spans="1:17" x14ac:dyDescent="0.3">
      <c r="A2701" t="s">
        <v>3792</v>
      </c>
      <c r="B2701" s="6">
        <v>45274</v>
      </c>
      <c r="C2701" s="6" t="str">
        <f t="shared" si="126"/>
        <v>Dec</v>
      </c>
      <c r="D2701" t="s">
        <v>1285</v>
      </c>
      <c r="E2701" t="s">
        <v>40</v>
      </c>
      <c r="F2701" t="s">
        <v>237</v>
      </c>
      <c r="G2701">
        <v>3</v>
      </c>
      <c r="H2701" s="7">
        <v>294.24</v>
      </c>
      <c r="I2701" t="s">
        <v>46</v>
      </c>
      <c r="J2701" t="s">
        <v>87</v>
      </c>
      <c r="K2701">
        <v>10</v>
      </c>
      <c r="L2701" s="7">
        <f t="shared" si="127"/>
        <v>882.72</v>
      </c>
      <c r="M2701" s="7"/>
      <c r="O2701">
        <f t="shared" si="128"/>
        <v>2</v>
      </c>
      <c r="Q2701" t="s">
        <v>47</v>
      </c>
    </row>
    <row r="2702" spans="1:17" x14ac:dyDescent="0.3">
      <c r="A2702" t="s">
        <v>3793</v>
      </c>
      <c r="B2702" s="6">
        <v>45125</v>
      </c>
      <c r="C2702" s="6" t="str">
        <f t="shared" si="126"/>
        <v>Jul</v>
      </c>
      <c r="D2702" t="s">
        <v>1298</v>
      </c>
      <c r="E2702" t="s">
        <v>19</v>
      </c>
      <c r="F2702" t="s">
        <v>432</v>
      </c>
      <c r="G2702">
        <v>1</v>
      </c>
      <c r="H2702" s="7">
        <v>256.72000000000003</v>
      </c>
      <c r="I2702" t="s">
        <v>21</v>
      </c>
      <c r="J2702" t="s">
        <v>87</v>
      </c>
      <c r="K2702">
        <v>20</v>
      </c>
      <c r="L2702" s="7">
        <f t="shared" si="127"/>
        <v>256.72000000000003</v>
      </c>
      <c r="M2702" s="7"/>
      <c r="O2702">
        <f t="shared" si="128"/>
        <v>2</v>
      </c>
      <c r="Q2702" t="s">
        <v>23</v>
      </c>
    </row>
    <row r="2703" spans="1:17" x14ac:dyDescent="0.3">
      <c r="A2703" t="s">
        <v>3794</v>
      </c>
      <c r="B2703" s="6">
        <v>44943</v>
      </c>
      <c r="C2703" s="6" t="str">
        <f t="shared" si="126"/>
        <v>Jan</v>
      </c>
      <c r="D2703" t="s">
        <v>3468</v>
      </c>
      <c r="E2703" t="s">
        <v>36</v>
      </c>
      <c r="F2703" t="s">
        <v>313</v>
      </c>
      <c r="G2703">
        <v>7</v>
      </c>
      <c r="H2703" s="7">
        <v>162.63</v>
      </c>
      <c r="I2703" t="s">
        <v>64</v>
      </c>
      <c r="J2703" t="s">
        <v>28</v>
      </c>
      <c r="K2703">
        <v>10</v>
      </c>
      <c r="L2703" s="7">
        <f t="shared" si="127"/>
        <v>1138.4099999999999</v>
      </c>
      <c r="M2703" s="7"/>
      <c r="O2703">
        <f t="shared" si="128"/>
        <v>2</v>
      </c>
      <c r="Q2703" t="s">
        <v>65</v>
      </c>
    </row>
    <row r="2704" spans="1:17" x14ac:dyDescent="0.3">
      <c r="A2704" t="s">
        <v>3795</v>
      </c>
      <c r="B2704" s="6">
        <v>45057</v>
      </c>
      <c r="C2704" s="6" t="str">
        <f t="shared" si="126"/>
        <v>May</v>
      </c>
      <c r="D2704" t="s">
        <v>1516</v>
      </c>
      <c r="E2704" t="s">
        <v>31</v>
      </c>
      <c r="F2704" t="s">
        <v>730</v>
      </c>
      <c r="G2704">
        <v>5</v>
      </c>
      <c r="H2704" s="7">
        <v>366.81</v>
      </c>
      <c r="I2704" t="s">
        <v>32</v>
      </c>
      <c r="J2704" t="s">
        <v>28</v>
      </c>
      <c r="K2704">
        <v>20</v>
      </c>
      <c r="L2704" s="7">
        <f t="shared" si="127"/>
        <v>1834.05</v>
      </c>
      <c r="M2704" s="7"/>
      <c r="O2704">
        <f t="shared" si="128"/>
        <v>2</v>
      </c>
      <c r="Q2704" t="s">
        <v>33</v>
      </c>
    </row>
    <row r="2705" spans="1:17" x14ac:dyDescent="0.3">
      <c r="A2705" t="s">
        <v>3796</v>
      </c>
      <c r="B2705" s="6">
        <v>45142</v>
      </c>
      <c r="C2705" s="6" t="str">
        <f t="shared" si="126"/>
        <v>Aug</v>
      </c>
      <c r="D2705" t="s">
        <v>83</v>
      </c>
      <c r="E2705" t="s">
        <v>50</v>
      </c>
      <c r="F2705" t="s">
        <v>214</v>
      </c>
      <c r="G2705">
        <v>5</v>
      </c>
      <c r="H2705" s="7">
        <v>147.41999999999999</v>
      </c>
      <c r="I2705" t="s">
        <v>21</v>
      </c>
      <c r="J2705" t="s">
        <v>87</v>
      </c>
      <c r="K2705">
        <v>10</v>
      </c>
      <c r="L2705" s="7">
        <f t="shared" si="127"/>
        <v>737.09999999999991</v>
      </c>
      <c r="M2705" s="7"/>
      <c r="O2705">
        <f t="shared" si="128"/>
        <v>2</v>
      </c>
      <c r="Q2705" t="s">
        <v>23</v>
      </c>
    </row>
    <row r="2706" spans="1:17" x14ac:dyDescent="0.3">
      <c r="A2706" t="s">
        <v>3797</v>
      </c>
      <c r="B2706" s="6">
        <v>45003</v>
      </c>
      <c r="C2706" s="6" t="str">
        <f t="shared" si="126"/>
        <v>Mar</v>
      </c>
      <c r="D2706" t="s">
        <v>1596</v>
      </c>
      <c r="E2706" t="s">
        <v>36</v>
      </c>
      <c r="F2706" t="s">
        <v>319</v>
      </c>
      <c r="G2706">
        <v>1</v>
      </c>
      <c r="H2706" s="7">
        <v>369.85</v>
      </c>
      <c r="I2706" t="s">
        <v>32</v>
      </c>
      <c r="J2706" t="s">
        <v>42</v>
      </c>
      <c r="K2706">
        <v>10</v>
      </c>
      <c r="L2706" s="7">
        <f t="shared" si="127"/>
        <v>369.85</v>
      </c>
      <c r="M2706" s="7"/>
      <c r="O2706">
        <f t="shared" si="128"/>
        <v>2</v>
      </c>
      <c r="Q2706" t="s">
        <v>33</v>
      </c>
    </row>
    <row r="2707" spans="1:17" x14ac:dyDescent="0.3">
      <c r="A2707" t="s">
        <v>3798</v>
      </c>
      <c r="B2707" s="6">
        <v>45040</v>
      </c>
      <c r="C2707" s="6" t="str">
        <f t="shared" si="126"/>
        <v>Apr</v>
      </c>
      <c r="D2707" t="s">
        <v>2535</v>
      </c>
      <c r="E2707" t="s">
        <v>26</v>
      </c>
      <c r="F2707" t="s">
        <v>1237</v>
      </c>
      <c r="G2707">
        <v>9</v>
      </c>
      <c r="H2707" s="7">
        <v>252.16</v>
      </c>
      <c r="I2707" t="s">
        <v>21</v>
      </c>
      <c r="J2707" t="s">
        <v>28</v>
      </c>
      <c r="K2707">
        <v>20</v>
      </c>
      <c r="L2707" s="7">
        <f t="shared" si="127"/>
        <v>2269.44</v>
      </c>
      <c r="M2707" s="7"/>
      <c r="O2707">
        <f t="shared" si="128"/>
        <v>2</v>
      </c>
      <c r="Q2707" t="s">
        <v>23</v>
      </c>
    </row>
    <row r="2708" spans="1:17" x14ac:dyDescent="0.3">
      <c r="A2708" t="s">
        <v>3799</v>
      </c>
      <c r="B2708" s="6">
        <v>45174</v>
      </c>
      <c r="C2708" s="6" t="str">
        <f t="shared" si="126"/>
        <v>Sep</v>
      </c>
      <c r="D2708" t="s">
        <v>53</v>
      </c>
      <c r="E2708" t="s">
        <v>36</v>
      </c>
      <c r="F2708" t="s">
        <v>932</v>
      </c>
      <c r="G2708">
        <v>7</v>
      </c>
      <c r="H2708" s="7">
        <v>432.95</v>
      </c>
      <c r="I2708" t="s">
        <v>19</v>
      </c>
      <c r="J2708" t="s">
        <v>19</v>
      </c>
      <c r="K2708">
        <v>5</v>
      </c>
      <c r="L2708" s="7">
        <f t="shared" si="127"/>
        <v>3030.65</v>
      </c>
      <c r="M2708" s="7"/>
      <c r="O2708">
        <f t="shared" si="128"/>
        <v>4</v>
      </c>
      <c r="Q2708" t="s">
        <v>19</v>
      </c>
    </row>
    <row r="2709" spans="1:17" x14ac:dyDescent="0.3">
      <c r="A2709" t="s">
        <v>3800</v>
      </c>
      <c r="B2709" s="6">
        <v>45273</v>
      </c>
      <c r="C2709" s="6" t="str">
        <f t="shared" si="126"/>
        <v>Dec</v>
      </c>
      <c r="D2709" t="s">
        <v>219</v>
      </c>
      <c r="E2709" t="s">
        <v>36</v>
      </c>
      <c r="F2709" t="s">
        <v>1085</v>
      </c>
      <c r="G2709">
        <v>8</v>
      </c>
      <c r="H2709" s="7">
        <v>252.29</v>
      </c>
      <c r="I2709" t="s">
        <v>46</v>
      </c>
      <c r="J2709" t="s">
        <v>22</v>
      </c>
      <c r="K2709">
        <v>15</v>
      </c>
      <c r="L2709" s="7">
        <f t="shared" si="127"/>
        <v>2018.32</v>
      </c>
      <c r="M2709" s="7"/>
      <c r="O2709">
        <f t="shared" si="128"/>
        <v>2</v>
      </c>
      <c r="Q2709" t="s">
        <v>47</v>
      </c>
    </row>
    <row r="2710" spans="1:17" x14ac:dyDescent="0.3">
      <c r="A2710" t="s">
        <v>3801</v>
      </c>
      <c r="B2710" s="6">
        <v>45014</v>
      </c>
      <c r="C2710" s="6" t="str">
        <f t="shared" si="126"/>
        <v>Mar</v>
      </c>
      <c r="D2710" t="s">
        <v>1412</v>
      </c>
      <c r="E2710" t="s">
        <v>62</v>
      </c>
      <c r="F2710" t="s">
        <v>353</v>
      </c>
      <c r="G2710">
        <v>9</v>
      </c>
      <c r="H2710" s="7">
        <v>222.06</v>
      </c>
      <c r="I2710" t="s">
        <v>19</v>
      </c>
      <c r="J2710" t="s">
        <v>42</v>
      </c>
      <c r="K2710">
        <v>10</v>
      </c>
      <c r="L2710" s="7">
        <f t="shared" si="127"/>
        <v>1998.54</v>
      </c>
      <c r="M2710" s="7"/>
      <c r="O2710">
        <f t="shared" si="128"/>
        <v>2</v>
      </c>
      <c r="Q2710" t="s">
        <v>19</v>
      </c>
    </row>
    <row r="2711" spans="1:17" x14ac:dyDescent="0.3">
      <c r="A2711" t="s">
        <v>3802</v>
      </c>
      <c r="B2711" s="6">
        <v>45214</v>
      </c>
      <c r="C2711" s="6" t="str">
        <f t="shared" si="126"/>
        <v>Oct</v>
      </c>
      <c r="D2711" t="s">
        <v>1818</v>
      </c>
      <c r="E2711" t="s">
        <v>31</v>
      </c>
      <c r="F2711" t="s">
        <v>185</v>
      </c>
      <c r="G2711">
        <v>6</v>
      </c>
      <c r="H2711" s="7">
        <v>307.45999999999998</v>
      </c>
      <c r="I2711" t="s">
        <v>64</v>
      </c>
      <c r="J2711" t="s">
        <v>19</v>
      </c>
      <c r="K2711">
        <v>20</v>
      </c>
      <c r="L2711" s="7">
        <f t="shared" si="127"/>
        <v>1844.7599999999998</v>
      </c>
      <c r="M2711" s="7"/>
      <c r="O2711">
        <f t="shared" si="128"/>
        <v>2</v>
      </c>
      <c r="Q2711" t="s">
        <v>65</v>
      </c>
    </row>
    <row r="2712" spans="1:17" x14ac:dyDescent="0.3">
      <c r="A2712" t="s">
        <v>3803</v>
      </c>
      <c r="B2712" s="6">
        <v>45098</v>
      </c>
      <c r="C2712" s="6" t="str">
        <f t="shared" si="126"/>
        <v>Jun</v>
      </c>
      <c r="D2712" t="s">
        <v>1412</v>
      </c>
      <c r="E2712" t="s">
        <v>31</v>
      </c>
      <c r="F2712" t="s">
        <v>165</v>
      </c>
      <c r="G2712">
        <v>5</v>
      </c>
      <c r="H2712" s="7">
        <v>313.98</v>
      </c>
      <c r="I2712" t="s">
        <v>46</v>
      </c>
      <c r="J2712" t="s">
        <v>19</v>
      </c>
      <c r="K2712">
        <v>20</v>
      </c>
      <c r="L2712" s="7">
        <f t="shared" si="127"/>
        <v>1569.9</v>
      </c>
      <c r="M2712" s="7"/>
      <c r="O2712">
        <f t="shared" si="128"/>
        <v>2</v>
      </c>
      <c r="Q2712" t="s">
        <v>47</v>
      </c>
    </row>
    <row r="2713" spans="1:17" x14ac:dyDescent="0.3">
      <c r="A2713" t="s">
        <v>3804</v>
      </c>
      <c r="B2713" s="6">
        <v>45212</v>
      </c>
      <c r="C2713" s="6" t="str">
        <f t="shared" si="126"/>
        <v>Oct</v>
      </c>
      <c r="D2713" t="s">
        <v>2754</v>
      </c>
      <c r="E2713" t="s">
        <v>36</v>
      </c>
      <c r="F2713" t="s">
        <v>113</v>
      </c>
      <c r="G2713">
        <v>6</v>
      </c>
      <c r="H2713" s="7">
        <v>70.36</v>
      </c>
      <c r="I2713" t="s">
        <v>46</v>
      </c>
      <c r="J2713" t="s">
        <v>72</v>
      </c>
      <c r="K2713">
        <v>10</v>
      </c>
      <c r="L2713" s="7">
        <f t="shared" si="127"/>
        <v>422.15999999999997</v>
      </c>
      <c r="M2713" s="7"/>
      <c r="O2713">
        <f t="shared" si="128"/>
        <v>2</v>
      </c>
      <c r="Q2713" t="s">
        <v>47</v>
      </c>
    </row>
    <row r="2714" spans="1:17" x14ac:dyDescent="0.3">
      <c r="A2714" t="s">
        <v>3805</v>
      </c>
      <c r="B2714" s="6">
        <v>45015</v>
      </c>
      <c r="C2714" s="6" t="str">
        <f t="shared" si="126"/>
        <v>Mar</v>
      </c>
      <c r="D2714" t="s">
        <v>3806</v>
      </c>
      <c r="E2714" t="s">
        <v>50</v>
      </c>
      <c r="F2714" t="s">
        <v>1282</v>
      </c>
      <c r="G2714">
        <v>2</v>
      </c>
      <c r="H2714" s="7">
        <v>379.34</v>
      </c>
      <c r="I2714" t="s">
        <v>32</v>
      </c>
      <c r="J2714" t="s">
        <v>28</v>
      </c>
      <c r="K2714">
        <v>15</v>
      </c>
      <c r="L2714" s="7">
        <f t="shared" si="127"/>
        <v>758.68</v>
      </c>
      <c r="M2714" s="7"/>
      <c r="O2714">
        <f t="shared" si="128"/>
        <v>2</v>
      </c>
      <c r="Q2714" t="s">
        <v>33</v>
      </c>
    </row>
    <row r="2715" spans="1:17" x14ac:dyDescent="0.3">
      <c r="A2715" t="s">
        <v>3807</v>
      </c>
      <c r="B2715" s="6">
        <v>45086</v>
      </c>
      <c r="C2715" s="6" t="str">
        <f t="shared" si="126"/>
        <v>Jun</v>
      </c>
      <c r="D2715" t="s">
        <v>2954</v>
      </c>
      <c r="E2715" t="s">
        <v>50</v>
      </c>
      <c r="F2715" t="s">
        <v>944</v>
      </c>
      <c r="G2715">
        <v>4</v>
      </c>
      <c r="H2715" s="7">
        <v>141.58000000000001</v>
      </c>
      <c r="I2715" t="s">
        <v>103</v>
      </c>
      <c r="J2715" t="s">
        <v>22</v>
      </c>
      <c r="K2715">
        <v>10</v>
      </c>
      <c r="L2715" s="7">
        <f t="shared" si="127"/>
        <v>566.32000000000005</v>
      </c>
      <c r="M2715" s="7"/>
      <c r="O2715">
        <f t="shared" si="128"/>
        <v>2</v>
      </c>
      <c r="Q2715" t="s">
        <v>104</v>
      </c>
    </row>
    <row r="2716" spans="1:17" x14ac:dyDescent="0.3">
      <c r="A2716" t="s">
        <v>3808</v>
      </c>
      <c r="B2716" s="6">
        <v>45122</v>
      </c>
      <c r="C2716" s="6" t="str">
        <f t="shared" si="126"/>
        <v>Jul</v>
      </c>
      <c r="D2716" t="s">
        <v>1416</v>
      </c>
      <c r="E2716" t="s">
        <v>19</v>
      </c>
      <c r="F2716" t="s">
        <v>386</v>
      </c>
      <c r="G2716">
        <v>3</v>
      </c>
      <c r="H2716" s="7">
        <v>452.96</v>
      </c>
      <c r="I2716" t="s">
        <v>32</v>
      </c>
      <c r="J2716" t="s">
        <v>22</v>
      </c>
      <c r="K2716">
        <v>10</v>
      </c>
      <c r="L2716" s="7">
        <f t="shared" si="127"/>
        <v>1358.8799999999999</v>
      </c>
      <c r="M2716" s="7"/>
      <c r="O2716">
        <f t="shared" si="128"/>
        <v>2</v>
      </c>
      <c r="Q2716" t="s">
        <v>33</v>
      </c>
    </row>
    <row r="2717" spans="1:17" x14ac:dyDescent="0.3">
      <c r="A2717" t="s">
        <v>3809</v>
      </c>
      <c r="B2717" s="6">
        <v>45249</v>
      </c>
      <c r="C2717" s="6" t="str">
        <f t="shared" si="126"/>
        <v>Nov</v>
      </c>
      <c r="D2717" t="s">
        <v>3409</v>
      </c>
      <c r="E2717" t="s">
        <v>26</v>
      </c>
      <c r="F2717" t="s">
        <v>281</v>
      </c>
      <c r="G2717">
        <v>7</v>
      </c>
      <c r="H2717" s="7">
        <v>409.84</v>
      </c>
      <c r="I2717" t="s">
        <v>46</v>
      </c>
      <c r="J2717" t="s">
        <v>72</v>
      </c>
      <c r="K2717">
        <v>5</v>
      </c>
      <c r="L2717" s="7">
        <f t="shared" si="127"/>
        <v>2868.8799999999997</v>
      </c>
      <c r="M2717" s="7"/>
      <c r="O2717">
        <f t="shared" si="128"/>
        <v>3</v>
      </c>
      <c r="Q2717" t="s">
        <v>47</v>
      </c>
    </row>
    <row r="2718" spans="1:17" x14ac:dyDescent="0.3">
      <c r="A2718" t="s">
        <v>3810</v>
      </c>
      <c r="B2718" s="6">
        <v>44986</v>
      </c>
      <c r="C2718" s="6" t="str">
        <f t="shared" si="126"/>
        <v>Mar</v>
      </c>
      <c r="D2718" t="s">
        <v>1315</v>
      </c>
      <c r="E2718" t="s">
        <v>40</v>
      </c>
      <c r="F2718" t="s">
        <v>1023</v>
      </c>
      <c r="G2718">
        <v>9</v>
      </c>
      <c r="H2718" s="7">
        <v>176.4</v>
      </c>
      <c r="I2718" t="s">
        <v>19</v>
      </c>
      <c r="J2718" t="s">
        <v>87</v>
      </c>
      <c r="K2718">
        <v>10</v>
      </c>
      <c r="L2718" s="7">
        <f t="shared" si="127"/>
        <v>1587.6000000000001</v>
      </c>
      <c r="M2718" s="7"/>
      <c r="O2718">
        <f t="shared" si="128"/>
        <v>2</v>
      </c>
      <c r="Q2718" t="s">
        <v>19</v>
      </c>
    </row>
    <row r="2719" spans="1:17" x14ac:dyDescent="0.3">
      <c r="A2719" t="s">
        <v>3811</v>
      </c>
      <c r="B2719" s="6">
        <v>45095</v>
      </c>
      <c r="C2719" s="6" t="str">
        <f t="shared" si="126"/>
        <v>Jun</v>
      </c>
      <c r="D2719" t="s">
        <v>25</v>
      </c>
      <c r="E2719" t="s">
        <v>62</v>
      </c>
      <c r="F2719" t="s">
        <v>1038</v>
      </c>
      <c r="G2719">
        <v>5</v>
      </c>
      <c r="H2719" s="7">
        <v>404.83</v>
      </c>
      <c r="I2719" t="s">
        <v>103</v>
      </c>
      <c r="J2719" t="s">
        <v>87</v>
      </c>
      <c r="K2719">
        <v>5</v>
      </c>
      <c r="L2719" s="7">
        <f t="shared" si="127"/>
        <v>2024.1499999999999</v>
      </c>
      <c r="M2719" s="7"/>
      <c r="O2719">
        <f t="shared" si="128"/>
        <v>2</v>
      </c>
      <c r="Q2719" t="s">
        <v>104</v>
      </c>
    </row>
    <row r="2720" spans="1:17" x14ac:dyDescent="0.3">
      <c r="A2720" t="s">
        <v>3812</v>
      </c>
      <c r="B2720" s="6">
        <v>45130</v>
      </c>
      <c r="C2720" s="6" t="str">
        <f t="shared" si="126"/>
        <v>Jul</v>
      </c>
      <c r="D2720" t="s">
        <v>395</v>
      </c>
      <c r="E2720" t="s">
        <v>40</v>
      </c>
      <c r="F2720" t="s">
        <v>41</v>
      </c>
      <c r="G2720">
        <v>6</v>
      </c>
      <c r="H2720" s="7">
        <v>181.41</v>
      </c>
      <c r="I2720" t="s">
        <v>64</v>
      </c>
      <c r="J2720" t="s">
        <v>42</v>
      </c>
      <c r="K2720">
        <v>10</v>
      </c>
      <c r="L2720" s="7">
        <f t="shared" si="127"/>
        <v>1088.46</v>
      </c>
      <c r="M2720" s="7"/>
      <c r="O2720">
        <f t="shared" si="128"/>
        <v>2</v>
      </c>
      <c r="Q2720" t="s">
        <v>65</v>
      </c>
    </row>
    <row r="2721" spans="1:17" x14ac:dyDescent="0.3">
      <c r="A2721" t="s">
        <v>3813</v>
      </c>
      <c r="B2721" s="6">
        <v>45010</v>
      </c>
      <c r="C2721" s="6" t="str">
        <f t="shared" si="126"/>
        <v>Mar</v>
      </c>
      <c r="D2721" t="s">
        <v>1154</v>
      </c>
      <c r="E2721" t="s">
        <v>31</v>
      </c>
      <c r="F2721" t="s">
        <v>81</v>
      </c>
      <c r="G2721">
        <v>2</v>
      </c>
      <c r="H2721" s="7">
        <v>54.97</v>
      </c>
      <c r="I2721" t="s">
        <v>103</v>
      </c>
      <c r="J2721" t="s">
        <v>28</v>
      </c>
      <c r="K2721">
        <v>10</v>
      </c>
      <c r="L2721" s="7">
        <f t="shared" si="127"/>
        <v>109.94</v>
      </c>
      <c r="M2721" s="7"/>
      <c r="O2721">
        <f t="shared" si="128"/>
        <v>2</v>
      </c>
      <c r="Q2721" t="s">
        <v>104</v>
      </c>
    </row>
    <row r="2722" spans="1:17" x14ac:dyDescent="0.3">
      <c r="A2722" t="s">
        <v>3814</v>
      </c>
      <c r="B2722" s="6">
        <v>45151</v>
      </c>
      <c r="C2722" s="6" t="str">
        <f t="shared" si="126"/>
        <v>Aug</v>
      </c>
      <c r="D2722" t="s">
        <v>1664</v>
      </c>
      <c r="E2722" t="s">
        <v>19</v>
      </c>
      <c r="F2722" t="s">
        <v>84</v>
      </c>
      <c r="G2722">
        <v>3</v>
      </c>
      <c r="H2722" s="7">
        <v>481.13</v>
      </c>
      <c r="I2722" t="s">
        <v>46</v>
      </c>
      <c r="J2722" t="s">
        <v>22</v>
      </c>
      <c r="K2722">
        <v>15</v>
      </c>
      <c r="L2722" s="7">
        <f t="shared" si="127"/>
        <v>1443.3899999999999</v>
      </c>
      <c r="M2722" s="7"/>
      <c r="O2722">
        <f t="shared" si="128"/>
        <v>2</v>
      </c>
      <c r="Q2722" t="s">
        <v>47</v>
      </c>
    </row>
    <row r="2723" spans="1:17" x14ac:dyDescent="0.3">
      <c r="A2723" t="s">
        <v>3815</v>
      </c>
      <c r="B2723" s="6">
        <v>44933</v>
      </c>
      <c r="C2723" s="6" t="str">
        <f t="shared" si="126"/>
        <v>Jan</v>
      </c>
      <c r="D2723" t="s">
        <v>405</v>
      </c>
      <c r="E2723" t="s">
        <v>19</v>
      </c>
      <c r="F2723" t="s">
        <v>598</v>
      </c>
      <c r="G2723">
        <v>3</v>
      </c>
      <c r="H2723" s="7">
        <v>328.04</v>
      </c>
      <c r="I2723" t="s">
        <v>19</v>
      </c>
      <c r="J2723" t="s">
        <v>19</v>
      </c>
      <c r="K2723">
        <v>10</v>
      </c>
      <c r="L2723" s="7">
        <f t="shared" si="127"/>
        <v>984.12000000000012</v>
      </c>
      <c r="M2723" s="7"/>
      <c r="O2723">
        <f t="shared" si="128"/>
        <v>2</v>
      </c>
      <c r="Q2723" t="s">
        <v>19</v>
      </c>
    </row>
    <row r="2724" spans="1:17" x14ac:dyDescent="0.3">
      <c r="A2724" t="s">
        <v>3816</v>
      </c>
      <c r="B2724" s="6">
        <v>45159</v>
      </c>
      <c r="C2724" s="6" t="str">
        <f t="shared" si="126"/>
        <v>Aug</v>
      </c>
      <c r="D2724" t="s">
        <v>425</v>
      </c>
      <c r="E2724" t="s">
        <v>19</v>
      </c>
      <c r="F2724" t="s">
        <v>231</v>
      </c>
      <c r="G2724">
        <v>9</v>
      </c>
      <c r="H2724" s="7">
        <v>230.77</v>
      </c>
      <c r="I2724" t="s">
        <v>103</v>
      </c>
      <c r="J2724" t="s">
        <v>19</v>
      </c>
      <c r="K2724">
        <v>20</v>
      </c>
      <c r="L2724" s="7">
        <f t="shared" si="127"/>
        <v>2076.9300000000003</v>
      </c>
      <c r="M2724" s="7"/>
      <c r="O2724">
        <f t="shared" si="128"/>
        <v>2</v>
      </c>
      <c r="Q2724" t="s">
        <v>104</v>
      </c>
    </row>
    <row r="2725" spans="1:17" x14ac:dyDescent="0.3">
      <c r="A2725" t="s">
        <v>3817</v>
      </c>
      <c r="B2725" s="6">
        <v>45212</v>
      </c>
      <c r="C2725" s="6" t="str">
        <f t="shared" si="126"/>
        <v>Oct</v>
      </c>
      <c r="D2725" t="s">
        <v>938</v>
      </c>
      <c r="E2725" t="s">
        <v>62</v>
      </c>
      <c r="F2725" t="s">
        <v>480</v>
      </c>
      <c r="G2725">
        <v>7</v>
      </c>
      <c r="H2725" s="7">
        <v>201.9</v>
      </c>
      <c r="I2725" t="s">
        <v>103</v>
      </c>
      <c r="J2725" t="s">
        <v>19</v>
      </c>
      <c r="K2725">
        <v>5</v>
      </c>
      <c r="L2725" s="7">
        <f t="shared" si="127"/>
        <v>1413.3</v>
      </c>
      <c r="M2725" s="7"/>
      <c r="O2725">
        <f t="shared" si="128"/>
        <v>2</v>
      </c>
      <c r="Q2725" t="s">
        <v>104</v>
      </c>
    </row>
    <row r="2726" spans="1:17" x14ac:dyDescent="0.3">
      <c r="A2726" t="s">
        <v>3818</v>
      </c>
      <c r="B2726" s="6">
        <v>45145</v>
      </c>
      <c r="C2726" s="6" t="str">
        <f t="shared" si="126"/>
        <v>Aug</v>
      </c>
      <c r="D2726" t="s">
        <v>639</v>
      </c>
      <c r="E2726" t="s">
        <v>40</v>
      </c>
      <c r="F2726" t="s">
        <v>71</v>
      </c>
      <c r="G2726">
        <v>8</v>
      </c>
      <c r="H2726" s="7">
        <v>165.73</v>
      </c>
      <c r="I2726" t="s">
        <v>19</v>
      </c>
      <c r="J2726" t="s">
        <v>19</v>
      </c>
      <c r="K2726">
        <v>5</v>
      </c>
      <c r="L2726" s="7">
        <f t="shared" si="127"/>
        <v>1325.84</v>
      </c>
      <c r="M2726" s="7"/>
      <c r="O2726">
        <f t="shared" si="128"/>
        <v>2</v>
      </c>
      <c r="Q2726" t="s">
        <v>19</v>
      </c>
    </row>
    <row r="2727" spans="1:17" x14ac:dyDescent="0.3">
      <c r="A2727" t="s">
        <v>3819</v>
      </c>
      <c r="B2727" s="6">
        <v>44983</v>
      </c>
      <c r="C2727" s="6" t="str">
        <f t="shared" si="126"/>
        <v>Feb</v>
      </c>
      <c r="D2727" t="s">
        <v>837</v>
      </c>
      <c r="E2727" t="s">
        <v>19</v>
      </c>
      <c r="F2727" t="s">
        <v>944</v>
      </c>
      <c r="G2727">
        <v>9</v>
      </c>
      <c r="H2727" s="7">
        <v>490.82</v>
      </c>
      <c r="I2727" t="s">
        <v>32</v>
      </c>
      <c r="J2727" t="s">
        <v>19</v>
      </c>
      <c r="K2727">
        <v>15</v>
      </c>
      <c r="L2727" s="7">
        <f t="shared" si="127"/>
        <v>4417.38</v>
      </c>
      <c r="M2727" s="7"/>
      <c r="O2727">
        <f t="shared" si="128"/>
        <v>5</v>
      </c>
      <c r="Q2727" t="s">
        <v>33</v>
      </c>
    </row>
    <row r="2728" spans="1:17" x14ac:dyDescent="0.3">
      <c r="A2728" t="s">
        <v>3820</v>
      </c>
      <c r="B2728" s="6">
        <v>45267</v>
      </c>
      <c r="C2728" s="6" t="str">
        <f t="shared" si="126"/>
        <v>Dec</v>
      </c>
      <c r="D2728" t="s">
        <v>3227</v>
      </c>
      <c r="E2728" t="s">
        <v>26</v>
      </c>
      <c r="F2728" t="s">
        <v>488</v>
      </c>
      <c r="G2728">
        <v>6</v>
      </c>
      <c r="H2728" s="7">
        <v>71.7</v>
      </c>
      <c r="I2728" t="s">
        <v>46</v>
      </c>
      <c r="J2728" t="s">
        <v>42</v>
      </c>
      <c r="K2728">
        <v>5</v>
      </c>
      <c r="L2728" s="7">
        <f t="shared" si="127"/>
        <v>430.20000000000005</v>
      </c>
      <c r="M2728" s="7"/>
      <c r="O2728">
        <f t="shared" si="128"/>
        <v>2</v>
      </c>
      <c r="Q2728" t="s">
        <v>47</v>
      </c>
    </row>
    <row r="2729" spans="1:17" x14ac:dyDescent="0.3">
      <c r="A2729" t="s">
        <v>3821</v>
      </c>
      <c r="B2729" s="6">
        <v>44972</v>
      </c>
      <c r="C2729" s="6" t="str">
        <f t="shared" si="126"/>
        <v>Feb</v>
      </c>
      <c r="D2729" t="s">
        <v>2108</v>
      </c>
      <c r="E2729" t="s">
        <v>36</v>
      </c>
      <c r="F2729" t="s">
        <v>1206</v>
      </c>
      <c r="G2729">
        <v>4</v>
      </c>
      <c r="H2729" s="7">
        <v>160.83000000000001</v>
      </c>
      <c r="I2729" t="s">
        <v>103</v>
      </c>
      <c r="J2729" t="s">
        <v>72</v>
      </c>
      <c r="K2729">
        <v>5</v>
      </c>
      <c r="L2729" s="7">
        <f t="shared" si="127"/>
        <v>643.32000000000005</v>
      </c>
      <c r="M2729" s="7"/>
      <c r="O2729">
        <f t="shared" si="128"/>
        <v>2</v>
      </c>
      <c r="Q2729" t="s">
        <v>104</v>
      </c>
    </row>
    <row r="2730" spans="1:17" x14ac:dyDescent="0.3">
      <c r="A2730" t="s">
        <v>3822</v>
      </c>
      <c r="B2730" s="6">
        <v>44951</v>
      </c>
      <c r="C2730" s="6" t="str">
        <f t="shared" si="126"/>
        <v>Jan</v>
      </c>
      <c r="D2730" t="s">
        <v>652</v>
      </c>
      <c r="E2730" t="s">
        <v>62</v>
      </c>
      <c r="F2730" t="s">
        <v>556</v>
      </c>
      <c r="G2730">
        <v>1</v>
      </c>
      <c r="H2730" s="7">
        <v>245.32</v>
      </c>
      <c r="I2730" t="s">
        <v>19</v>
      </c>
      <c r="J2730" t="s">
        <v>22</v>
      </c>
      <c r="K2730">
        <v>15</v>
      </c>
      <c r="L2730" s="7">
        <f t="shared" si="127"/>
        <v>245.32</v>
      </c>
      <c r="M2730" s="7"/>
      <c r="O2730">
        <f t="shared" si="128"/>
        <v>2</v>
      </c>
      <c r="Q2730" t="s">
        <v>19</v>
      </c>
    </row>
    <row r="2731" spans="1:17" x14ac:dyDescent="0.3">
      <c r="A2731" t="s">
        <v>3823</v>
      </c>
      <c r="B2731" s="6">
        <v>44985</v>
      </c>
      <c r="C2731" s="6" t="str">
        <f t="shared" si="126"/>
        <v>Feb</v>
      </c>
      <c r="D2731" t="s">
        <v>219</v>
      </c>
      <c r="E2731" t="s">
        <v>31</v>
      </c>
      <c r="F2731" t="s">
        <v>20</v>
      </c>
      <c r="G2731">
        <v>8</v>
      </c>
      <c r="H2731" s="7">
        <v>241.61</v>
      </c>
      <c r="I2731" t="s">
        <v>46</v>
      </c>
      <c r="J2731" t="s">
        <v>22</v>
      </c>
      <c r="K2731">
        <v>10</v>
      </c>
      <c r="L2731" s="7">
        <f t="shared" si="127"/>
        <v>1932.88</v>
      </c>
      <c r="M2731" s="7"/>
      <c r="O2731">
        <f t="shared" si="128"/>
        <v>2</v>
      </c>
      <c r="Q2731" t="s">
        <v>47</v>
      </c>
    </row>
    <row r="2732" spans="1:17" x14ac:dyDescent="0.3">
      <c r="A2732" t="s">
        <v>3824</v>
      </c>
      <c r="B2732" s="6">
        <v>45187</v>
      </c>
      <c r="C2732" s="6" t="str">
        <f t="shared" si="126"/>
        <v>Sep</v>
      </c>
      <c r="D2732" t="s">
        <v>3825</v>
      </c>
      <c r="E2732" t="s">
        <v>19</v>
      </c>
      <c r="F2732" t="s">
        <v>295</v>
      </c>
      <c r="G2732">
        <v>7</v>
      </c>
      <c r="H2732" s="7">
        <v>238.33</v>
      </c>
      <c r="I2732" t="s">
        <v>21</v>
      </c>
      <c r="J2732" t="s">
        <v>28</v>
      </c>
      <c r="K2732">
        <v>10</v>
      </c>
      <c r="L2732" s="7">
        <f t="shared" si="127"/>
        <v>1668.3100000000002</v>
      </c>
      <c r="M2732" s="7"/>
      <c r="O2732">
        <f t="shared" si="128"/>
        <v>2</v>
      </c>
      <c r="Q2732" t="s">
        <v>23</v>
      </c>
    </row>
    <row r="2733" spans="1:17" x14ac:dyDescent="0.3">
      <c r="A2733" t="s">
        <v>3826</v>
      </c>
      <c r="B2733" s="6">
        <v>45206</v>
      </c>
      <c r="C2733" s="6" t="str">
        <f t="shared" si="126"/>
        <v>Oct</v>
      </c>
      <c r="D2733" t="s">
        <v>3825</v>
      </c>
      <c r="E2733" t="s">
        <v>26</v>
      </c>
      <c r="F2733" t="s">
        <v>383</v>
      </c>
      <c r="G2733">
        <v>2</v>
      </c>
      <c r="H2733" s="7">
        <v>92.01</v>
      </c>
      <c r="I2733" t="s">
        <v>64</v>
      </c>
      <c r="J2733" t="s">
        <v>28</v>
      </c>
      <c r="K2733">
        <v>10</v>
      </c>
      <c r="L2733" s="7">
        <f t="shared" si="127"/>
        <v>184.02</v>
      </c>
      <c r="M2733" s="7"/>
      <c r="O2733">
        <f t="shared" si="128"/>
        <v>2</v>
      </c>
      <c r="Q2733" t="s">
        <v>65</v>
      </c>
    </row>
    <row r="2734" spans="1:17" x14ac:dyDescent="0.3">
      <c r="A2734" t="s">
        <v>3827</v>
      </c>
      <c r="B2734" s="6">
        <v>45150</v>
      </c>
      <c r="C2734" s="6" t="str">
        <f t="shared" si="126"/>
        <v>Aug</v>
      </c>
      <c r="D2734" t="s">
        <v>1543</v>
      </c>
      <c r="E2734" t="s">
        <v>19</v>
      </c>
      <c r="F2734" t="s">
        <v>102</v>
      </c>
      <c r="G2734">
        <v>8</v>
      </c>
      <c r="H2734" s="7">
        <v>76.739999999999995</v>
      </c>
      <c r="I2734" t="s">
        <v>46</v>
      </c>
      <c r="J2734" t="s">
        <v>19</v>
      </c>
      <c r="K2734">
        <v>20</v>
      </c>
      <c r="L2734" s="7">
        <f t="shared" si="127"/>
        <v>613.91999999999996</v>
      </c>
      <c r="M2734" s="7"/>
      <c r="O2734">
        <f t="shared" si="128"/>
        <v>2</v>
      </c>
      <c r="Q2734" t="s">
        <v>47</v>
      </c>
    </row>
    <row r="2735" spans="1:17" x14ac:dyDescent="0.3">
      <c r="A2735" t="s">
        <v>3828</v>
      </c>
      <c r="B2735" s="6">
        <v>45200</v>
      </c>
      <c r="C2735" s="6" t="str">
        <f t="shared" si="126"/>
        <v>Oct</v>
      </c>
      <c r="D2735" t="s">
        <v>1187</v>
      </c>
      <c r="E2735" t="s">
        <v>19</v>
      </c>
      <c r="F2735" t="s">
        <v>131</v>
      </c>
      <c r="G2735">
        <v>5</v>
      </c>
      <c r="H2735" s="7">
        <v>131.11000000000001</v>
      </c>
      <c r="I2735" t="s">
        <v>19</v>
      </c>
      <c r="J2735" t="s">
        <v>28</v>
      </c>
      <c r="K2735">
        <v>20</v>
      </c>
      <c r="L2735" s="7">
        <f t="shared" si="127"/>
        <v>655.55000000000007</v>
      </c>
      <c r="M2735" s="7"/>
      <c r="O2735">
        <f t="shared" si="128"/>
        <v>2</v>
      </c>
      <c r="Q2735" t="s">
        <v>19</v>
      </c>
    </row>
    <row r="2736" spans="1:17" x14ac:dyDescent="0.3">
      <c r="A2736" t="s">
        <v>3829</v>
      </c>
      <c r="B2736" s="6">
        <v>45106</v>
      </c>
      <c r="C2736" s="6" t="str">
        <f t="shared" si="126"/>
        <v>Jun</v>
      </c>
      <c r="D2736" t="s">
        <v>3830</v>
      </c>
      <c r="E2736" t="s">
        <v>31</v>
      </c>
      <c r="F2736" t="s">
        <v>389</v>
      </c>
      <c r="G2736">
        <v>7</v>
      </c>
      <c r="H2736" s="7">
        <v>457.69</v>
      </c>
      <c r="I2736" t="s">
        <v>32</v>
      </c>
      <c r="J2736" t="s">
        <v>28</v>
      </c>
      <c r="K2736">
        <v>5</v>
      </c>
      <c r="L2736" s="7">
        <f t="shared" si="127"/>
        <v>3203.83</v>
      </c>
      <c r="M2736" s="7"/>
      <c r="O2736">
        <f t="shared" si="128"/>
        <v>4</v>
      </c>
      <c r="Q2736" t="s">
        <v>33</v>
      </c>
    </row>
    <row r="2737" spans="1:17" x14ac:dyDescent="0.3">
      <c r="A2737" t="s">
        <v>3831</v>
      </c>
      <c r="B2737" s="6">
        <v>45016</v>
      </c>
      <c r="C2737" s="6" t="str">
        <f t="shared" si="126"/>
        <v>Mar</v>
      </c>
      <c r="D2737" t="s">
        <v>855</v>
      </c>
      <c r="E2737" t="s">
        <v>50</v>
      </c>
      <c r="F2737" t="s">
        <v>267</v>
      </c>
      <c r="G2737">
        <v>4</v>
      </c>
      <c r="H2737" s="7">
        <v>60.96</v>
      </c>
      <c r="I2737" t="s">
        <v>103</v>
      </c>
      <c r="J2737" t="s">
        <v>28</v>
      </c>
      <c r="K2737">
        <v>20</v>
      </c>
      <c r="L2737" s="7">
        <f t="shared" si="127"/>
        <v>243.84</v>
      </c>
      <c r="M2737" s="7"/>
      <c r="O2737">
        <f t="shared" si="128"/>
        <v>2</v>
      </c>
      <c r="Q2737" t="s">
        <v>104</v>
      </c>
    </row>
    <row r="2738" spans="1:17" x14ac:dyDescent="0.3">
      <c r="A2738" t="s">
        <v>3832</v>
      </c>
      <c r="B2738" s="6">
        <v>45244</v>
      </c>
      <c r="C2738" s="6" t="str">
        <f t="shared" si="126"/>
        <v>Nov</v>
      </c>
      <c r="D2738" t="s">
        <v>533</v>
      </c>
      <c r="E2738" t="s">
        <v>40</v>
      </c>
      <c r="F2738" t="s">
        <v>68</v>
      </c>
      <c r="G2738">
        <v>5</v>
      </c>
      <c r="H2738" s="7">
        <v>379.93</v>
      </c>
      <c r="I2738" t="s">
        <v>32</v>
      </c>
      <c r="J2738" t="s">
        <v>42</v>
      </c>
      <c r="K2738">
        <v>10</v>
      </c>
      <c r="L2738" s="7">
        <f t="shared" si="127"/>
        <v>1899.65</v>
      </c>
      <c r="M2738" s="7"/>
      <c r="O2738">
        <f t="shared" si="128"/>
        <v>2</v>
      </c>
      <c r="Q2738" t="s">
        <v>33</v>
      </c>
    </row>
    <row r="2739" spans="1:17" x14ac:dyDescent="0.3">
      <c r="A2739" t="s">
        <v>3833</v>
      </c>
      <c r="B2739" s="6">
        <v>44951</v>
      </c>
      <c r="C2739" s="6" t="str">
        <f t="shared" si="126"/>
        <v>Jan</v>
      </c>
      <c r="D2739" t="s">
        <v>2454</v>
      </c>
      <c r="E2739" t="s">
        <v>26</v>
      </c>
      <c r="F2739" t="s">
        <v>575</v>
      </c>
      <c r="G2739">
        <v>8</v>
      </c>
      <c r="H2739" s="7">
        <v>379.99</v>
      </c>
      <c r="I2739" t="s">
        <v>64</v>
      </c>
      <c r="J2739" t="s">
        <v>87</v>
      </c>
      <c r="K2739">
        <v>5</v>
      </c>
      <c r="L2739" s="7">
        <f t="shared" si="127"/>
        <v>3039.92</v>
      </c>
      <c r="M2739" s="7"/>
      <c r="O2739">
        <f t="shared" si="128"/>
        <v>4</v>
      </c>
      <c r="Q2739" t="s">
        <v>65</v>
      </c>
    </row>
    <row r="2740" spans="1:17" x14ac:dyDescent="0.3">
      <c r="A2740" t="s">
        <v>3834</v>
      </c>
      <c r="B2740" s="6">
        <v>44941</v>
      </c>
      <c r="C2740" s="6" t="str">
        <f t="shared" si="126"/>
        <v>Jan</v>
      </c>
      <c r="D2740" t="s">
        <v>1779</v>
      </c>
      <c r="E2740" t="s">
        <v>26</v>
      </c>
      <c r="F2740" t="s">
        <v>328</v>
      </c>
      <c r="G2740">
        <v>1</v>
      </c>
      <c r="H2740" s="7">
        <v>405.84</v>
      </c>
      <c r="I2740" t="s">
        <v>64</v>
      </c>
      <c r="J2740" t="s">
        <v>87</v>
      </c>
      <c r="K2740">
        <v>20</v>
      </c>
      <c r="L2740" s="7">
        <f t="shared" si="127"/>
        <v>405.84</v>
      </c>
      <c r="M2740" s="7"/>
      <c r="O2740">
        <f t="shared" si="128"/>
        <v>2</v>
      </c>
      <c r="Q2740" t="s">
        <v>65</v>
      </c>
    </row>
    <row r="2741" spans="1:17" x14ac:dyDescent="0.3">
      <c r="A2741" t="s">
        <v>3835</v>
      </c>
      <c r="B2741" s="6">
        <v>45106</v>
      </c>
      <c r="C2741" s="6" t="str">
        <f t="shared" si="126"/>
        <v>Jun</v>
      </c>
      <c r="D2741" t="s">
        <v>1850</v>
      </c>
      <c r="E2741" t="s">
        <v>62</v>
      </c>
      <c r="F2741" t="s">
        <v>514</v>
      </c>
      <c r="G2741">
        <v>1</v>
      </c>
      <c r="H2741" s="7">
        <v>443.87</v>
      </c>
      <c r="I2741" t="s">
        <v>21</v>
      </c>
      <c r="J2741" t="s">
        <v>22</v>
      </c>
      <c r="K2741">
        <v>0</v>
      </c>
      <c r="L2741" s="7">
        <f t="shared" si="127"/>
        <v>443.87</v>
      </c>
      <c r="M2741" s="7"/>
      <c r="O2741">
        <f t="shared" si="128"/>
        <v>2</v>
      </c>
      <c r="Q2741" t="s">
        <v>23</v>
      </c>
    </row>
    <row r="2742" spans="1:17" x14ac:dyDescent="0.3">
      <c r="A2742" t="s">
        <v>3836</v>
      </c>
      <c r="B2742" s="6">
        <v>45174</v>
      </c>
      <c r="C2742" s="6" t="str">
        <f t="shared" si="126"/>
        <v>Sep</v>
      </c>
      <c r="D2742" t="s">
        <v>1775</v>
      </c>
      <c r="E2742" t="s">
        <v>19</v>
      </c>
      <c r="F2742" t="s">
        <v>182</v>
      </c>
      <c r="G2742">
        <v>4</v>
      </c>
      <c r="H2742" s="7">
        <v>135.19999999999999</v>
      </c>
      <c r="I2742" t="s">
        <v>19</v>
      </c>
      <c r="J2742" t="s">
        <v>28</v>
      </c>
      <c r="K2742">
        <v>0</v>
      </c>
      <c r="L2742" s="7">
        <f t="shared" si="127"/>
        <v>540.79999999999995</v>
      </c>
      <c r="M2742" s="7"/>
      <c r="O2742">
        <f t="shared" si="128"/>
        <v>2</v>
      </c>
      <c r="Q2742" t="s">
        <v>19</v>
      </c>
    </row>
    <row r="2743" spans="1:17" x14ac:dyDescent="0.3">
      <c r="A2743" t="s">
        <v>3837</v>
      </c>
      <c r="B2743" s="6">
        <v>45292</v>
      </c>
      <c r="C2743" s="6" t="str">
        <f t="shared" si="126"/>
        <v>Jan</v>
      </c>
      <c r="D2743" t="s">
        <v>2485</v>
      </c>
      <c r="E2743" t="s">
        <v>19</v>
      </c>
      <c r="F2743" t="s">
        <v>1085</v>
      </c>
      <c r="G2743">
        <v>3</v>
      </c>
      <c r="H2743" s="7">
        <v>116.16</v>
      </c>
      <c r="I2743" t="s">
        <v>64</v>
      </c>
      <c r="J2743" t="s">
        <v>28</v>
      </c>
      <c r="K2743">
        <v>0</v>
      </c>
      <c r="L2743" s="7">
        <f t="shared" si="127"/>
        <v>348.48</v>
      </c>
      <c r="M2743" s="7"/>
      <c r="O2743">
        <f t="shared" si="128"/>
        <v>2</v>
      </c>
      <c r="Q2743" t="s">
        <v>65</v>
      </c>
    </row>
    <row r="2744" spans="1:17" x14ac:dyDescent="0.3">
      <c r="A2744" t="s">
        <v>3838</v>
      </c>
      <c r="B2744" s="6">
        <v>44981</v>
      </c>
      <c r="C2744" s="6" t="str">
        <f t="shared" si="126"/>
        <v>Feb</v>
      </c>
      <c r="D2744" t="s">
        <v>2342</v>
      </c>
      <c r="E2744" t="s">
        <v>40</v>
      </c>
      <c r="F2744" t="s">
        <v>237</v>
      </c>
      <c r="G2744">
        <v>2</v>
      </c>
      <c r="H2744" s="7">
        <v>235.43</v>
      </c>
      <c r="I2744" t="s">
        <v>64</v>
      </c>
      <c r="J2744" t="s">
        <v>87</v>
      </c>
      <c r="K2744">
        <v>0</v>
      </c>
      <c r="L2744" s="7">
        <f t="shared" si="127"/>
        <v>470.86</v>
      </c>
      <c r="M2744" s="7"/>
      <c r="O2744">
        <f t="shared" si="128"/>
        <v>2</v>
      </c>
      <c r="Q2744" t="s">
        <v>65</v>
      </c>
    </row>
    <row r="2745" spans="1:17" x14ac:dyDescent="0.3">
      <c r="A2745" t="s">
        <v>3839</v>
      </c>
      <c r="B2745" s="6">
        <v>44964</v>
      </c>
      <c r="C2745" s="6" t="str">
        <f t="shared" si="126"/>
        <v>Feb</v>
      </c>
      <c r="D2745" t="s">
        <v>1710</v>
      </c>
      <c r="E2745" t="s">
        <v>26</v>
      </c>
      <c r="F2745" t="s">
        <v>59</v>
      </c>
      <c r="G2745">
        <v>3</v>
      </c>
      <c r="H2745" s="7">
        <v>136.22</v>
      </c>
      <c r="I2745" t="s">
        <v>103</v>
      </c>
      <c r="J2745" t="s">
        <v>72</v>
      </c>
      <c r="K2745">
        <v>10</v>
      </c>
      <c r="L2745" s="7">
        <f t="shared" si="127"/>
        <v>408.65999999999997</v>
      </c>
      <c r="M2745" s="7"/>
      <c r="O2745">
        <f t="shared" si="128"/>
        <v>2</v>
      </c>
      <c r="Q2745" t="s">
        <v>104</v>
      </c>
    </row>
    <row r="2746" spans="1:17" x14ac:dyDescent="0.3">
      <c r="A2746" t="s">
        <v>3840</v>
      </c>
      <c r="B2746" s="6">
        <v>45073</v>
      </c>
      <c r="C2746" s="6" t="str">
        <f t="shared" si="126"/>
        <v>May</v>
      </c>
      <c r="D2746" t="s">
        <v>1638</v>
      </c>
      <c r="E2746" t="s">
        <v>19</v>
      </c>
      <c r="F2746" t="s">
        <v>517</v>
      </c>
      <c r="G2746">
        <v>1</v>
      </c>
      <c r="H2746" s="7">
        <v>368.48</v>
      </c>
      <c r="I2746" t="s">
        <v>46</v>
      </c>
      <c r="J2746" t="s">
        <v>19</v>
      </c>
      <c r="K2746">
        <v>0</v>
      </c>
      <c r="L2746" s="7">
        <f t="shared" si="127"/>
        <v>368.48</v>
      </c>
      <c r="M2746" s="7"/>
      <c r="O2746">
        <f t="shared" si="128"/>
        <v>2</v>
      </c>
      <c r="Q2746" t="s">
        <v>47</v>
      </c>
    </row>
    <row r="2747" spans="1:17" x14ac:dyDescent="0.3">
      <c r="A2747" t="s">
        <v>3841</v>
      </c>
      <c r="B2747" s="6">
        <v>45043</v>
      </c>
      <c r="C2747" s="6" t="str">
        <f t="shared" si="126"/>
        <v>Apr</v>
      </c>
      <c r="D2747" t="s">
        <v>1313</v>
      </c>
      <c r="E2747" t="s">
        <v>40</v>
      </c>
      <c r="F2747" t="s">
        <v>84</v>
      </c>
      <c r="G2747">
        <v>1</v>
      </c>
      <c r="H2747" s="7">
        <v>319.79000000000002</v>
      </c>
      <c r="I2747" t="s">
        <v>32</v>
      </c>
      <c r="J2747" t="s">
        <v>19</v>
      </c>
      <c r="K2747">
        <v>5</v>
      </c>
      <c r="L2747" s="7">
        <f t="shared" si="127"/>
        <v>319.79000000000002</v>
      </c>
      <c r="M2747" s="7"/>
      <c r="O2747">
        <f t="shared" si="128"/>
        <v>2</v>
      </c>
      <c r="Q2747" t="s">
        <v>33</v>
      </c>
    </row>
    <row r="2748" spans="1:17" x14ac:dyDescent="0.3">
      <c r="A2748" t="s">
        <v>3842</v>
      </c>
      <c r="B2748" s="6">
        <v>45092</v>
      </c>
      <c r="C2748" s="6" t="str">
        <f t="shared" si="126"/>
        <v>Jun</v>
      </c>
      <c r="D2748" t="s">
        <v>402</v>
      </c>
      <c r="E2748" t="s">
        <v>26</v>
      </c>
      <c r="F2748" t="s">
        <v>887</v>
      </c>
      <c r="G2748">
        <v>6</v>
      </c>
      <c r="H2748" s="7">
        <v>438.12</v>
      </c>
      <c r="I2748" t="s">
        <v>46</v>
      </c>
      <c r="J2748" t="s">
        <v>19</v>
      </c>
      <c r="K2748">
        <v>15</v>
      </c>
      <c r="L2748" s="7">
        <f t="shared" si="127"/>
        <v>2628.7200000000003</v>
      </c>
      <c r="M2748" s="7"/>
      <c r="O2748">
        <f t="shared" si="128"/>
        <v>3</v>
      </c>
      <c r="Q2748" t="s">
        <v>47</v>
      </c>
    </row>
    <row r="2749" spans="1:17" x14ac:dyDescent="0.3">
      <c r="A2749" t="s">
        <v>3843</v>
      </c>
      <c r="B2749" s="6">
        <v>45283</v>
      </c>
      <c r="C2749" s="6" t="str">
        <f t="shared" si="126"/>
        <v>Dec</v>
      </c>
      <c r="D2749" t="s">
        <v>2228</v>
      </c>
      <c r="E2749" t="s">
        <v>36</v>
      </c>
      <c r="F2749" t="s">
        <v>434</v>
      </c>
      <c r="G2749">
        <v>5</v>
      </c>
      <c r="H2749" s="7">
        <v>45.96</v>
      </c>
      <c r="I2749" t="s">
        <v>19</v>
      </c>
      <c r="J2749" t="s">
        <v>19</v>
      </c>
      <c r="K2749">
        <v>10</v>
      </c>
      <c r="L2749" s="7">
        <f t="shared" si="127"/>
        <v>229.8</v>
      </c>
      <c r="M2749" s="7"/>
      <c r="O2749">
        <f t="shared" si="128"/>
        <v>2</v>
      </c>
      <c r="Q2749" t="s">
        <v>19</v>
      </c>
    </row>
    <row r="2750" spans="1:17" x14ac:dyDescent="0.3">
      <c r="A2750" t="s">
        <v>3844</v>
      </c>
      <c r="B2750" s="6">
        <v>45231</v>
      </c>
      <c r="C2750" s="6" t="str">
        <f t="shared" si="126"/>
        <v>Nov</v>
      </c>
      <c r="D2750" t="s">
        <v>717</v>
      </c>
      <c r="E2750" t="s">
        <v>31</v>
      </c>
      <c r="F2750" t="s">
        <v>749</v>
      </c>
      <c r="G2750">
        <v>8</v>
      </c>
      <c r="H2750" s="7">
        <v>457.97</v>
      </c>
      <c r="I2750" t="s">
        <v>103</v>
      </c>
      <c r="J2750" t="s">
        <v>42</v>
      </c>
      <c r="K2750">
        <v>15</v>
      </c>
      <c r="L2750" s="7">
        <f t="shared" si="127"/>
        <v>3663.76</v>
      </c>
      <c r="M2750" s="7"/>
      <c r="O2750">
        <f t="shared" si="128"/>
        <v>5</v>
      </c>
      <c r="Q2750" t="s">
        <v>104</v>
      </c>
    </row>
    <row r="2751" spans="1:17" x14ac:dyDescent="0.3">
      <c r="A2751" t="s">
        <v>3845</v>
      </c>
      <c r="B2751" s="6">
        <v>44944</v>
      </c>
      <c r="C2751" s="6" t="str">
        <f t="shared" si="126"/>
        <v>Jan</v>
      </c>
      <c r="D2751" t="s">
        <v>1205</v>
      </c>
      <c r="E2751" t="s">
        <v>50</v>
      </c>
      <c r="F2751" t="s">
        <v>185</v>
      </c>
      <c r="G2751">
        <v>2</v>
      </c>
      <c r="H2751" s="7">
        <v>150.21</v>
      </c>
      <c r="I2751" t="s">
        <v>32</v>
      </c>
      <c r="J2751" t="s">
        <v>72</v>
      </c>
      <c r="K2751">
        <v>5</v>
      </c>
      <c r="L2751" s="7">
        <f t="shared" si="127"/>
        <v>300.42</v>
      </c>
      <c r="M2751" s="7"/>
      <c r="O2751">
        <f t="shared" si="128"/>
        <v>2</v>
      </c>
      <c r="Q2751" t="s">
        <v>33</v>
      </c>
    </row>
    <row r="2752" spans="1:17" x14ac:dyDescent="0.3">
      <c r="A2752" t="s">
        <v>3846</v>
      </c>
      <c r="B2752" s="6">
        <v>45016</v>
      </c>
      <c r="C2752" s="6" t="str">
        <f t="shared" si="126"/>
        <v>Mar</v>
      </c>
      <c r="D2752" t="s">
        <v>2336</v>
      </c>
      <c r="E2752" t="s">
        <v>40</v>
      </c>
      <c r="F2752" t="s">
        <v>224</v>
      </c>
      <c r="G2752">
        <v>4</v>
      </c>
      <c r="H2752" s="7">
        <v>247.89</v>
      </c>
      <c r="I2752" t="s">
        <v>64</v>
      </c>
      <c r="J2752" t="s">
        <v>87</v>
      </c>
      <c r="K2752">
        <v>5</v>
      </c>
      <c r="L2752" s="7">
        <f t="shared" si="127"/>
        <v>991.56</v>
      </c>
      <c r="M2752" s="7"/>
      <c r="O2752">
        <f t="shared" si="128"/>
        <v>2</v>
      </c>
      <c r="Q2752" t="s">
        <v>65</v>
      </c>
    </row>
    <row r="2753" spans="1:17" x14ac:dyDescent="0.3">
      <c r="A2753" t="s">
        <v>3847</v>
      </c>
      <c r="B2753" s="6">
        <v>44986</v>
      </c>
      <c r="C2753" s="6" t="str">
        <f t="shared" si="126"/>
        <v>Mar</v>
      </c>
      <c r="D2753" t="s">
        <v>2032</v>
      </c>
      <c r="E2753" t="s">
        <v>40</v>
      </c>
      <c r="F2753" t="s">
        <v>732</v>
      </c>
      <c r="G2753">
        <v>8</v>
      </c>
      <c r="H2753" s="7">
        <v>222.11</v>
      </c>
      <c r="I2753" t="s">
        <v>32</v>
      </c>
      <c r="J2753" t="s">
        <v>42</v>
      </c>
      <c r="K2753">
        <v>10</v>
      </c>
      <c r="L2753" s="7">
        <f t="shared" si="127"/>
        <v>1776.88</v>
      </c>
      <c r="M2753" s="7"/>
      <c r="O2753">
        <f t="shared" si="128"/>
        <v>2</v>
      </c>
      <c r="Q2753" t="s">
        <v>33</v>
      </c>
    </row>
    <row r="2754" spans="1:17" x14ac:dyDescent="0.3">
      <c r="A2754" t="s">
        <v>3848</v>
      </c>
      <c r="B2754" s="6">
        <v>45160</v>
      </c>
      <c r="C2754" s="6" t="str">
        <f t="shared" si="126"/>
        <v>Aug</v>
      </c>
      <c r="D2754" t="s">
        <v>2059</v>
      </c>
      <c r="E2754" t="s">
        <v>36</v>
      </c>
      <c r="F2754" t="s">
        <v>822</v>
      </c>
      <c r="G2754">
        <v>6</v>
      </c>
      <c r="H2754" s="7">
        <v>381.35</v>
      </c>
      <c r="I2754" t="s">
        <v>64</v>
      </c>
      <c r="J2754" t="s">
        <v>28</v>
      </c>
      <c r="K2754">
        <v>10</v>
      </c>
      <c r="L2754" s="7">
        <f t="shared" si="127"/>
        <v>2288.1000000000004</v>
      </c>
      <c r="M2754" s="7"/>
      <c r="O2754">
        <f t="shared" si="128"/>
        <v>2</v>
      </c>
      <c r="Q2754" t="s">
        <v>65</v>
      </c>
    </row>
    <row r="2755" spans="1:17" x14ac:dyDescent="0.3">
      <c r="A2755" t="s">
        <v>3849</v>
      </c>
      <c r="B2755" s="6">
        <v>45218</v>
      </c>
      <c r="C2755" s="6" t="str">
        <f t="shared" ref="C2755:C2818" si="129">TEXT(B2755,"MMM")</f>
        <v>Oct</v>
      </c>
      <c r="D2755" t="s">
        <v>2256</v>
      </c>
      <c r="E2755" t="s">
        <v>50</v>
      </c>
      <c r="F2755" t="s">
        <v>248</v>
      </c>
      <c r="G2755">
        <v>1</v>
      </c>
      <c r="H2755" s="7">
        <v>213.06</v>
      </c>
      <c r="I2755" t="s">
        <v>32</v>
      </c>
      <c r="J2755" t="s">
        <v>87</v>
      </c>
      <c r="K2755">
        <v>15</v>
      </c>
      <c r="L2755" s="7">
        <f t="shared" ref="L2755:L2818" si="130">G2755*H2755</f>
        <v>213.06</v>
      </c>
      <c r="M2755" s="7"/>
      <c r="O2755">
        <f t="shared" si="128"/>
        <v>2</v>
      </c>
      <c r="Q2755" t="s">
        <v>33</v>
      </c>
    </row>
    <row r="2756" spans="1:17" x14ac:dyDescent="0.3">
      <c r="A2756" t="s">
        <v>3850</v>
      </c>
      <c r="B2756" s="6">
        <v>45223</v>
      </c>
      <c r="C2756" s="6" t="str">
        <f t="shared" si="129"/>
        <v>Oct</v>
      </c>
      <c r="D2756" t="s">
        <v>1628</v>
      </c>
      <c r="E2756" t="s">
        <v>19</v>
      </c>
      <c r="F2756" t="s">
        <v>254</v>
      </c>
      <c r="G2756">
        <v>4</v>
      </c>
      <c r="H2756" s="7">
        <v>472.06</v>
      </c>
      <c r="I2756" t="s">
        <v>46</v>
      </c>
      <c r="J2756" t="s">
        <v>19</v>
      </c>
      <c r="K2756">
        <v>0</v>
      </c>
      <c r="L2756" s="7">
        <f t="shared" si="130"/>
        <v>1888.24</v>
      </c>
      <c r="M2756" s="7"/>
      <c r="O2756">
        <f t="shared" ref="O2756:O2819" si="131">IF(L2756&gt;3500,5,IF(L2756&gt;3000,4,IF(L2756&gt;2500,3,IF(L2756&gt;2000,2,IF(L2756&gt;1000,2,2)))))</f>
        <v>2</v>
      </c>
      <c r="Q2756" t="s">
        <v>47</v>
      </c>
    </row>
    <row r="2757" spans="1:17" x14ac:dyDescent="0.3">
      <c r="A2757" t="s">
        <v>3851</v>
      </c>
      <c r="B2757" s="6">
        <v>45282</v>
      </c>
      <c r="C2757" s="6" t="str">
        <f t="shared" si="129"/>
        <v>Dec</v>
      </c>
      <c r="D2757" t="s">
        <v>124</v>
      </c>
      <c r="E2757" t="s">
        <v>19</v>
      </c>
      <c r="F2757" t="s">
        <v>322</v>
      </c>
      <c r="G2757">
        <v>1</v>
      </c>
      <c r="H2757" s="7">
        <v>451.75</v>
      </c>
      <c r="I2757" t="s">
        <v>21</v>
      </c>
      <c r="J2757" t="s">
        <v>72</v>
      </c>
      <c r="K2757">
        <v>5</v>
      </c>
      <c r="L2757" s="7">
        <f t="shared" si="130"/>
        <v>451.75</v>
      </c>
      <c r="M2757" s="7"/>
      <c r="O2757">
        <f t="shared" si="131"/>
        <v>2</v>
      </c>
      <c r="Q2757" t="s">
        <v>23</v>
      </c>
    </row>
    <row r="2758" spans="1:17" x14ac:dyDescent="0.3">
      <c r="A2758" t="s">
        <v>3852</v>
      </c>
      <c r="B2758" s="6">
        <v>44992</v>
      </c>
      <c r="C2758" s="6" t="str">
        <f t="shared" si="129"/>
        <v>Mar</v>
      </c>
      <c r="D2758" t="s">
        <v>1975</v>
      </c>
      <c r="E2758" t="s">
        <v>31</v>
      </c>
      <c r="F2758" t="s">
        <v>504</v>
      </c>
      <c r="G2758">
        <v>2</v>
      </c>
      <c r="H2758" s="7">
        <v>436.72</v>
      </c>
      <c r="I2758" t="s">
        <v>46</v>
      </c>
      <c r="J2758" t="s">
        <v>28</v>
      </c>
      <c r="K2758">
        <v>0</v>
      </c>
      <c r="L2758" s="7">
        <f t="shared" si="130"/>
        <v>873.44</v>
      </c>
      <c r="M2758" s="7"/>
      <c r="O2758">
        <f t="shared" si="131"/>
        <v>2</v>
      </c>
      <c r="Q2758" t="s">
        <v>47</v>
      </c>
    </row>
    <row r="2759" spans="1:17" x14ac:dyDescent="0.3">
      <c r="A2759" t="s">
        <v>3853</v>
      </c>
      <c r="B2759" s="6">
        <v>45156</v>
      </c>
      <c r="C2759" s="6" t="str">
        <f t="shared" si="129"/>
        <v>Aug</v>
      </c>
      <c r="D2759" t="s">
        <v>809</v>
      </c>
      <c r="E2759" t="s">
        <v>26</v>
      </c>
      <c r="F2759" t="s">
        <v>54</v>
      </c>
      <c r="G2759">
        <v>5</v>
      </c>
      <c r="H2759" s="7">
        <v>40.270000000000003</v>
      </c>
      <c r="I2759" t="s">
        <v>21</v>
      </c>
      <c r="J2759" t="s">
        <v>28</v>
      </c>
      <c r="K2759">
        <v>15</v>
      </c>
      <c r="L2759" s="7">
        <f t="shared" si="130"/>
        <v>201.35000000000002</v>
      </c>
      <c r="M2759" s="7"/>
      <c r="O2759">
        <f t="shared" si="131"/>
        <v>2</v>
      </c>
      <c r="Q2759" t="s">
        <v>23</v>
      </c>
    </row>
    <row r="2760" spans="1:17" x14ac:dyDescent="0.3">
      <c r="A2760" t="s">
        <v>3854</v>
      </c>
      <c r="B2760" s="6">
        <v>45094</v>
      </c>
      <c r="C2760" s="6" t="str">
        <f t="shared" si="129"/>
        <v>Jun</v>
      </c>
      <c r="D2760" t="s">
        <v>221</v>
      </c>
      <c r="E2760" t="s">
        <v>19</v>
      </c>
      <c r="F2760" t="s">
        <v>822</v>
      </c>
      <c r="G2760">
        <v>8</v>
      </c>
      <c r="H2760" s="7">
        <v>427.86</v>
      </c>
      <c r="I2760" t="s">
        <v>64</v>
      </c>
      <c r="J2760" t="s">
        <v>22</v>
      </c>
      <c r="K2760">
        <v>10</v>
      </c>
      <c r="L2760" s="7">
        <f t="shared" si="130"/>
        <v>3422.88</v>
      </c>
      <c r="M2760" s="7"/>
      <c r="O2760">
        <f t="shared" si="131"/>
        <v>4</v>
      </c>
      <c r="Q2760" t="s">
        <v>65</v>
      </c>
    </row>
    <row r="2761" spans="1:17" x14ac:dyDescent="0.3">
      <c r="A2761" t="s">
        <v>3855</v>
      </c>
      <c r="B2761" s="6">
        <v>45099</v>
      </c>
      <c r="C2761" s="6" t="str">
        <f t="shared" si="129"/>
        <v>Jun</v>
      </c>
      <c r="D2761" t="s">
        <v>402</v>
      </c>
      <c r="E2761" t="s">
        <v>50</v>
      </c>
      <c r="F2761" t="s">
        <v>1374</v>
      </c>
      <c r="G2761">
        <v>8</v>
      </c>
      <c r="H2761" s="7">
        <v>391.91</v>
      </c>
      <c r="I2761" t="s">
        <v>46</v>
      </c>
      <c r="J2761" t="s">
        <v>72</v>
      </c>
      <c r="K2761">
        <v>20</v>
      </c>
      <c r="L2761" s="7">
        <f t="shared" si="130"/>
        <v>3135.28</v>
      </c>
      <c r="M2761" s="7"/>
      <c r="O2761">
        <f t="shared" si="131"/>
        <v>4</v>
      </c>
      <c r="Q2761" t="s">
        <v>47</v>
      </c>
    </row>
    <row r="2762" spans="1:17" x14ac:dyDescent="0.3">
      <c r="A2762" t="s">
        <v>3856</v>
      </c>
      <c r="B2762" s="6">
        <v>45003</v>
      </c>
      <c r="C2762" s="6" t="str">
        <f t="shared" si="129"/>
        <v>Mar</v>
      </c>
      <c r="D2762" t="s">
        <v>371</v>
      </c>
      <c r="E2762" t="s">
        <v>50</v>
      </c>
      <c r="F2762" t="s">
        <v>116</v>
      </c>
      <c r="G2762">
        <v>5</v>
      </c>
      <c r="H2762" s="7">
        <v>56.24</v>
      </c>
      <c r="I2762" t="s">
        <v>64</v>
      </c>
      <c r="J2762" t="s">
        <v>42</v>
      </c>
      <c r="K2762">
        <v>20</v>
      </c>
      <c r="L2762" s="7">
        <f t="shared" si="130"/>
        <v>281.2</v>
      </c>
      <c r="M2762" s="7"/>
      <c r="O2762">
        <f t="shared" si="131"/>
        <v>2</v>
      </c>
      <c r="Q2762" t="s">
        <v>65</v>
      </c>
    </row>
    <row r="2763" spans="1:17" x14ac:dyDescent="0.3">
      <c r="A2763" t="s">
        <v>3857</v>
      </c>
      <c r="B2763" s="6">
        <v>45002</v>
      </c>
      <c r="C2763" s="6" t="str">
        <f t="shared" si="129"/>
        <v>Mar</v>
      </c>
      <c r="D2763" t="s">
        <v>3858</v>
      </c>
      <c r="E2763" t="s">
        <v>36</v>
      </c>
      <c r="F2763" t="s">
        <v>113</v>
      </c>
      <c r="G2763">
        <v>4</v>
      </c>
      <c r="H2763" s="7">
        <v>58.17</v>
      </c>
      <c r="I2763" t="s">
        <v>103</v>
      </c>
      <c r="J2763" t="s">
        <v>22</v>
      </c>
      <c r="K2763">
        <v>5</v>
      </c>
      <c r="L2763" s="7">
        <f t="shared" si="130"/>
        <v>232.68</v>
      </c>
      <c r="M2763" s="7"/>
      <c r="O2763">
        <f t="shared" si="131"/>
        <v>2</v>
      </c>
      <c r="Q2763" t="s">
        <v>104</v>
      </c>
    </row>
    <row r="2764" spans="1:17" x14ac:dyDescent="0.3">
      <c r="A2764" t="s">
        <v>3859</v>
      </c>
      <c r="B2764" s="6">
        <v>45272</v>
      </c>
      <c r="C2764" s="6" t="str">
        <f t="shared" si="129"/>
        <v>Dec</v>
      </c>
      <c r="D2764" t="s">
        <v>970</v>
      </c>
      <c r="E2764" t="s">
        <v>50</v>
      </c>
      <c r="F2764" t="s">
        <v>627</v>
      </c>
      <c r="G2764">
        <v>6</v>
      </c>
      <c r="H2764" s="7">
        <v>55.08</v>
      </c>
      <c r="I2764" t="s">
        <v>21</v>
      </c>
      <c r="J2764" t="s">
        <v>19</v>
      </c>
      <c r="K2764">
        <v>10</v>
      </c>
      <c r="L2764" s="7">
        <f t="shared" si="130"/>
        <v>330.48</v>
      </c>
      <c r="M2764" s="7"/>
      <c r="O2764">
        <f t="shared" si="131"/>
        <v>2</v>
      </c>
      <c r="Q2764" t="s">
        <v>23</v>
      </c>
    </row>
    <row r="2765" spans="1:17" x14ac:dyDescent="0.3">
      <c r="A2765" t="s">
        <v>3860</v>
      </c>
      <c r="B2765" s="6">
        <v>45280</v>
      </c>
      <c r="C2765" s="6" t="str">
        <f t="shared" si="129"/>
        <v>Dec</v>
      </c>
      <c r="D2765" t="s">
        <v>837</v>
      </c>
      <c r="E2765" t="s">
        <v>36</v>
      </c>
      <c r="F2765" t="s">
        <v>54</v>
      </c>
      <c r="G2765">
        <v>3</v>
      </c>
      <c r="H2765" s="7">
        <v>10.61</v>
      </c>
      <c r="I2765" t="s">
        <v>19</v>
      </c>
      <c r="J2765" t="s">
        <v>72</v>
      </c>
      <c r="K2765">
        <v>0</v>
      </c>
      <c r="L2765" s="7">
        <f t="shared" si="130"/>
        <v>31.83</v>
      </c>
      <c r="M2765" s="7"/>
      <c r="O2765">
        <f t="shared" si="131"/>
        <v>2</v>
      </c>
      <c r="Q2765" t="s">
        <v>19</v>
      </c>
    </row>
    <row r="2766" spans="1:17" x14ac:dyDescent="0.3">
      <c r="A2766" t="s">
        <v>3861</v>
      </c>
      <c r="B2766" s="6">
        <v>44985</v>
      </c>
      <c r="C2766" s="6" t="str">
        <f t="shared" si="129"/>
        <v>Feb</v>
      </c>
      <c r="D2766" t="s">
        <v>300</v>
      </c>
      <c r="E2766" t="s">
        <v>36</v>
      </c>
      <c r="F2766" t="s">
        <v>412</v>
      </c>
      <c r="G2766">
        <v>2</v>
      </c>
      <c r="H2766" s="7">
        <v>276.57</v>
      </c>
      <c r="I2766" t="s">
        <v>46</v>
      </c>
      <c r="J2766" t="s">
        <v>87</v>
      </c>
      <c r="K2766">
        <v>5</v>
      </c>
      <c r="L2766" s="7">
        <f t="shared" si="130"/>
        <v>553.14</v>
      </c>
      <c r="M2766" s="7"/>
      <c r="O2766">
        <f t="shared" si="131"/>
        <v>2</v>
      </c>
      <c r="Q2766" t="s">
        <v>47</v>
      </c>
    </row>
    <row r="2767" spans="1:17" x14ac:dyDescent="0.3">
      <c r="A2767" t="s">
        <v>3862</v>
      </c>
      <c r="B2767" s="6">
        <v>45009</v>
      </c>
      <c r="C2767" s="6" t="str">
        <f t="shared" si="129"/>
        <v>Mar</v>
      </c>
      <c r="D2767" t="s">
        <v>3863</v>
      </c>
      <c r="E2767" t="s">
        <v>19</v>
      </c>
      <c r="F2767" t="s">
        <v>975</v>
      </c>
      <c r="G2767">
        <v>6</v>
      </c>
      <c r="H2767" s="7">
        <v>486.83</v>
      </c>
      <c r="I2767" t="s">
        <v>32</v>
      </c>
      <c r="J2767" t="s">
        <v>22</v>
      </c>
      <c r="K2767">
        <v>10</v>
      </c>
      <c r="L2767" s="7">
        <f t="shared" si="130"/>
        <v>2920.98</v>
      </c>
      <c r="M2767" s="7"/>
      <c r="O2767">
        <f t="shared" si="131"/>
        <v>3</v>
      </c>
      <c r="Q2767" t="s">
        <v>33</v>
      </c>
    </row>
    <row r="2768" spans="1:17" x14ac:dyDescent="0.3">
      <c r="A2768" t="s">
        <v>3864</v>
      </c>
      <c r="B2768" s="6">
        <v>45028</v>
      </c>
      <c r="C2768" s="6" t="str">
        <f t="shared" si="129"/>
        <v>Apr</v>
      </c>
      <c r="D2768" t="s">
        <v>938</v>
      </c>
      <c r="E2768" t="s">
        <v>19</v>
      </c>
      <c r="F2768" t="s">
        <v>328</v>
      </c>
      <c r="G2768">
        <v>5</v>
      </c>
      <c r="H2768" s="7">
        <v>222.15</v>
      </c>
      <c r="I2768" t="s">
        <v>32</v>
      </c>
      <c r="J2768" t="s">
        <v>22</v>
      </c>
      <c r="K2768">
        <v>0</v>
      </c>
      <c r="L2768" s="7">
        <f t="shared" si="130"/>
        <v>1110.75</v>
      </c>
      <c r="M2768" s="7"/>
      <c r="O2768">
        <f t="shared" si="131"/>
        <v>2</v>
      </c>
      <c r="Q2768" t="s">
        <v>33</v>
      </c>
    </row>
    <row r="2769" spans="1:17" x14ac:dyDescent="0.3">
      <c r="A2769" t="s">
        <v>3865</v>
      </c>
      <c r="B2769" s="6">
        <v>45231</v>
      </c>
      <c r="C2769" s="6" t="str">
        <f t="shared" si="129"/>
        <v>Nov</v>
      </c>
      <c r="D2769" t="s">
        <v>2968</v>
      </c>
      <c r="E2769" t="s">
        <v>40</v>
      </c>
      <c r="F2769" t="s">
        <v>231</v>
      </c>
      <c r="G2769">
        <v>5</v>
      </c>
      <c r="H2769" s="7">
        <v>272.67</v>
      </c>
      <c r="I2769" t="s">
        <v>64</v>
      </c>
      <c r="J2769" t="s">
        <v>19</v>
      </c>
      <c r="K2769">
        <v>15</v>
      </c>
      <c r="L2769" s="7">
        <f t="shared" si="130"/>
        <v>1363.3500000000001</v>
      </c>
      <c r="M2769" s="7"/>
      <c r="O2769">
        <f t="shared" si="131"/>
        <v>2</v>
      </c>
      <c r="Q2769" t="s">
        <v>65</v>
      </c>
    </row>
    <row r="2770" spans="1:17" x14ac:dyDescent="0.3">
      <c r="A2770" t="s">
        <v>3866</v>
      </c>
      <c r="B2770" s="6">
        <v>45233</v>
      </c>
      <c r="C2770" s="6" t="str">
        <f t="shared" si="129"/>
        <v>Nov</v>
      </c>
      <c r="D2770" t="s">
        <v>737</v>
      </c>
      <c r="E2770" t="s">
        <v>62</v>
      </c>
      <c r="F2770" t="s">
        <v>176</v>
      </c>
      <c r="G2770">
        <v>5</v>
      </c>
      <c r="H2770" s="7">
        <v>484.15</v>
      </c>
      <c r="I2770" t="s">
        <v>19</v>
      </c>
      <c r="J2770" t="s">
        <v>87</v>
      </c>
      <c r="K2770">
        <v>20</v>
      </c>
      <c r="L2770" s="7">
        <f t="shared" si="130"/>
        <v>2420.75</v>
      </c>
      <c r="M2770" s="7"/>
      <c r="O2770">
        <f t="shared" si="131"/>
        <v>2</v>
      </c>
      <c r="Q2770" t="s">
        <v>19</v>
      </c>
    </row>
    <row r="2771" spans="1:17" x14ac:dyDescent="0.3">
      <c r="A2771" t="s">
        <v>3867</v>
      </c>
      <c r="B2771" s="6">
        <v>45155</v>
      </c>
      <c r="C2771" s="6" t="str">
        <f t="shared" si="129"/>
        <v>Aug</v>
      </c>
      <c r="D2771" t="s">
        <v>1406</v>
      </c>
      <c r="E2771" t="s">
        <v>36</v>
      </c>
      <c r="F2771" t="s">
        <v>1182</v>
      </c>
      <c r="G2771">
        <v>5</v>
      </c>
      <c r="H2771" s="7">
        <v>131.32</v>
      </c>
      <c r="I2771" t="s">
        <v>46</v>
      </c>
      <c r="J2771" t="s">
        <v>19</v>
      </c>
      <c r="K2771">
        <v>10</v>
      </c>
      <c r="L2771" s="7">
        <f t="shared" si="130"/>
        <v>656.59999999999991</v>
      </c>
      <c r="M2771" s="7"/>
      <c r="O2771">
        <f t="shared" si="131"/>
        <v>2</v>
      </c>
      <c r="Q2771" t="s">
        <v>47</v>
      </c>
    </row>
    <row r="2772" spans="1:17" x14ac:dyDescent="0.3">
      <c r="A2772" t="s">
        <v>3868</v>
      </c>
      <c r="B2772" s="6">
        <v>45081</v>
      </c>
      <c r="C2772" s="6" t="str">
        <f t="shared" si="129"/>
        <v>Jun</v>
      </c>
      <c r="D2772" t="s">
        <v>1442</v>
      </c>
      <c r="E2772" t="s">
        <v>36</v>
      </c>
      <c r="F2772" t="s">
        <v>148</v>
      </c>
      <c r="G2772">
        <v>3</v>
      </c>
      <c r="H2772" s="7">
        <v>429.94</v>
      </c>
      <c r="I2772" t="s">
        <v>32</v>
      </c>
      <c r="J2772" t="s">
        <v>22</v>
      </c>
      <c r="K2772">
        <v>0</v>
      </c>
      <c r="L2772" s="7">
        <f t="shared" si="130"/>
        <v>1289.82</v>
      </c>
      <c r="M2772" s="7"/>
      <c r="O2772">
        <f t="shared" si="131"/>
        <v>2</v>
      </c>
      <c r="Q2772" t="s">
        <v>33</v>
      </c>
    </row>
    <row r="2773" spans="1:17" x14ac:dyDescent="0.3">
      <c r="A2773" t="s">
        <v>3869</v>
      </c>
      <c r="B2773" s="6">
        <v>45228</v>
      </c>
      <c r="C2773" s="6" t="str">
        <f t="shared" si="129"/>
        <v>Oct</v>
      </c>
      <c r="D2773" t="s">
        <v>3732</v>
      </c>
      <c r="E2773" t="s">
        <v>19</v>
      </c>
      <c r="F2773" t="s">
        <v>833</v>
      </c>
      <c r="G2773">
        <v>5</v>
      </c>
      <c r="H2773" s="7">
        <v>275.45999999999998</v>
      </c>
      <c r="I2773" t="s">
        <v>103</v>
      </c>
      <c r="J2773" t="s">
        <v>72</v>
      </c>
      <c r="K2773">
        <v>5</v>
      </c>
      <c r="L2773" s="7">
        <f t="shared" si="130"/>
        <v>1377.3</v>
      </c>
      <c r="M2773" s="7"/>
      <c r="O2773">
        <f t="shared" si="131"/>
        <v>2</v>
      </c>
      <c r="Q2773" t="s">
        <v>104</v>
      </c>
    </row>
    <row r="2774" spans="1:17" x14ac:dyDescent="0.3">
      <c r="A2774" t="s">
        <v>3870</v>
      </c>
      <c r="B2774" s="6">
        <v>44973</v>
      </c>
      <c r="C2774" s="6" t="str">
        <f t="shared" si="129"/>
        <v>Feb</v>
      </c>
      <c r="D2774" t="s">
        <v>1437</v>
      </c>
      <c r="E2774" t="s">
        <v>36</v>
      </c>
      <c r="F2774" t="s">
        <v>119</v>
      </c>
      <c r="G2774">
        <v>6</v>
      </c>
      <c r="H2774" s="7">
        <v>286.89</v>
      </c>
      <c r="I2774" t="s">
        <v>64</v>
      </c>
      <c r="J2774" t="s">
        <v>28</v>
      </c>
      <c r="K2774">
        <v>0</v>
      </c>
      <c r="L2774" s="7">
        <f t="shared" si="130"/>
        <v>1721.34</v>
      </c>
      <c r="M2774" s="7"/>
      <c r="O2774">
        <f t="shared" si="131"/>
        <v>2</v>
      </c>
      <c r="Q2774" t="s">
        <v>65</v>
      </c>
    </row>
    <row r="2775" spans="1:17" x14ac:dyDescent="0.3">
      <c r="A2775" t="s">
        <v>3871</v>
      </c>
      <c r="B2775" s="6">
        <v>45137</v>
      </c>
      <c r="C2775" s="6" t="str">
        <f t="shared" si="129"/>
        <v>Jul</v>
      </c>
      <c r="D2775" t="s">
        <v>1918</v>
      </c>
      <c r="E2775" t="s">
        <v>26</v>
      </c>
      <c r="F2775" t="s">
        <v>142</v>
      </c>
      <c r="G2775">
        <v>4</v>
      </c>
      <c r="H2775" s="7">
        <v>174.87</v>
      </c>
      <c r="I2775" t="s">
        <v>46</v>
      </c>
      <c r="J2775" t="s">
        <v>28</v>
      </c>
      <c r="K2775">
        <v>5</v>
      </c>
      <c r="L2775" s="7">
        <f t="shared" si="130"/>
        <v>699.48</v>
      </c>
      <c r="M2775" s="7"/>
      <c r="O2775">
        <f t="shared" si="131"/>
        <v>2</v>
      </c>
      <c r="Q2775" t="s">
        <v>47</v>
      </c>
    </row>
    <row r="2776" spans="1:17" x14ac:dyDescent="0.3">
      <c r="A2776" t="s">
        <v>3872</v>
      </c>
      <c r="B2776" s="6">
        <v>45206</v>
      </c>
      <c r="C2776" s="6" t="str">
        <f t="shared" si="129"/>
        <v>Oct</v>
      </c>
      <c r="D2776" t="s">
        <v>530</v>
      </c>
      <c r="E2776" t="s">
        <v>26</v>
      </c>
      <c r="F2776" t="s">
        <v>523</v>
      </c>
      <c r="G2776">
        <v>2</v>
      </c>
      <c r="H2776" s="7">
        <v>282.98</v>
      </c>
      <c r="I2776" t="s">
        <v>32</v>
      </c>
      <c r="J2776" t="s">
        <v>87</v>
      </c>
      <c r="K2776">
        <v>20</v>
      </c>
      <c r="L2776" s="7">
        <f t="shared" si="130"/>
        <v>565.96</v>
      </c>
      <c r="M2776" s="7"/>
      <c r="O2776">
        <f t="shared" si="131"/>
        <v>2</v>
      </c>
      <c r="Q2776" t="s">
        <v>33</v>
      </c>
    </row>
    <row r="2777" spans="1:17" x14ac:dyDescent="0.3">
      <c r="A2777" t="s">
        <v>3873</v>
      </c>
      <c r="B2777" s="6">
        <v>45036</v>
      </c>
      <c r="C2777" s="6" t="str">
        <f t="shared" si="129"/>
        <v>Apr</v>
      </c>
      <c r="D2777" t="s">
        <v>1684</v>
      </c>
      <c r="E2777" t="s">
        <v>62</v>
      </c>
      <c r="F2777" t="s">
        <v>20</v>
      </c>
      <c r="G2777">
        <v>9</v>
      </c>
      <c r="H2777" s="7">
        <v>41.21</v>
      </c>
      <c r="I2777" t="s">
        <v>19</v>
      </c>
      <c r="J2777" t="s">
        <v>28</v>
      </c>
      <c r="K2777">
        <v>20</v>
      </c>
      <c r="L2777" s="7">
        <f t="shared" si="130"/>
        <v>370.89</v>
      </c>
      <c r="M2777" s="7"/>
      <c r="O2777">
        <f t="shared" si="131"/>
        <v>2</v>
      </c>
      <c r="Q2777" t="s">
        <v>19</v>
      </c>
    </row>
    <row r="2778" spans="1:17" x14ac:dyDescent="0.3">
      <c r="A2778" t="s">
        <v>3874</v>
      </c>
      <c r="B2778" s="6">
        <v>45013</v>
      </c>
      <c r="C2778" s="6" t="str">
        <f t="shared" si="129"/>
        <v>Mar</v>
      </c>
      <c r="D2778" t="s">
        <v>1083</v>
      </c>
      <c r="E2778" t="s">
        <v>40</v>
      </c>
      <c r="F2778" t="s">
        <v>398</v>
      </c>
      <c r="G2778">
        <v>1</v>
      </c>
      <c r="H2778" s="7">
        <v>383.5</v>
      </c>
      <c r="I2778" t="s">
        <v>32</v>
      </c>
      <c r="J2778" t="s">
        <v>19</v>
      </c>
      <c r="K2778">
        <v>0</v>
      </c>
      <c r="L2778" s="7">
        <f t="shared" si="130"/>
        <v>383.5</v>
      </c>
      <c r="M2778" s="7"/>
      <c r="O2778">
        <f t="shared" si="131"/>
        <v>2</v>
      </c>
      <c r="Q2778" t="s">
        <v>33</v>
      </c>
    </row>
    <row r="2779" spans="1:17" x14ac:dyDescent="0.3">
      <c r="A2779" t="s">
        <v>3875</v>
      </c>
      <c r="B2779" s="6">
        <v>45101</v>
      </c>
      <c r="C2779" s="6" t="str">
        <f t="shared" si="129"/>
        <v>Jun</v>
      </c>
      <c r="D2779" t="s">
        <v>144</v>
      </c>
      <c r="E2779" t="s">
        <v>40</v>
      </c>
      <c r="F2779" t="s">
        <v>1568</v>
      </c>
      <c r="G2779">
        <v>4</v>
      </c>
      <c r="H2779" s="7">
        <v>145.91999999999999</v>
      </c>
      <c r="I2779" t="s">
        <v>64</v>
      </c>
      <c r="J2779" t="s">
        <v>87</v>
      </c>
      <c r="K2779">
        <v>0</v>
      </c>
      <c r="L2779" s="7">
        <f t="shared" si="130"/>
        <v>583.67999999999995</v>
      </c>
      <c r="M2779" s="7"/>
      <c r="O2779">
        <f t="shared" si="131"/>
        <v>2</v>
      </c>
      <c r="Q2779" t="s">
        <v>65</v>
      </c>
    </row>
    <row r="2780" spans="1:17" x14ac:dyDescent="0.3">
      <c r="A2780" t="s">
        <v>3876</v>
      </c>
      <c r="B2780" s="6">
        <v>45144</v>
      </c>
      <c r="C2780" s="6" t="str">
        <f t="shared" si="129"/>
        <v>Aug</v>
      </c>
      <c r="D2780" t="s">
        <v>1628</v>
      </c>
      <c r="E2780" t="s">
        <v>40</v>
      </c>
      <c r="F2780" t="s">
        <v>662</v>
      </c>
      <c r="G2780">
        <v>1</v>
      </c>
      <c r="H2780" s="7">
        <v>444.37</v>
      </c>
      <c r="I2780" t="s">
        <v>64</v>
      </c>
      <c r="J2780" t="s">
        <v>22</v>
      </c>
      <c r="K2780">
        <v>5</v>
      </c>
      <c r="L2780" s="7">
        <f t="shared" si="130"/>
        <v>444.37</v>
      </c>
      <c r="M2780" s="7"/>
      <c r="O2780">
        <f t="shared" si="131"/>
        <v>2</v>
      </c>
      <c r="Q2780" t="s">
        <v>65</v>
      </c>
    </row>
    <row r="2781" spans="1:17" x14ac:dyDescent="0.3">
      <c r="A2781" t="s">
        <v>3877</v>
      </c>
      <c r="B2781" s="6">
        <v>45268</v>
      </c>
      <c r="C2781" s="6" t="str">
        <f t="shared" si="129"/>
        <v>Dec</v>
      </c>
      <c r="D2781" t="s">
        <v>525</v>
      </c>
      <c r="E2781" t="s">
        <v>40</v>
      </c>
      <c r="F2781" t="s">
        <v>983</v>
      </c>
      <c r="G2781">
        <v>5</v>
      </c>
      <c r="H2781" s="7">
        <v>252.16</v>
      </c>
      <c r="I2781" t="s">
        <v>32</v>
      </c>
      <c r="J2781" t="s">
        <v>87</v>
      </c>
      <c r="K2781">
        <v>5</v>
      </c>
      <c r="L2781" s="7">
        <f t="shared" si="130"/>
        <v>1260.8</v>
      </c>
      <c r="M2781" s="7"/>
      <c r="O2781">
        <f t="shared" si="131"/>
        <v>2</v>
      </c>
      <c r="Q2781" t="s">
        <v>33</v>
      </c>
    </row>
    <row r="2782" spans="1:17" x14ac:dyDescent="0.3">
      <c r="A2782" t="s">
        <v>3878</v>
      </c>
      <c r="B2782" s="6">
        <v>45180</v>
      </c>
      <c r="C2782" s="6" t="str">
        <f t="shared" si="129"/>
        <v>Sep</v>
      </c>
      <c r="D2782" t="s">
        <v>917</v>
      </c>
      <c r="E2782" t="s">
        <v>50</v>
      </c>
      <c r="F2782" t="s">
        <v>270</v>
      </c>
      <c r="G2782">
        <v>4</v>
      </c>
      <c r="H2782" s="7">
        <v>75.7</v>
      </c>
      <c r="I2782" t="s">
        <v>64</v>
      </c>
      <c r="J2782" t="s">
        <v>72</v>
      </c>
      <c r="K2782">
        <v>10</v>
      </c>
      <c r="L2782" s="7">
        <f t="shared" si="130"/>
        <v>302.8</v>
      </c>
      <c r="M2782" s="7"/>
      <c r="O2782">
        <f t="shared" si="131"/>
        <v>2</v>
      </c>
      <c r="Q2782" t="s">
        <v>65</v>
      </c>
    </row>
    <row r="2783" spans="1:17" x14ac:dyDescent="0.3">
      <c r="A2783" t="s">
        <v>3879</v>
      </c>
      <c r="B2783" s="6">
        <v>45203</v>
      </c>
      <c r="C2783" s="6" t="str">
        <f t="shared" si="129"/>
        <v>Oct</v>
      </c>
      <c r="D2783" t="s">
        <v>3013</v>
      </c>
      <c r="E2783" t="s">
        <v>19</v>
      </c>
      <c r="F2783" t="s">
        <v>706</v>
      </c>
      <c r="G2783">
        <v>5</v>
      </c>
      <c r="H2783" s="7">
        <v>349.46</v>
      </c>
      <c r="I2783" t="s">
        <v>32</v>
      </c>
      <c r="J2783" t="s">
        <v>72</v>
      </c>
      <c r="K2783">
        <v>10</v>
      </c>
      <c r="L2783" s="7">
        <f t="shared" si="130"/>
        <v>1747.3</v>
      </c>
      <c r="M2783" s="7"/>
      <c r="O2783">
        <f t="shared" si="131"/>
        <v>2</v>
      </c>
      <c r="Q2783" t="s">
        <v>33</v>
      </c>
    </row>
    <row r="2784" spans="1:17" x14ac:dyDescent="0.3">
      <c r="A2784" t="s">
        <v>3880</v>
      </c>
      <c r="B2784" s="6">
        <v>45098</v>
      </c>
      <c r="C2784" s="6" t="str">
        <f t="shared" si="129"/>
        <v>Jun</v>
      </c>
      <c r="D2784" t="s">
        <v>2619</v>
      </c>
      <c r="E2784" t="s">
        <v>62</v>
      </c>
      <c r="F2784" t="s">
        <v>749</v>
      </c>
      <c r="G2784">
        <v>5</v>
      </c>
      <c r="H2784" s="7">
        <v>86.47</v>
      </c>
      <c r="I2784" t="s">
        <v>21</v>
      </c>
      <c r="J2784" t="s">
        <v>42</v>
      </c>
      <c r="K2784">
        <v>10</v>
      </c>
      <c r="L2784" s="7">
        <f t="shared" si="130"/>
        <v>432.35</v>
      </c>
      <c r="M2784" s="7"/>
      <c r="O2784">
        <f t="shared" si="131"/>
        <v>2</v>
      </c>
      <c r="Q2784" t="s">
        <v>23</v>
      </c>
    </row>
    <row r="2785" spans="1:17" x14ac:dyDescent="0.3">
      <c r="A2785" t="s">
        <v>3881</v>
      </c>
      <c r="B2785" s="6">
        <v>45285</v>
      </c>
      <c r="C2785" s="6" t="str">
        <f t="shared" si="129"/>
        <v>Dec</v>
      </c>
      <c r="D2785" t="s">
        <v>2081</v>
      </c>
      <c r="E2785" t="s">
        <v>40</v>
      </c>
      <c r="F2785" t="s">
        <v>417</v>
      </c>
      <c r="G2785">
        <v>5</v>
      </c>
      <c r="H2785" s="7">
        <v>378.07</v>
      </c>
      <c r="I2785" t="s">
        <v>32</v>
      </c>
      <c r="J2785" t="s">
        <v>22</v>
      </c>
      <c r="K2785">
        <v>0</v>
      </c>
      <c r="L2785" s="7">
        <f t="shared" si="130"/>
        <v>1890.35</v>
      </c>
      <c r="M2785" s="7"/>
      <c r="O2785">
        <f t="shared" si="131"/>
        <v>2</v>
      </c>
      <c r="Q2785" t="s">
        <v>33</v>
      </c>
    </row>
    <row r="2786" spans="1:17" x14ac:dyDescent="0.3">
      <c r="A2786" t="s">
        <v>3882</v>
      </c>
      <c r="B2786" s="6">
        <v>45023</v>
      </c>
      <c r="C2786" s="6" t="str">
        <f t="shared" si="129"/>
        <v>Apr</v>
      </c>
      <c r="D2786" t="s">
        <v>877</v>
      </c>
      <c r="E2786" t="s">
        <v>50</v>
      </c>
      <c r="F2786" t="s">
        <v>1251</v>
      </c>
      <c r="G2786">
        <v>1</v>
      </c>
      <c r="H2786" s="7">
        <v>484.22</v>
      </c>
      <c r="I2786" t="s">
        <v>32</v>
      </c>
      <c r="J2786" t="s">
        <v>42</v>
      </c>
      <c r="K2786">
        <v>10</v>
      </c>
      <c r="L2786" s="7">
        <f t="shared" si="130"/>
        <v>484.22</v>
      </c>
      <c r="M2786" s="7"/>
      <c r="O2786">
        <f t="shared" si="131"/>
        <v>2</v>
      </c>
      <c r="Q2786" t="s">
        <v>33</v>
      </c>
    </row>
    <row r="2787" spans="1:17" x14ac:dyDescent="0.3">
      <c r="A2787" t="s">
        <v>3883</v>
      </c>
      <c r="B2787" s="6">
        <v>45117</v>
      </c>
      <c r="C2787" s="6" t="str">
        <f t="shared" si="129"/>
        <v>Jul</v>
      </c>
      <c r="D2787" t="s">
        <v>3354</v>
      </c>
      <c r="E2787" t="s">
        <v>19</v>
      </c>
      <c r="F2787" t="s">
        <v>861</v>
      </c>
      <c r="G2787">
        <v>2</v>
      </c>
      <c r="H2787" s="7">
        <v>390.88</v>
      </c>
      <c r="I2787" t="s">
        <v>21</v>
      </c>
      <c r="J2787" t="s">
        <v>22</v>
      </c>
      <c r="K2787">
        <v>10</v>
      </c>
      <c r="L2787" s="7">
        <f t="shared" si="130"/>
        <v>781.76</v>
      </c>
      <c r="M2787" s="7"/>
      <c r="O2787">
        <f t="shared" si="131"/>
        <v>2</v>
      </c>
      <c r="Q2787" t="s">
        <v>23</v>
      </c>
    </row>
    <row r="2788" spans="1:17" x14ac:dyDescent="0.3">
      <c r="A2788" t="s">
        <v>3884</v>
      </c>
      <c r="B2788" s="6">
        <v>44979</v>
      </c>
      <c r="C2788" s="6" t="str">
        <f t="shared" si="129"/>
        <v>Feb</v>
      </c>
      <c r="D2788" t="s">
        <v>3885</v>
      </c>
      <c r="E2788" t="s">
        <v>62</v>
      </c>
      <c r="F2788" t="s">
        <v>237</v>
      </c>
      <c r="G2788">
        <v>6</v>
      </c>
      <c r="H2788" s="7">
        <v>16.11</v>
      </c>
      <c r="I2788" t="s">
        <v>19</v>
      </c>
      <c r="J2788" t="s">
        <v>87</v>
      </c>
      <c r="K2788">
        <v>10</v>
      </c>
      <c r="L2788" s="7">
        <f t="shared" si="130"/>
        <v>96.66</v>
      </c>
      <c r="M2788" s="7"/>
      <c r="O2788">
        <f t="shared" si="131"/>
        <v>2</v>
      </c>
      <c r="Q2788" t="s">
        <v>19</v>
      </c>
    </row>
    <row r="2789" spans="1:17" x14ac:dyDescent="0.3">
      <c r="A2789" t="s">
        <v>3886</v>
      </c>
      <c r="B2789" s="6">
        <v>44980</v>
      </c>
      <c r="C2789" s="6" t="str">
        <f t="shared" si="129"/>
        <v>Feb</v>
      </c>
      <c r="D2789" t="s">
        <v>768</v>
      </c>
      <c r="E2789" t="s">
        <v>26</v>
      </c>
      <c r="F2789" t="s">
        <v>198</v>
      </c>
      <c r="G2789">
        <v>5</v>
      </c>
      <c r="H2789" s="7">
        <v>301.94</v>
      </c>
      <c r="I2789" t="s">
        <v>46</v>
      </c>
      <c r="J2789" t="s">
        <v>87</v>
      </c>
      <c r="K2789">
        <v>10</v>
      </c>
      <c r="L2789" s="7">
        <f t="shared" si="130"/>
        <v>1509.7</v>
      </c>
      <c r="M2789" s="7"/>
      <c r="O2789">
        <f t="shared" si="131"/>
        <v>2</v>
      </c>
      <c r="Q2789" t="s">
        <v>47</v>
      </c>
    </row>
    <row r="2790" spans="1:17" x14ac:dyDescent="0.3">
      <c r="A2790" t="s">
        <v>3887</v>
      </c>
      <c r="B2790" s="6">
        <v>45046</v>
      </c>
      <c r="C2790" s="6" t="str">
        <f t="shared" si="129"/>
        <v>Apr</v>
      </c>
      <c r="D2790" t="s">
        <v>361</v>
      </c>
      <c r="E2790" t="s">
        <v>19</v>
      </c>
      <c r="F2790" t="s">
        <v>415</v>
      </c>
      <c r="G2790">
        <v>7</v>
      </c>
      <c r="H2790" s="7">
        <v>349.23</v>
      </c>
      <c r="I2790" t="s">
        <v>19</v>
      </c>
      <c r="J2790" t="s">
        <v>28</v>
      </c>
      <c r="K2790">
        <v>10</v>
      </c>
      <c r="L2790" s="7">
        <f t="shared" si="130"/>
        <v>2444.61</v>
      </c>
      <c r="M2790" s="7"/>
      <c r="O2790">
        <f t="shared" si="131"/>
        <v>2</v>
      </c>
      <c r="Q2790" t="s">
        <v>19</v>
      </c>
    </row>
    <row r="2791" spans="1:17" x14ac:dyDescent="0.3">
      <c r="A2791" t="s">
        <v>3888</v>
      </c>
      <c r="B2791" s="6">
        <v>45076</v>
      </c>
      <c r="C2791" s="6" t="str">
        <f t="shared" si="129"/>
        <v>May</v>
      </c>
      <c r="D2791" t="s">
        <v>863</v>
      </c>
      <c r="E2791" t="s">
        <v>40</v>
      </c>
      <c r="F2791" t="s">
        <v>185</v>
      </c>
      <c r="G2791">
        <v>3</v>
      </c>
      <c r="H2791" s="7">
        <v>413.6</v>
      </c>
      <c r="I2791" t="s">
        <v>32</v>
      </c>
      <c r="J2791" t="s">
        <v>87</v>
      </c>
      <c r="K2791">
        <v>0</v>
      </c>
      <c r="L2791" s="7">
        <f t="shared" si="130"/>
        <v>1240.8000000000002</v>
      </c>
      <c r="M2791" s="7"/>
      <c r="O2791">
        <f t="shared" si="131"/>
        <v>2</v>
      </c>
      <c r="Q2791" t="s">
        <v>33</v>
      </c>
    </row>
    <row r="2792" spans="1:17" x14ac:dyDescent="0.3">
      <c r="A2792" t="s">
        <v>3889</v>
      </c>
      <c r="B2792" s="6">
        <v>44948</v>
      </c>
      <c r="C2792" s="6" t="str">
        <f t="shared" si="129"/>
        <v>Jan</v>
      </c>
      <c r="D2792" t="s">
        <v>881</v>
      </c>
      <c r="E2792" t="s">
        <v>50</v>
      </c>
      <c r="F2792" t="s">
        <v>325</v>
      </c>
      <c r="G2792">
        <v>3</v>
      </c>
      <c r="H2792" s="7">
        <v>32.72</v>
      </c>
      <c r="I2792" t="s">
        <v>32</v>
      </c>
      <c r="J2792" t="s">
        <v>42</v>
      </c>
      <c r="K2792">
        <v>10</v>
      </c>
      <c r="L2792" s="7">
        <f t="shared" si="130"/>
        <v>98.16</v>
      </c>
      <c r="M2792" s="7"/>
      <c r="O2792">
        <f t="shared" si="131"/>
        <v>2</v>
      </c>
      <c r="Q2792" t="s">
        <v>33</v>
      </c>
    </row>
    <row r="2793" spans="1:17" x14ac:dyDescent="0.3">
      <c r="A2793" t="s">
        <v>3890</v>
      </c>
      <c r="B2793" s="6">
        <v>45084</v>
      </c>
      <c r="C2793" s="6" t="str">
        <f t="shared" si="129"/>
        <v>Jun</v>
      </c>
      <c r="D2793" t="s">
        <v>695</v>
      </c>
      <c r="E2793" t="s">
        <v>50</v>
      </c>
      <c r="F2793" t="s">
        <v>511</v>
      </c>
      <c r="G2793">
        <v>2</v>
      </c>
      <c r="H2793" s="7">
        <v>242.65</v>
      </c>
      <c r="I2793" t="s">
        <v>21</v>
      </c>
      <c r="J2793" t="s">
        <v>28</v>
      </c>
      <c r="K2793">
        <v>20</v>
      </c>
      <c r="L2793" s="7">
        <f t="shared" si="130"/>
        <v>485.3</v>
      </c>
      <c r="M2793" s="7"/>
      <c r="O2793">
        <f t="shared" si="131"/>
        <v>2</v>
      </c>
      <c r="Q2793" t="s">
        <v>23</v>
      </c>
    </row>
    <row r="2794" spans="1:17" x14ac:dyDescent="0.3">
      <c r="A2794" t="s">
        <v>3891</v>
      </c>
      <c r="B2794" s="6">
        <v>45081</v>
      </c>
      <c r="C2794" s="6" t="str">
        <f t="shared" si="129"/>
        <v>Jun</v>
      </c>
      <c r="D2794" t="s">
        <v>221</v>
      </c>
      <c r="E2794" t="s">
        <v>62</v>
      </c>
      <c r="F2794" t="s">
        <v>239</v>
      </c>
      <c r="G2794">
        <v>3</v>
      </c>
      <c r="H2794" s="7">
        <v>270.01</v>
      </c>
      <c r="I2794" t="s">
        <v>19</v>
      </c>
      <c r="J2794" t="s">
        <v>87</v>
      </c>
      <c r="K2794">
        <v>15</v>
      </c>
      <c r="L2794" s="7">
        <f t="shared" si="130"/>
        <v>810.03</v>
      </c>
      <c r="M2794" s="7"/>
      <c r="O2794">
        <f t="shared" si="131"/>
        <v>2</v>
      </c>
      <c r="Q2794" t="s">
        <v>19</v>
      </c>
    </row>
    <row r="2795" spans="1:17" x14ac:dyDescent="0.3">
      <c r="A2795" t="s">
        <v>3892</v>
      </c>
      <c r="B2795" s="6">
        <v>45108</v>
      </c>
      <c r="C2795" s="6" t="str">
        <f t="shared" si="129"/>
        <v>Jul</v>
      </c>
      <c r="D2795" t="s">
        <v>2382</v>
      </c>
      <c r="E2795" t="s">
        <v>31</v>
      </c>
      <c r="F2795" t="s">
        <v>556</v>
      </c>
      <c r="G2795">
        <v>1</v>
      </c>
      <c r="H2795" s="7">
        <v>252.16</v>
      </c>
      <c r="I2795" t="s">
        <v>46</v>
      </c>
      <c r="J2795" t="s">
        <v>72</v>
      </c>
      <c r="K2795">
        <v>20</v>
      </c>
      <c r="L2795" s="7">
        <f t="shared" si="130"/>
        <v>252.16</v>
      </c>
      <c r="M2795" s="7"/>
      <c r="O2795">
        <f t="shared" si="131"/>
        <v>2</v>
      </c>
      <c r="Q2795" t="s">
        <v>47</v>
      </c>
    </row>
    <row r="2796" spans="1:17" x14ac:dyDescent="0.3">
      <c r="A2796" t="s">
        <v>3893</v>
      </c>
      <c r="B2796" s="6">
        <v>45069</v>
      </c>
      <c r="C2796" s="6" t="str">
        <f t="shared" si="129"/>
        <v>May</v>
      </c>
      <c r="D2796" t="s">
        <v>2746</v>
      </c>
      <c r="E2796" t="s">
        <v>50</v>
      </c>
      <c r="F2796" t="s">
        <v>190</v>
      </c>
      <c r="G2796">
        <v>5</v>
      </c>
      <c r="H2796" s="7">
        <v>164.61</v>
      </c>
      <c r="I2796" t="s">
        <v>46</v>
      </c>
      <c r="J2796" t="s">
        <v>22</v>
      </c>
      <c r="K2796">
        <v>0</v>
      </c>
      <c r="L2796" s="7">
        <f t="shared" si="130"/>
        <v>823.05000000000007</v>
      </c>
      <c r="M2796" s="7"/>
      <c r="O2796">
        <f t="shared" si="131"/>
        <v>2</v>
      </c>
      <c r="Q2796" t="s">
        <v>47</v>
      </c>
    </row>
    <row r="2797" spans="1:17" x14ac:dyDescent="0.3">
      <c r="A2797" t="s">
        <v>3894</v>
      </c>
      <c r="B2797" s="6">
        <v>45242</v>
      </c>
      <c r="C2797" s="6" t="str">
        <f t="shared" si="129"/>
        <v>Nov</v>
      </c>
      <c r="D2797" t="s">
        <v>777</v>
      </c>
      <c r="E2797" t="s">
        <v>62</v>
      </c>
      <c r="F2797" t="s">
        <v>1142</v>
      </c>
      <c r="G2797">
        <v>5</v>
      </c>
      <c r="H2797" s="7">
        <v>222.91</v>
      </c>
      <c r="I2797" t="s">
        <v>21</v>
      </c>
      <c r="J2797" t="s">
        <v>28</v>
      </c>
      <c r="K2797">
        <v>0</v>
      </c>
      <c r="L2797" s="7">
        <f t="shared" si="130"/>
        <v>1114.55</v>
      </c>
      <c r="M2797" s="7"/>
      <c r="O2797">
        <f t="shared" si="131"/>
        <v>2</v>
      </c>
      <c r="Q2797" t="s">
        <v>23</v>
      </c>
    </row>
    <row r="2798" spans="1:17" x14ac:dyDescent="0.3">
      <c r="A2798" t="s">
        <v>3895</v>
      </c>
      <c r="B2798" s="6">
        <v>44962</v>
      </c>
      <c r="C2798" s="6" t="str">
        <f t="shared" si="129"/>
        <v>Feb</v>
      </c>
      <c r="D2798" t="s">
        <v>1968</v>
      </c>
      <c r="E2798" t="s">
        <v>19</v>
      </c>
      <c r="F2798" t="s">
        <v>708</v>
      </c>
      <c r="G2798">
        <v>7</v>
      </c>
      <c r="H2798" s="7">
        <v>417.44</v>
      </c>
      <c r="I2798" t="s">
        <v>32</v>
      </c>
      <c r="J2798" t="s">
        <v>42</v>
      </c>
      <c r="K2798">
        <v>15</v>
      </c>
      <c r="L2798" s="7">
        <f t="shared" si="130"/>
        <v>2922.08</v>
      </c>
      <c r="M2798" s="7"/>
      <c r="O2798">
        <f t="shared" si="131"/>
        <v>3</v>
      </c>
      <c r="Q2798" t="s">
        <v>33</v>
      </c>
    </row>
    <row r="2799" spans="1:17" x14ac:dyDescent="0.3">
      <c r="A2799" t="s">
        <v>3896</v>
      </c>
      <c r="B2799" s="6">
        <v>45272</v>
      </c>
      <c r="C2799" s="6" t="str">
        <f t="shared" si="129"/>
        <v>Dec</v>
      </c>
      <c r="D2799" t="s">
        <v>980</v>
      </c>
      <c r="E2799" t="s">
        <v>50</v>
      </c>
      <c r="F2799" t="s">
        <v>154</v>
      </c>
      <c r="G2799">
        <v>4</v>
      </c>
      <c r="H2799" s="7">
        <v>465.06</v>
      </c>
      <c r="I2799" t="s">
        <v>32</v>
      </c>
      <c r="J2799" t="s">
        <v>87</v>
      </c>
      <c r="K2799">
        <v>5</v>
      </c>
      <c r="L2799" s="7">
        <f t="shared" si="130"/>
        <v>1860.24</v>
      </c>
      <c r="M2799" s="7"/>
      <c r="O2799">
        <f t="shared" si="131"/>
        <v>2</v>
      </c>
      <c r="Q2799" t="s">
        <v>33</v>
      </c>
    </row>
    <row r="2800" spans="1:17" x14ac:dyDescent="0.3">
      <c r="A2800" t="s">
        <v>3897</v>
      </c>
      <c r="B2800" s="6">
        <v>45222</v>
      </c>
      <c r="C2800" s="6" t="str">
        <f t="shared" si="129"/>
        <v>Oct</v>
      </c>
      <c r="D2800" t="s">
        <v>774</v>
      </c>
      <c r="E2800" t="s">
        <v>19</v>
      </c>
      <c r="F2800" t="s">
        <v>523</v>
      </c>
      <c r="G2800">
        <v>3</v>
      </c>
      <c r="H2800" s="7">
        <v>316.07</v>
      </c>
      <c r="I2800" t="s">
        <v>19</v>
      </c>
      <c r="J2800" t="s">
        <v>28</v>
      </c>
      <c r="K2800">
        <v>5</v>
      </c>
      <c r="L2800" s="7">
        <f t="shared" si="130"/>
        <v>948.21</v>
      </c>
      <c r="M2800" s="7"/>
      <c r="O2800">
        <f t="shared" si="131"/>
        <v>2</v>
      </c>
      <c r="Q2800" t="s">
        <v>19</v>
      </c>
    </row>
    <row r="2801" spans="1:17" x14ac:dyDescent="0.3">
      <c r="A2801" t="s">
        <v>3898</v>
      </c>
      <c r="B2801" s="6">
        <v>45116</v>
      </c>
      <c r="C2801" s="6" t="str">
        <f t="shared" si="129"/>
        <v>Jul</v>
      </c>
      <c r="D2801" t="s">
        <v>3725</v>
      </c>
      <c r="E2801" t="s">
        <v>19</v>
      </c>
      <c r="F2801" t="s">
        <v>900</v>
      </c>
      <c r="G2801">
        <v>1</v>
      </c>
      <c r="H2801" s="7">
        <v>200.5</v>
      </c>
      <c r="I2801" t="s">
        <v>46</v>
      </c>
      <c r="J2801" t="s">
        <v>42</v>
      </c>
      <c r="K2801">
        <v>5</v>
      </c>
      <c r="L2801" s="7">
        <f t="shared" si="130"/>
        <v>200.5</v>
      </c>
      <c r="M2801" s="7"/>
      <c r="O2801">
        <f t="shared" si="131"/>
        <v>2</v>
      </c>
      <c r="Q2801" t="s">
        <v>47</v>
      </c>
    </row>
    <row r="2802" spans="1:17" x14ac:dyDescent="0.3">
      <c r="A2802" t="s">
        <v>3899</v>
      </c>
      <c r="B2802" s="6">
        <v>45226</v>
      </c>
      <c r="C2802" s="6" t="str">
        <f t="shared" si="129"/>
        <v>Oct</v>
      </c>
      <c r="D2802" t="s">
        <v>3806</v>
      </c>
      <c r="E2802" t="s">
        <v>62</v>
      </c>
      <c r="F2802" t="s">
        <v>913</v>
      </c>
      <c r="G2802">
        <v>8</v>
      </c>
      <c r="H2802" s="7">
        <v>130.75</v>
      </c>
      <c r="I2802" t="s">
        <v>64</v>
      </c>
      <c r="J2802" t="s">
        <v>28</v>
      </c>
      <c r="K2802">
        <v>10</v>
      </c>
      <c r="L2802" s="7">
        <f t="shared" si="130"/>
        <v>1046</v>
      </c>
      <c r="M2802" s="7"/>
      <c r="O2802">
        <f t="shared" si="131"/>
        <v>2</v>
      </c>
      <c r="Q2802" t="s">
        <v>65</v>
      </c>
    </row>
    <row r="2803" spans="1:17" x14ac:dyDescent="0.3">
      <c r="A2803" t="s">
        <v>3900</v>
      </c>
      <c r="B2803" s="6">
        <v>45080</v>
      </c>
      <c r="C2803" s="6" t="str">
        <f t="shared" si="129"/>
        <v>Jun</v>
      </c>
      <c r="D2803" t="s">
        <v>1242</v>
      </c>
      <c r="E2803" t="s">
        <v>19</v>
      </c>
      <c r="F2803" t="s">
        <v>165</v>
      </c>
      <c r="G2803">
        <v>3</v>
      </c>
      <c r="H2803" s="7">
        <v>491.16</v>
      </c>
      <c r="I2803" t="s">
        <v>21</v>
      </c>
      <c r="J2803" t="s">
        <v>87</v>
      </c>
      <c r="K2803">
        <v>5</v>
      </c>
      <c r="L2803" s="7">
        <f t="shared" si="130"/>
        <v>1473.48</v>
      </c>
      <c r="M2803" s="7"/>
      <c r="O2803">
        <f t="shared" si="131"/>
        <v>2</v>
      </c>
      <c r="Q2803" t="s">
        <v>23</v>
      </c>
    </row>
    <row r="2804" spans="1:17" x14ac:dyDescent="0.3">
      <c r="A2804" t="s">
        <v>3901</v>
      </c>
      <c r="B2804" s="6">
        <v>45212</v>
      </c>
      <c r="C2804" s="6" t="str">
        <f t="shared" si="129"/>
        <v>Oct</v>
      </c>
      <c r="D2804" t="s">
        <v>2380</v>
      </c>
      <c r="E2804" t="s">
        <v>26</v>
      </c>
      <c r="F2804" t="s">
        <v>406</v>
      </c>
      <c r="G2804">
        <v>2</v>
      </c>
      <c r="H2804" s="7">
        <v>491.59</v>
      </c>
      <c r="I2804" t="s">
        <v>21</v>
      </c>
      <c r="J2804" t="s">
        <v>28</v>
      </c>
      <c r="K2804">
        <v>10</v>
      </c>
      <c r="L2804" s="7">
        <f t="shared" si="130"/>
        <v>983.18</v>
      </c>
      <c r="M2804" s="7"/>
      <c r="O2804">
        <f t="shared" si="131"/>
        <v>2</v>
      </c>
      <c r="Q2804" t="s">
        <v>23</v>
      </c>
    </row>
    <row r="2805" spans="1:17" x14ac:dyDescent="0.3">
      <c r="A2805" t="s">
        <v>3902</v>
      </c>
      <c r="B2805" s="6">
        <v>45038</v>
      </c>
      <c r="C2805" s="6" t="str">
        <f t="shared" si="129"/>
        <v>Apr</v>
      </c>
      <c r="D2805" t="s">
        <v>197</v>
      </c>
      <c r="E2805" t="s">
        <v>36</v>
      </c>
      <c r="F2805" t="s">
        <v>263</v>
      </c>
      <c r="G2805">
        <v>4</v>
      </c>
      <c r="H2805" s="7">
        <v>462.86</v>
      </c>
      <c r="I2805" t="s">
        <v>46</v>
      </c>
      <c r="J2805" t="s">
        <v>87</v>
      </c>
      <c r="K2805">
        <v>10</v>
      </c>
      <c r="L2805" s="7">
        <f t="shared" si="130"/>
        <v>1851.44</v>
      </c>
      <c r="M2805" s="7"/>
      <c r="O2805">
        <f t="shared" si="131"/>
        <v>2</v>
      </c>
      <c r="Q2805" t="s">
        <v>47</v>
      </c>
    </row>
    <row r="2806" spans="1:17" x14ac:dyDescent="0.3">
      <c r="A2806" t="s">
        <v>3903</v>
      </c>
      <c r="B2806" s="6">
        <v>45111</v>
      </c>
      <c r="C2806" s="6" t="str">
        <f t="shared" si="129"/>
        <v>Jul</v>
      </c>
      <c r="D2806" t="s">
        <v>1370</v>
      </c>
      <c r="E2806" t="s">
        <v>40</v>
      </c>
      <c r="F2806" t="s">
        <v>646</v>
      </c>
      <c r="G2806">
        <v>3</v>
      </c>
      <c r="H2806" s="7">
        <v>393.91</v>
      </c>
      <c r="I2806" t="s">
        <v>21</v>
      </c>
      <c r="J2806" t="s">
        <v>42</v>
      </c>
      <c r="K2806">
        <v>5</v>
      </c>
      <c r="L2806" s="7">
        <f t="shared" si="130"/>
        <v>1181.73</v>
      </c>
      <c r="M2806" s="7"/>
      <c r="O2806">
        <f t="shared" si="131"/>
        <v>2</v>
      </c>
      <c r="Q2806" t="s">
        <v>23</v>
      </c>
    </row>
    <row r="2807" spans="1:17" x14ac:dyDescent="0.3">
      <c r="A2807" t="s">
        <v>3904</v>
      </c>
      <c r="B2807" s="6">
        <v>45143</v>
      </c>
      <c r="C2807" s="6" t="str">
        <f t="shared" si="129"/>
        <v>Aug</v>
      </c>
      <c r="D2807" t="s">
        <v>938</v>
      </c>
      <c r="E2807" t="s">
        <v>26</v>
      </c>
      <c r="F2807" t="s">
        <v>646</v>
      </c>
      <c r="G2807">
        <v>1</v>
      </c>
      <c r="H2807" s="7">
        <v>166.26</v>
      </c>
      <c r="I2807" t="s">
        <v>21</v>
      </c>
      <c r="J2807" t="s">
        <v>72</v>
      </c>
      <c r="K2807">
        <v>5</v>
      </c>
      <c r="L2807" s="7">
        <f t="shared" si="130"/>
        <v>166.26</v>
      </c>
      <c r="M2807" s="7"/>
      <c r="O2807">
        <f t="shared" si="131"/>
        <v>2</v>
      </c>
      <c r="Q2807" t="s">
        <v>23</v>
      </c>
    </row>
    <row r="2808" spans="1:17" x14ac:dyDescent="0.3">
      <c r="A2808" t="s">
        <v>3905</v>
      </c>
      <c r="B2808" s="6">
        <v>45231</v>
      </c>
      <c r="C2808" s="6" t="str">
        <f t="shared" si="129"/>
        <v>Nov</v>
      </c>
      <c r="D2808" t="s">
        <v>705</v>
      </c>
      <c r="E2808" t="s">
        <v>19</v>
      </c>
      <c r="F2808" t="s">
        <v>698</v>
      </c>
      <c r="G2808">
        <v>3</v>
      </c>
      <c r="H2808" s="7">
        <v>409.42</v>
      </c>
      <c r="I2808" t="s">
        <v>32</v>
      </c>
      <c r="J2808" t="s">
        <v>72</v>
      </c>
      <c r="K2808">
        <v>15</v>
      </c>
      <c r="L2808" s="7">
        <f t="shared" si="130"/>
        <v>1228.26</v>
      </c>
      <c r="M2808" s="7"/>
      <c r="O2808">
        <f t="shared" si="131"/>
        <v>2</v>
      </c>
      <c r="Q2808" t="s">
        <v>33</v>
      </c>
    </row>
    <row r="2809" spans="1:17" x14ac:dyDescent="0.3">
      <c r="A2809" t="s">
        <v>3906</v>
      </c>
      <c r="B2809" s="6">
        <v>45005</v>
      </c>
      <c r="C2809" s="6" t="str">
        <f t="shared" si="129"/>
        <v>Mar</v>
      </c>
      <c r="D2809" t="s">
        <v>1093</v>
      </c>
      <c r="E2809" t="s">
        <v>62</v>
      </c>
      <c r="F2809" t="s">
        <v>1023</v>
      </c>
      <c r="G2809">
        <v>2</v>
      </c>
      <c r="H2809" s="7">
        <v>207.35</v>
      </c>
      <c r="I2809" t="s">
        <v>19</v>
      </c>
      <c r="J2809" t="s">
        <v>42</v>
      </c>
      <c r="K2809">
        <v>10</v>
      </c>
      <c r="L2809" s="7">
        <f t="shared" si="130"/>
        <v>414.7</v>
      </c>
      <c r="M2809" s="7"/>
      <c r="O2809">
        <f t="shared" si="131"/>
        <v>2</v>
      </c>
      <c r="Q2809" t="s">
        <v>19</v>
      </c>
    </row>
    <row r="2810" spans="1:17" x14ac:dyDescent="0.3">
      <c r="A2810" t="s">
        <v>3907</v>
      </c>
      <c r="B2810" s="6">
        <v>45042</v>
      </c>
      <c r="C2810" s="6" t="str">
        <f t="shared" si="129"/>
        <v>Apr</v>
      </c>
      <c r="D2810" t="s">
        <v>3693</v>
      </c>
      <c r="E2810" t="s">
        <v>50</v>
      </c>
      <c r="F2810" t="s">
        <v>170</v>
      </c>
      <c r="G2810">
        <v>5</v>
      </c>
      <c r="H2810" s="7">
        <v>166.75</v>
      </c>
      <c r="I2810" t="s">
        <v>32</v>
      </c>
      <c r="J2810" t="s">
        <v>72</v>
      </c>
      <c r="K2810">
        <v>15</v>
      </c>
      <c r="L2810" s="7">
        <f t="shared" si="130"/>
        <v>833.75</v>
      </c>
      <c r="M2810" s="7"/>
      <c r="O2810">
        <f t="shared" si="131"/>
        <v>2</v>
      </c>
      <c r="Q2810" t="s">
        <v>33</v>
      </c>
    </row>
    <row r="2811" spans="1:17" x14ac:dyDescent="0.3">
      <c r="A2811" t="s">
        <v>3908</v>
      </c>
      <c r="B2811" s="6">
        <v>44951</v>
      </c>
      <c r="C2811" s="6" t="str">
        <f t="shared" si="129"/>
        <v>Jan</v>
      </c>
      <c r="D2811" t="s">
        <v>280</v>
      </c>
      <c r="E2811" t="s">
        <v>26</v>
      </c>
      <c r="F2811" t="s">
        <v>63</v>
      </c>
      <c r="G2811">
        <v>6</v>
      </c>
      <c r="H2811" s="7">
        <v>373.71</v>
      </c>
      <c r="I2811" t="s">
        <v>46</v>
      </c>
      <c r="J2811" t="s">
        <v>22</v>
      </c>
      <c r="K2811">
        <v>10</v>
      </c>
      <c r="L2811" s="7">
        <f t="shared" si="130"/>
        <v>2242.2599999999998</v>
      </c>
      <c r="M2811" s="7"/>
      <c r="O2811">
        <f t="shared" si="131"/>
        <v>2</v>
      </c>
      <c r="Q2811" t="s">
        <v>47</v>
      </c>
    </row>
    <row r="2812" spans="1:17" x14ac:dyDescent="0.3">
      <c r="A2812" t="s">
        <v>3909</v>
      </c>
      <c r="B2812" s="6">
        <v>45281</v>
      </c>
      <c r="C2812" s="6" t="str">
        <f t="shared" si="129"/>
        <v>Dec</v>
      </c>
      <c r="D2812" t="s">
        <v>449</v>
      </c>
      <c r="E2812" t="s">
        <v>40</v>
      </c>
      <c r="F2812" t="s">
        <v>807</v>
      </c>
      <c r="G2812">
        <v>9</v>
      </c>
      <c r="H2812" s="7">
        <v>252.16</v>
      </c>
      <c r="I2812" t="s">
        <v>46</v>
      </c>
      <c r="J2812" t="s">
        <v>42</v>
      </c>
      <c r="K2812">
        <v>15</v>
      </c>
      <c r="L2812" s="7">
        <f t="shared" si="130"/>
        <v>2269.44</v>
      </c>
      <c r="M2812" s="7"/>
      <c r="O2812">
        <f t="shared" si="131"/>
        <v>2</v>
      </c>
      <c r="Q2812" t="s">
        <v>47</v>
      </c>
    </row>
    <row r="2813" spans="1:17" x14ac:dyDescent="0.3">
      <c r="A2813" t="s">
        <v>3910</v>
      </c>
      <c r="B2813" s="6">
        <v>45091</v>
      </c>
      <c r="C2813" s="6" t="str">
        <f t="shared" si="129"/>
        <v>Jun</v>
      </c>
      <c r="D2813" t="s">
        <v>471</v>
      </c>
      <c r="E2813" t="s">
        <v>50</v>
      </c>
      <c r="F2813" t="s">
        <v>789</v>
      </c>
      <c r="G2813">
        <v>8</v>
      </c>
      <c r="H2813" s="7">
        <v>29.04</v>
      </c>
      <c r="I2813" t="s">
        <v>32</v>
      </c>
      <c r="J2813" t="s">
        <v>28</v>
      </c>
      <c r="K2813">
        <v>10</v>
      </c>
      <c r="L2813" s="7">
        <f t="shared" si="130"/>
        <v>232.32</v>
      </c>
      <c r="M2813" s="7"/>
      <c r="O2813">
        <f t="shared" si="131"/>
        <v>2</v>
      </c>
      <c r="Q2813" t="s">
        <v>33</v>
      </c>
    </row>
    <row r="2814" spans="1:17" x14ac:dyDescent="0.3">
      <c r="A2814" t="s">
        <v>3911</v>
      </c>
      <c r="B2814" s="6">
        <v>45012</v>
      </c>
      <c r="C2814" s="6" t="str">
        <f t="shared" si="129"/>
        <v>Mar</v>
      </c>
      <c r="D2814" t="s">
        <v>3712</v>
      </c>
      <c r="E2814" t="s">
        <v>31</v>
      </c>
      <c r="F2814" t="s">
        <v>292</v>
      </c>
      <c r="G2814">
        <v>3</v>
      </c>
      <c r="H2814" s="7">
        <v>226.74</v>
      </c>
      <c r="I2814" t="s">
        <v>19</v>
      </c>
      <c r="J2814" t="s">
        <v>42</v>
      </c>
      <c r="K2814">
        <v>0</v>
      </c>
      <c r="L2814" s="7">
        <f t="shared" si="130"/>
        <v>680.22</v>
      </c>
      <c r="M2814" s="7"/>
      <c r="O2814">
        <f t="shared" si="131"/>
        <v>2</v>
      </c>
      <c r="Q2814" t="s">
        <v>19</v>
      </c>
    </row>
    <row r="2815" spans="1:17" x14ac:dyDescent="0.3">
      <c r="A2815" t="s">
        <v>3912</v>
      </c>
      <c r="B2815" s="6">
        <v>45278</v>
      </c>
      <c r="C2815" s="6" t="str">
        <f t="shared" si="129"/>
        <v>Dec</v>
      </c>
      <c r="D2815" t="s">
        <v>3913</v>
      </c>
      <c r="E2815" t="s">
        <v>36</v>
      </c>
      <c r="F2815" t="s">
        <v>1568</v>
      </c>
      <c r="G2815">
        <v>5</v>
      </c>
      <c r="H2815" s="7">
        <v>225.59</v>
      </c>
      <c r="I2815" t="s">
        <v>32</v>
      </c>
      <c r="J2815" t="s">
        <v>22</v>
      </c>
      <c r="K2815">
        <v>10</v>
      </c>
      <c r="L2815" s="7">
        <f t="shared" si="130"/>
        <v>1127.95</v>
      </c>
      <c r="M2815" s="7"/>
      <c r="O2815">
        <f t="shared" si="131"/>
        <v>2</v>
      </c>
      <c r="Q2815" t="s">
        <v>33</v>
      </c>
    </row>
    <row r="2816" spans="1:17" x14ac:dyDescent="0.3">
      <c r="A2816" t="s">
        <v>3914</v>
      </c>
      <c r="B2816" s="6">
        <v>44998</v>
      </c>
      <c r="C2816" s="6" t="str">
        <f t="shared" si="129"/>
        <v>Mar</v>
      </c>
      <c r="D2816" t="s">
        <v>860</v>
      </c>
      <c r="E2816" t="s">
        <v>36</v>
      </c>
      <c r="F2816" t="s">
        <v>665</v>
      </c>
      <c r="G2816">
        <v>7</v>
      </c>
      <c r="H2816" s="7">
        <v>448.34</v>
      </c>
      <c r="I2816" t="s">
        <v>46</v>
      </c>
      <c r="J2816" t="s">
        <v>28</v>
      </c>
      <c r="K2816">
        <v>10</v>
      </c>
      <c r="L2816" s="7">
        <f t="shared" si="130"/>
        <v>3138.3799999999997</v>
      </c>
      <c r="M2816" s="7"/>
      <c r="O2816">
        <f t="shared" si="131"/>
        <v>4</v>
      </c>
      <c r="Q2816" t="s">
        <v>47</v>
      </c>
    </row>
    <row r="2817" spans="1:17" x14ac:dyDescent="0.3">
      <c r="A2817" t="s">
        <v>3915</v>
      </c>
      <c r="B2817" s="6">
        <v>45261</v>
      </c>
      <c r="C2817" s="6" t="str">
        <f t="shared" si="129"/>
        <v>Dec</v>
      </c>
      <c r="D2817" t="s">
        <v>1605</v>
      </c>
      <c r="E2817" t="s">
        <v>62</v>
      </c>
      <c r="F2817" t="s">
        <v>665</v>
      </c>
      <c r="G2817">
        <v>5</v>
      </c>
      <c r="H2817" s="7">
        <v>67.45</v>
      </c>
      <c r="I2817" t="s">
        <v>32</v>
      </c>
      <c r="J2817" t="s">
        <v>22</v>
      </c>
      <c r="K2817">
        <v>15</v>
      </c>
      <c r="L2817" s="7">
        <f t="shared" si="130"/>
        <v>337.25</v>
      </c>
      <c r="M2817" s="7"/>
      <c r="O2817">
        <f t="shared" si="131"/>
        <v>2</v>
      </c>
      <c r="Q2817" t="s">
        <v>33</v>
      </c>
    </row>
    <row r="2818" spans="1:17" x14ac:dyDescent="0.3">
      <c r="A2818" t="s">
        <v>3916</v>
      </c>
      <c r="B2818" s="6">
        <v>45232</v>
      </c>
      <c r="C2818" s="6" t="str">
        <f t="shared" si="129"/>
        <v>Nov</v>
      </c>
      <c r="D2818" t="s">
        <v>1135</v>
      </c>
      <c r="E2818" t="s">
        <v>19</v>
      </c>
      <c r="F2818" t="s">
        <v>488</v>
      </c>
      <c r="G2818">
        <v>8</v>
      </c>
      <c r="H2818" s="7">
        <v>66.03</v>
      </c>
      <c r="I2818" t="s">
        <v>103</v>
      </c>
      <c r="J2818" t="s">
        <v>28</v>
      </c>
      <c r="K2818">
        <v>10</v>
      </c>
      <c r="L2818" s="7">
        <f t="shared" si="130"/>
        <v>528.24</v>
      </c>
      <c r="M2818" s="7"/>
      <c r="O2818">
        <f t="shared" si="131"/>
        <v>2</v>
      </c>
      <c r="Q2818" t="s">
        <v>104</v>
      </c>
    </row>
    <row r="2819" spans="1:17" x14ac:dyDescent="0.3">
      <c r="A2819" t="s">
        <v>3917</v>
      </c>
      <c r="B2819" s="6">
        <v>45264</v>
      </c>
      <c r="C2819" s="6" t="str">
        <f t="shared" ref="C2819:C2882" si="132">TEXT(B2819,"MMM")</f>
        <v>Dec</v>
      </c>
      <c r="D2819" t="s">
        <v>1433</v>
      </c>
      <c r="E2819" t="s">
        <v>40</v>
      </c>
      <c r="F2819" t="s">
        <v>190</v>
      </c>
      <c r="G2819">
        <v>5</v>
      </c>
      <c r="H2819" s="7">
        <v>77.989999999999995</v>
      </c>
      <c r="I2819" t="s">
        <v>21</v>
      </c>
      <c r="J2819" t="s">
        <v>42</v>
      </c>
      <c r="K2819">
        <v>0</v>
      </c>
      <c r="L2819" s="7">
        <f t="shared" ref="L2819:L2882" si="133">G2819*H2819</f>
        <v>389.95</v>
      </c>
      <c r="M2819" s="7"/>
      <c r="O2819">
        <f t="shared" si="131"/>
        <v>2</v>
      </c>
      <c r="Q2819" t="s">
        <v>23</v>
      </c>
    </row>
    <row r="2820" spans="1:17" x14ac:dyDescent="0.3">
      <c r="A2820" t="s">
        <v>3918</v>
      </c>
      <c r="B2820" s="6">
        <v>45018</v>
      </c>
      <c r="C2820" s="6" t="str">
        <f t="shared" si="132"/>
        <v>Apr</v>
      </c>
      <c r="D2820" t="s">
        <v>596</v>
      </c>
      <c r="E2820" t="s">
        <v>50</v>
      </c>
      <c r="F2820" t="s">
        <v>909</v>
      </c>
      <c r="G2820">
        <v>1</v>
      </c>
      <c r="H2820" s="7">
        <v>19.72</v>
      </c>
      <c r="I2820" t="s">
        <v>32</v>
      </c>
      <c r="J2820" t="s">
        <v>72</v>
      </c>
      <c r="K2820">
        <v>20</v>
      </c>
      <c r="L2820" s="7">
        <f t="shared" si="133"/>
        <v>19.72</v>
      </c>
      <c r="M2820" s="7"/>
      <c r="O2820">
        <f t="shared" ref="O2820:O2883" si="134">IF(L2820&gt;3500,5,IF(L2820&gt;3000,4,IF(L2820&gt;2500,3,IF(L2820&gt;2000,2,IF(L2820&gt;1000,2,2)))))</f>
        <v>2</v>
      </c>
      <c r="Q2820" t="s">
        <v>33</v>
      </c>
    </row>
    <row r="2821" spans="1:17" x14ac:dyDescent="0.3">
      <c r="A2821" t="s">
        <v>3919</v>
      </c>
      <c r="B2821" s="6">
        <v>45220</v>
      </c>
      <c r="C2821" s="6" t="str">
        <f t="shared" si="132"/>
        <v>Oct</v>
      </c>
      <c r="D2821" t="s">
        <v>112</v>
      </c>
      <c r="E2821" t="s">
        <v>40</v>
      </c>
      <c r="F2821" t="s">
        <v>341</v>
      </c>
      <c r="G2821">
        <v>5</v>
      </c>
      <c r="H2821" s="7">
        <v>40.51</v>
      </c>
      <c r="I2821" t="s">
        <v>64</v>
      </c>
      <c r="J2821" t="s">
        <v>72</v>
      </c>
      <c r="K2821">
        <v>20</v>
      </c>
      <c r="L2821" s="7">
        <f t="shared" si="133"/>
        <v>202.54999999999998</v>
      </c>
      <c r="M2821" s="7"/>
      <c r="O2821">
        <f t="shared" si="134"/>
        <v>2</v>
      </c>
      <c r="Q2821" t="s">
        <v>65</v>
      </c>
    </row>
    <row r="2822" spans="1:17" x14ac:dyDescent="0.3">
      <c r="A2822" t="s">
        <v>3920</v>
      </c>
      <c r="B2822" s="6">
        <v>45010</v>
      </c>
      <c r="C2822" s="6" t="str">
        <f t="shared" si="132"/>
        <v>Mar</v>
      </c>
      <c r="D2822" t="s">
        <v>3588</v>
      </c>
      <c r="E2822" t="s">
        <v>50</v>
      </c>
      <c r="F2822" t="s">
        <v>406</v>
      </c>
      <c r="G2822">
        <v>4</v>
      </c>
      <c r="H2822" s="7">
        <v>331.64</v>
      </c>
      <c r="I2822" t="s">
        <v>103</v>
      </c>
      <c r="J2822" t="s">
        <v>72</v>
      </c>
      <c r="K2822">
        <v>10</v>
      </c>
      <c r="L2822" s="7">
        <f t="shared" si="133"/>
        <v>1326.56</v>
      </c>
      <c r="M2822" s="7"/>
      <c r="O2822">
        <f t="shared" si="134"/>
        <v>2</v>
      </c>
      <c r="Q2822" t="s">
        <v>104</v>
      </c>
    </row>
    <row r="2823" spans="1:17" x14ac:dyDescent="0.3">
      <c r="A2823" t="s">
        <v>3921</v>
      </c>
      <c r="B2823" s="6">
        <v>45093</v>
      </c>
      <c r="C2823" s="6" t="str">
        <f t="shared" si="132"/>
        <v>Jun</v>
      </c>
      <c r="D2823" t="s">
        <v>2268</v>
      </c>
      <c r="E2823" t="s">
        <v>36</v>
      </c>
      <c r="F2823" t="s">
        <v>657</v>
      </c>
      <c r="G2823">
        <v>6</v>
      </c>
      <c r="H2823" s="7">
        <v>218.63</v>
      </c>
      <c r="I2823" t="s">
        <v>64</v>
      </c>
      <c r="J2823" t="s">
        <v>87</v>
      </c>
      <c r="K2823">
        <v>20</v>
      </c>
      <c r="L2823" s="7">
        <f t="shared" si="133"/>
        <v>1311.78</v>
      </c>
      <c r="M2823" s="7"/>
      <c r="O2823">
        <f t="shared" si="134"/>
        <v>2</v>
      </c>
      <c r="Q2823" t="s">
        <v>65</v>
      </c>
    </row>
    <row r="2824" spans="1:17" x14ac:dyDescent="0.3">
      <c r="A2824" t="s">
        <v>3922</v>
      </c>
      <c r="B2824" s="6">
        <v>45104</v>
      </c>
      <c r="C2824" s="6" t="str">
        <f t="shared" si="132"/>
        <v>Jun</v>
      </c>
      <c r="D2824" t="s">
        <v>440</v>
      </c>
      <c r="E2824" t="s">
        <v>36</v>
      </c>
      <c r="F2824" t="s">
        <v>231</v>
      </c>
      <c r="G2824">
        <v>3</v>
      </c>
      <c r="H2824" s="7">
        <v>382.98</v>
      </c>
      <c r="I2824" t="s">
        <v>19</v>
      </c>
      <c r="J2824" t="s">
        <v>22</v>
      </c>
      <c r="K2824">
        <v>0</v>
      </c>
      <c r="L2824" s="7">
        <f t="shared" si="133"/>
        <v>1148.94</v>
      </c>
      <c r="M2824" s="7"/>
      <c r="O2824">
        <f t="shared" si="134"/>
        <v>2</v>
      </c>
      <c r="Q2824" t="s">
        <v>19</v>
      </c>
    </row>
    <row r="2825" spans="1:17" x14ac:dyDescent="0.3">
      <c r="A2825" t="s">
        <v>3923</v>
      </c>
      <c r="B2825" s="6">
        <v>45148</v>
      </c>
      <c r="C2825" s="6" t="str">
        <f t="shared" si="132"/>
        <v>Aug</v>
      </c>
      <c r="D2825" t="s">
        <v>2400</v>
      </c>
      <c r="E2825" t="s">
        <v>36</v>
      </c>
      <c r="F2825" t="s">
        <v>1693</v>
      </c>
      <c r="G2825">
        <v>5</v>
      </c>
      <c r="H2825" s="7">
        <v>496.34</v>
      </c>
      <c r="I2825" t="s">
        <v>19</v>
      </c>
      <c r="J2825" t="s">
        <v>19</v>
      </c>
      <c r="K2825">
        <v>5</v>
      </c>
      <c r="L2825" s="7">
        <f t="shared" si="133"/>
        <v>2481.6999999999998</v>
      </c>
      <c r="M2825" s="7"/>
      <c r="O2825">
        <f t="shared" si="134"/>
        <v>2</v>
      </c>
      <c r="Q2825" t="s">
        <v>19</v>
      </c>
    </row>
    <row r="2826" spans="1:17" x14ac:dyDescent="0.3">
      <c r="A2826" t="s">
        <v>3924</v>
      </c>
      <c r="B2826" s="6">
        <v>45178</v>
      </c>
      <c r="C2826" s="6" t="str">
        <f t="shared" si="132"/>
        <v>Sep</v>
      </c>
      <c r="D2826" t="s">
        <v>468</v>
      </c>
      <c r="E2826" t="s">
        <v>26</v>
      </c>
      <c r="F2826" t="s">
        <v>208</v>
      </c>
      <c r="G2826">
        <v>2</v>
      </c>
      <c r="H2826" s="7">
        <v>331.22</v>
      </c>
      <c r="I2826" t="s">
        <v>64</v>
      </c>
      <c r="J2826" t="s">
        <v>87</v>
      </c>
      <c r="K2826">
        <v>0</v>
      </c>
      <c r="L2826" s="7">
        <f t="shared" si="133"/>
        <v>662.44</v>
      </c>
      <c r="M2826" s="7"/>
      <c r="O2826">
        <f t="shared" si="134"/>
        <v>2</v>
      </c>
      <c r="Q2826" t="s">
        <v>65</v>
      </c>
    </row>
    <row r="2827" spans="1:17" x14ac:dyDescent="0.3">
      <c r="A2827" t="s">
        <v>3925</v>
      </c>
      <c r="B2827" s="6">
        <v>44932</v>
      </c>
      <c r="C2827" s="6" t="str">
        <f t="shared" si="132"/>
        <v>Jan</v>
      </c>
      <c r="D2827" t="s">
        <v>1779</v>
      </c>
      <c r="E2827" t="s">
        <v>62</v>
      </c>
      <c r="F2827" t="s">
        <v>856</v>
      </c>
      <c r="G2827">
        <v>6</v>
      </c>
      <c r="H2827" s="7">
        <v>29.98</v>
      </c>
      <c r="I2827" t="s">
        <v>19</v>
      </c>
      <c r="J2827" t="s">
        <v>19</v>
      </c>
      <c r="K2827">
        <v>15</v>
      </c>
      <c r="L2827" s="7">
        <f t="shared" si="133"/>
        <v>179.88</v>
      </c>
      <c r="M2827" s="7"/>
      <c r="O2827">
        <f t="shared" si="134"/>
        <v>2</v>
      </c>
      <c r="Q2827" t="s">
        <v>19</v>
      </c>
    </row>
    <row r="2828" spans="1:17" x14ac:dyDescent="0.3">
      <c r="A2828" t="s">
        <v>3926</v>
      </c>
      <c r="B2828" s="6">
        <v>45200</v>
      </c>
      <c r="C2828" s="6" t="str">
        <f t="shared" si="132"/>
        <v>Oct</v>
      </c>
      <c r="D2828" t="s">
        <v>3132</v>
      </c>
      <c r="E2828" t="s">
        <v>26</v>
      </c>
      <c r="F2828" t="s">
        <v>190</v>
      </c>
      <c r="G2828">
        <v>6</v>
      </c>
      <c r="H2828" s="7">
        <v>56.76</v>
      </c>
      <c r="I2828" t="s">
        <v>103</v>
      </c>
      <c r="J2828" t="s">
        <v>87</v>
      </c>
      <c r="K2828">
        <v>10</v>
      </c>
      <c r="L2828" s="7">
        <f t="shared" si="133"/>
        <v>340.56</v>
      </c>
      <c r="M2828" s="7"/>
      <c r="O2828">
        <f t="shared" si="134"/>
        <v>2</v>
      </c>
      <c r="Q2828" t="s">
        <v>104</v>
      </c>
    </row>
    <row r="2829" spans="1:17" x14ac:dyDescent="0.3">
      <c r="A2829" t="s">
        <v>3927</v>
      </c>
      <c r="B2829" s="6">
        <v>45267</v>
      </c>
      <c r="C2829" s="6" t="str">
        <f t="shared" si="132"/>
        <v>Dec</v>
      </c>
      <c r="D2829" t="s">
        <v>162</v>
      </c>
      <c r="E2829" t="s">
        <v>31</v>
      </c>
      <c r="F2829" t="s">
        <v>1461</v>
      </c>
      <c r="G2829">
        <v>5</v>
      </c>
      <c r="H2829" s="7">
        <v>441.1</v>
      </c>
      <c r="I2829" t="s">
        <v>46</v>
      </c>
      <c r="J2829" t="s">
        <v>19</v>
      </c>
      <c r="K2829">
        <v>10</v>
      </c>
      <c r="L2829" s="7">
        <f t="shared" si="133"/>
        <v>2205.5</v>
      </c>
      <c r="M2829" s="7"/>
      <c r="O2829">
        <f t="shared" si="134"/>
        <v>2</v>
      </c>
      <c r="Q2829" t="s">
        <v>47</v>
      </c>
    </row>
    <row r="2830" spans="1:17" x14ac:dyDescent="0.3">
      <c r="A2830" t="s">
        <v>3928</v>
      </c>
      <c r="B2830" s="6">
        <v>45220</v>
      </c>
      <c r="C2830" s="6" t="str">
        <f t="shared" si="132"/>
        <v>Oct</v>
      </c>
      <c r="D2830" t="s">
        <v>338</v>
      </c>
      <c r="E2830" t="s">
        <v>36</v>
      </c>
      <c r="F2830" t="s">
        <v>944</v>
      </c>
      <c r="G2830">
        <v>6</v>
      </c>
      <c r="H2830" s="7">
        <v>266.11</v>
      </c>
      <c r="I2830" t="s">
        <v>32</v>
      </c>
      <c r="J2830" t="s">
        <v>19</v>
      </c>
      <c r="K2830">
        <v>15</v>
      </c>
      <c r="L2830" s="7">
        <f t="shared" si="133"/>
        <v>1596.66</v>
      </c>
      <c r="M2830" s="7"/>
      <c r="O2830">
        <f t="shared" si="134"/>
        <v>2</v>
      </c>
      <c r="Q2830" t="s">
        <v>33</v>
      </c>
    </row>
    <row r="2831" spans="1:17" x14ac:dyDescent="0.3">
      <c r="A2831" t="s">
        <v>3929</v>
      </c>
      <c r="B2831" s="6">
        <v>45090</v>
      </c>
      <c r="C2831" s="6" t="str">
        <f t="shared" si="132"/>
        <v>Jun</v>
      </c>
      <c r="D2831" t="s">
        <v>860</v>
      </c>
      <c r="E2831" t="s">
        <v>26</v>
      </c>
      <c r="F2831" t="s">
        <v>436</v>
      </c>
      <c r="G2831">
        <v>7</v>
      </c>
      <c r="H2831" s="7">
        <v>413.29</v>
      </c>
      <c r="I2831" t="s">
        <v>64</v>
      </c>
      <c r="J2831" t="s">
        <v>22</v>
      </c>
      <c r="K2831">
        <v>15</v>
      </c>
      <c r="L2831" s="7">
        <f t="shared" si="133"/>
        <v>2893.03</v>
      </c>
      <c r="M2831" s="7"/>
      <c r="O2831">
        <f t="shared" si="134"/>
        <v>3</v>
      </c>
      <c r="Q2831" t="s">
        <v>65</v>
      </c>
    </row>
    <row r="2832" spans="1:17" x14ac:dyDescent="0.3">
      <c r="A2832" t="s">
        <v>3930</v>
      </c>
      <c r="B2832" s="6">
        <v>44985</v>
      </c>
      <c r="C2832" s="6" t="str">
        <f t="shared" si="132"/>
        <v>Feb</v>
      </c>
      <c r="D2832" t="s">
        <v>906</v>
      </c>
      <c r="E2832" t="s">
        <v>19</v>
      </c>
      <c r="F2832" t="s">
        <v>75</v>
      </c>
      <c r="G2832">
        <v>5</v>
      </c>
      <c r="H2832" s="7">
        <v>429.02</v>
      </c>
      <c r="I2832" t="s">
        <v>103</v>
      </c>
      <c r="J2832" t="s">
        <v>72</v>
      </c>
      <c r="K2832">
        <v>10</v>
      </c>
      <c r="L2832" s="7">
        <f t="shared" si="133"/>
        <v>2145.1</v>
      </c>
      <c r="M2832" s="7"/>
      <c r="O2832">
        <f t="shared" si="134"/>
        <v>2</v>
      </c>
      <c r="Q2832" t="s">
        <v>104</v>
      </c>
    </row>
    <row r="2833" spans="1:17" x14ac:dyDescent="0.3">
      <c r="A2833" t="s">
        <v>3931</v>
      </c>
      <c r="B2833" s="6">
        <v>45139</v>
      </c>
      <c r="C2833" s="6" t="str">
        <f t="shared" si="132"/>
        <v>Aug</v>
      </c>
      <c r="D2833" t="s">
        <v>153</v>
      </c>
      <c r="E2833" t="s">
        <v>36</v>
      </c>
      <c r="F2833" t="s">
        <v>90</v>
      </c>
      <c r="G2833">
        <v>1</v>
      </c>
      <c r="H2833" s="7">
        <v>464.2</v>
      </c>
      <c r="I2833" t="s">
        <v>19</v>
      </c>
      <c r="J2833" t="s">
        <v>42</v>
      </c>
      <c r="K2833">
        <v>10</v>
      </c>
      <c r="L2833" s="7">
        <f t="shared" si="133"/>
        <v>464.2</v>
      </c>
      <c r="M2833" s="7"/>
      <c r="O2833">
        <f t="shared" si="134"/>
        <v>2</v>
      </c>
      <c r="Q2833" t="s">
        <v>19</v>
      </c>
    </row>
    <row r="2834" spans="1:17" x14ac:dyDescent="0.3">
      <c r="A2834" t="s">
        <v>3932</v>
      </c>
      <c r="B2834" s="6">
        <v>44968</v>
      </c>
      <c r="C2834" s="6" t="str">
        <f t="shared" si="132"/>
        <v>Feb</v>
      </c>
      <c r="D2834" t="s">
        <v>600</v>
      </c>
      <c r="E2834" t="s">
        <v>31</v>
      </c>
      <c r="F2834" t="s">
        <v>975</v>
      </c>
      <c r="G2834">
        <v>8</v>
      </c>
      <c r="H2834" s="7">
        <v>475.17</v>
      </c>
      <c r="I2834" t="s">
        <v>21</v>
      </c>
      <c r="J2834" t="s">
        <v>22</v>
      </c>
      <c r="K2834">
        <v>5</v>
      </c>
      <c r="L2834" s="7">
        <f t="shared" si="133"/>
        <v>3801.36</v>
      </c>
      <c r="M2834" s="7"/>
      <c r="O2834">
        <f t="shared" si="134"/>
        <v>5</v>
      </c>
      <c r="Q2834" t="s">
        <v>23</v>
      </c>
    </row>
    <row r="2835" spans="1:17" x14ac:dyDescent="0.3">
      <c r="A2835" t="s">
        <v>3933</v>
      </c>
      <c r="B2835" s="6">
        <v>45101</v>
      </c>
      <c r="C2835" s="6" t="str">
        <f t="shared" si="132"/>
        <v>Jun</v>
      </c>
      <c r="D2835" t="s">
        <v>1011</v>
      </c>
      <c r="E2835" t="s">
        <v>19</v>
      </c>
      <c r="F2835" t="s">
        <v>110</v>
      </c>
      <c r="G2835">
        <v>5</v>
      </c>
      <c r="H2835" s="7">
        <v>279.64</v>
      </c>
      <c r="I2835" t="s">
        <v>19</v>
      </c>
      <c r="J2835" t="s">
        <v>28</v>
      </c>
      <c r="K2835">
        <v>5</v>
      </c>
      <c r="L2835" s="7">
        <f t="shared" si="133"/>
        <v>1398.1999999999998</v>
      </c>
      <c r="M2835" s="7"/>
      <c r="O2835">
        <f t="shared" si="134"/>
        <v>2</v>
      </c>
      <c r="Q2835" t="s">
        <v>19</v>
      </c>
    </row>
    <row r="2836" spans="1:17" x14ac:dyDescent="0.3">
      <c r="A2836" t="s">
        <v>3934</v>
      </c>
      <c r="B2836" s="6">
        <v>45165</v>
      </c>
      <c r="C2836" s="6" t="str">
        <f t="shared" si="132"/>
        <v>Aug</v>
      </c>
      <c r="D2836" t="s">
        <v>2920</v>
      </c>
      <c r="E2836" t="s">
        <v>40</v>
      </c>
      <c r="F2836" t="s">
        <v>598</v>
      </c>
      <c r="G2836">
        <v>9</v>
      </c>
      <c r="H2836" s="7">
        <v>173.8</v>
      </c>
      <c r="I2836" t="s">
        <v>103</v>
      </c>
      <c r="J2836" t="s">
        <v>19</v>
      </c>
      <c r="K2836">
        <v>5</v>
      </c>
      <c r="L2836" s="7">
        <f t="shared" si="133"/>
        <v>1564.2</v>
      </c>
      <c r="M2836" s="7"/>
      <c r="O2836">
        <f t="shared" si="134"/>
        <v>2</v>
      </c>
      <c r="Q2836" t="s">
        <v>104</v>
      </c>
    </row>
    <row r="2837" spans="1:17" x14ac:dyDescent="0.3">
      <c r="A2837" t="s">
        <v>3935</v>
      </c>
      <c r="B2837" s="6">
        <v>45092</v>
      </c>
      <c r="C2837" s="6" t="str">
        <f t="shared" si="132"/>
        <v>Jun</v>
      </c>
      <c r="D2837" t="s">
        <v>3480</v>
      </c>
      <c r="E2837" t="s">
        <v>36</v>
      </c>
      <c r="F2837" t="s">
        <v>198</v>
      </c>
      <c r="G2837">
        <v>6</v>
      </c>
      <c r="H2837" s="7">
        <v>481.12</v>
      </c>
      <c r="I2837" t="s">
        <v>21</v>
      </c>
      <c r="J2837" t="s">
        <v>28</v>
      </c>
      <c r="K2837">
        <v>15</v>
      </c>
      <c r="L2837" s="7">
        <f t="shared" si="133"/>
        <v>2886.7200000000003</v>
      </c>
      <c r="M2837" s="7"/>
      <c r="O2837">
        <f t="shared" si="134"/>
        <v>3</v>
      </c>
      <c r="Q2837" t="s">
        <v>23</v>
      </c>
    </row>
    <row r="2838" spans="1:17" x14ac:dyDescent="0.3">
      <c r="A2838" t="s">
        <v>3936</v>
      </c>
      <c r="B2838" s="6">
        <v>45019</v>
      </c>
      <c r="C2838" s="6" t="str">
        <f t="shared" si="132"/>
        <v>Apr</v>
      </c>
      <c r="D2838" t="s">
        <v>175</v>
      </c>
      <c r="E2838" t="s">
        <v>40</v>
      </c>
      <c r="F2838" t="s">
        <v>488</v>
      </c>
      <c r="G2838">
        <v>1</v>
      </c>
      <c r="H2838" s="7">
        <v>275.97000000000003</v>
      </c>
      <c r="I2838" t="s">
        <v>64</v>
      </c>
      <c r="J2838" t="s">
        <v>42</v>
      </c>
      <c r="K2838">
        <v>10</v>
      </c>
      <c r="L2838" s="7">
        <f t="shared" si="133"/>
        <v>275.97000000000003</v>
      </c>
      <c r="M2838" s="7"/>
      <c r="O2838">
        <f t="shared" si="134"/>
        <v>2</v>
      </c>
      <c r="Q2838" t="s">
        <v>65</v>
      </c>
    </row>
    <row r="2839" spans="1:17" x14ac:dyDescent="0.3">
      <c r="A2839" t="s">
        <v>3937</v>
      </c>
      <c r="B2839" s="6">
        <v>44955</v>
      </c>
      <c r="C2839" s="6" t="str">
        <f t="shared" si="132"/>
        <v>Jan</v>
      </c>
      <c r="D2839" t="s">
        <v>178</v>
      </c>
      <c r="E2839" t="s">
        <v>19</v>
      </c>
      <c r="F2839" t="s">
        <v>807</v>
      </c>
      <c r="G2839">
        <v>3</v>
      </c>
      <c r="H2839" s="7">
        <v>36.81</v>
      </c>
      <c r="I2839" t="s">
        <v>103</v>
      </c>
      <c r="J2839" t="s">
        <v>19</v>
      </c>
      <c r="K2839">
        <v>10</v>
      </c>
      <c r="L2839" s="7">
        <f t="shared" si="133"/>
        <v>110.43</v>
      </c>
      <c r="M2839" s="7"/>
      <c r="O2839">
        <f t="shared" si="134"/>
        <v>2</v>
      </c>
      <c r="Q2839" t="s">
        <v>104</v>
      </c>
    </row>
    <row r="2840" spans="1:17" x14ac:dyDescent="0.3">
      <c r="A2840" t="s">
        <v>3938</v>
      </c>
      <c r="B2840" s="6">
        <v>45193</v>
      </c>
      <c r="C2840" s="6" t="str">
        <f t="shared" si="132"/>
        <v>Sep</v>
      </c>
      <c r="D2840" t="s">
        <v>1140</v>
      </c>
      <c r="E2840" t="s">
        <v>50</v>
      </c>
      <c r="F2840" t="s">
        <v>575</v>
      </c>
      <c r="G2840">
        <v>3</v>
      </c>
      <c r="H2840" s="7">
        <v>323.17</v>
      </c>
      <c r="I2840" t="s">
        <v>21</v>
      </c>
      <c r="J2840" t="s">
        <v>87</v>
      </c>
      <c r="K2840">
        <v>10</v>
      </c>
      <c r="L2840" s="7">
        <f t="shared" si="133"/>
        <v>969.51</v>
      </c>
      <c r="M2840" s="7"/>
      <c r="O2840">
        <f t="shared" si="134"/>
        <v>2</v>
      </c>
      <c r="Q2840" t="s">
        <v>23</v>
      </c>
    </row>
    <row r="2841" spans="1:17" x14ac:dyDescent="0.3">
      <c r="A2841" t="s">
        <v>3939</v>
      </c>
      <c r="B2841" s="6">
        <v>45191</v>
      </c>
      <c r="C2841" s="6" t="str">
        <f t="shared" si="132"/>
        <v>Sep</v>
      </c>
      <c r="D2841" t="s">
        <v>3940</v>
      </c>
      <c r="E2841" t="s">
        <v>36</v>
      </c>
      <c r="F2841" t="s">
        <v>242</v>
      </c>
      <c r="G2841">
        <v>4</v>
      </c>
      <c r="H2841" s="7">
        <v>295.89999999999998</v>
      </c>
      <c r="I2841" t="s">
        <v>32</v>
      </c>
      <c r="J2841" t="s">
        <v>42</v>
      </c>
      <c r="K2841">
        <v>10</v>
      </c>
      <c r="L2841" s="7">
        <f t="shared" si="133"/>
        <v>1183.5999999999999</v>
      </c>
      <c r="M2841" s="7"/>
      <c r="O2841">
        <f t="shared" si="134"/>
        <v>2</v>
      </c>
      <c r="Q2841" t="s">
        <v>33</v>
      </c>
    </row>
    <row r="2842" spans="1:17" x14ac:dyDescent="0.3">
      <c r="A2842" t="s">
        <v>3941</v>
      </c>
      <c r="B2842" s="6">
        <v>44947</v>
      </c>
      <c r="C2842" s="6" t="str">
        <f t="shared" si="132"/>
        <v>Jan</v>
      </c>
      <c r="D2842" t="s">
        <v>1451</v>
      </c>
      <c r="E2842" t="s">
        <v>31</v>
      </c>
      <c r="F2842" t="s">
        <v>511</v>
      </c>
      <c r="G2842">
        <v>6</v>
      </c>
      <c r="H2842" s="7">
        <v>448.42</v>
      </c>
      <c r="I2842" t="s">
        <v>46</v>
      </c>
      <c r="J2842" t="s">
        <v>22</v>
      </c>
      <c r="K2842">
        <v>10</v>
      </c>
      <c r="L2842" s="7">
        <f t="shared" si="133"/>
        <v>2690.52</v>
      </c>
      <c r="M2842" s="7"/>
      <c r="O2842">
        <f t="shared" si="134"/>
        <v>3</v>
      </c>
      <c r="Q2842" t="s">
        <v>47</v>
      </c>
    </row>
    <row r="2843" spans="1:17" x14ac:dyDescent="0.3">
      <c r="A2843" t="s">
        <v>3942</v>
      </c>
      <c r="B2843" s="6">
        <v>45115</v>
      </c>
      <c r="C2843" s="6" t="str">
        <f t="shared" si="132"/>
        <v>Jul</v>
      </c>
      <c r="D2843" t="s">
        <v>1464</v>
      </c>
      <c r="E2843" t="s">
        <v>40</v>
      </c>
      <c r="F2843" t="s">
        <v>1693</v>
      </c>
      <c r="G2843">
        <v>7</v>
      </c>
      <c r="H2843" s="7">
        <v>328.33</v>
      </c>
      <c r="I2843" t="s">
        <v>64</v>
      </c>
      <c r="J2843" t="s">
        <v>72</v>
      </c>
      <c r="K2843">
        <v>0</v>
      </c>
      <c r="L2843" s="7">
        <f t="shared" si="133"/>
        <v>2298.31</v>
      </c>
      <c r="M2843" s="7"/>
      <c r="O2843">
        <f t="shared" si="134"/>
        <v>2</v>
      </c>
      <c r="Q2843" t="s">
        <v>65</v>
      </c>
    </row>
    <row r="2844" spans="1:17" x14ac:dyDescent="0.3">
      <c r="A2844" t="s">
        <v>3943</v>
      </c>
      <c r="B2844" s="6">
        <v>45098</v>
      </c>
      <c r="C2844" s="6" t="str">
        <f t="shared" si="132"/>
        <v>Jun</v>
      </c>
      <c r="D2844" t="s">
        <v>1759</v>
      </c>
      <c r="E2844" t="s">
        <v>50</v>
      </c>
      <c r="F2844" t="s">
        <v>182</v>
      </c>
      <c r="G2844">
        <v>4</v>
      </c>
      <c r="H2844" s="7">
        <v>177.78</v>
      </c>
      <c r="I2844" t="s">
        <v>64</v>
      </c>
      <c r="J2844" t="s">
        <v>22</v>
      </c>
      <c r="K2844">
        <v>10</v>
      </c>
      <c r="L2844" s="7">
        <f t="shared" si="133"/>
        <v>711.12</v>
      </c>
      <c r="M2844" s="7"/>
      <c r="O2844">
        <f t="shared" si="134"/>
        <v>2</v>
      </c>
      <c r="Q2844" t="s">
        <v>65</v>
      </c>
    </row>
    <row r="2845" spans="1:17" x14ac:dyDescent="0.3">
      <c r="A2845" t="s">
        <v>3944</v>
      </c>
      <c r="B2845" s="6">
        <v>45205</v>
      </c>
      <c r="C2845" s="6" t="str">
        <f t="shared" si="132"/>
        <v>Oct</v>
      </c>
      <c r="D2845" t="s">
        <v>2746</v>
      </c>
      <c r="E2845" t="s">
        <v>19</v>
      </c>
      <c r="F2845" t="s">
        <v>267</v>
      </c>
      <c r="G2845">
        <v>6</v>
      </c>
      <c r="H2845" s="7">
        <v>483.28</v>
      </c>
      <c r="I2845" t="s">
        <v>32</v>
      </c>
      <c r="J2845" t="s">
        <v>42</v>
      </c>
      <c r="K2845">
        <v>0</v>
      </c>
      <c r="L2845" s="7">
        <f t="shared" si="133"/>
        <v>2899.68</v>
      </c>
      <c r="M2845" s="7"/>
      <c r="O2845">
        <f t="shared" si="134"/>
        <v>3</v>
      </c>
      <c r="Q2845" t="s">
        <v>33</v>
      </c>
    </row>
    <row r="2846" spans="1:17" x14ac:dyDescent="0.3">
      <c r="A2846" t="s">
        <v>3945</v>
      </c>
      <c r="B2846" s="6">
        <v>45041</v>
      </c>
      <c r="C2846" s="6" t="str">
        <f t="shared" si="132"/>
        <v>Apr</v>
      </c>
      <c r="D2846" t="s">
        <v>600</v>
      </c>
      <c r="E2846" t="s">
        <v>36</v>
      </c>
      <c r="F2846" t="s">
        <v>968</v>
      </c>
      <c r="G2846">
        <v>1</v>
      </c>
      <c r="H2846" s="7">
        <v>401.8</v>
      </c>
      <c r="I2846" t="s">
        <v>32</v>
      </c>
      <c r="J2846" t="s">
        <v>42</v>
      </c>
      <c r="K2846">
        <v>20</v>
      </c>
      <c r="L2846" s="7">
        <f t="shared" si="133"/>
        <v>401.8</v>
      </c>
      <c r="M2846" s="7"/>
      <c r="O2846">
        <f t="shared" si="134"/>
        <v>2</v>
      </c>
      <c r="Q2846" t="s">
        <v>33</v>
      </c>
    </row>
    <row r="2847" spans="1:17" x14ac:dyDescent="0.3">
      <c r="A2847" t="s">
        <v>3946</v>
      </c>
      <c r="B2847" s="6">
        <v>45000</v>
      </c>
      <c r="C2847" s="6" t="str">
        <f t="shared" si="132"/>
        <v>Mar</v>
      </c>
      <c r="D2847" t="s">
        <v>2126</v>
      </c>
      <c r="E2847" t="s">
        <v>26</v>
      </c>
      <c r="F2847" t="s">
        <v>1085</v>
      </c>
      <c r="G2847">
        <v>8</v>
      </c>
      <c r="H2847" s="7">
        <v>252.16</v>
      </c>
      <c r="I2847" t="s">
        <v>103</v>
      </c>
      <c r="J2847" t="s">
        <v>28</v>
      </c>
      <c r="K2847">
        <v>0</v>
      </c>
      <c r="L2847" s="7">
        <f t="shared" si="133"/>
        <v>2017.28</v>
      </c>
      <c r="M2847" s="7"/>
      <c r="O2847">
        <f t="shared" si="134"/>
        <v>2</v>
      </c>
      <c r="Q2847" t="s">
        <v>104</v>
      </c>
    </row>
    <row r="2848" spans="1:17" x14ac:dyDescent="0.3">
      <c r="A2848" t="s">
        <v>3947</v>
      </c>
      <c r="B2848" s="6">
        <v>45037</v>
      </c>
      <c r="C2848" s="6" t="str">
        <f t="shared" si="132"/>
        <v>Apr</v>
      </c>
      <c r="D2848" t="s">
        <v>1124</v>
      </c>
      <c r="E2848" t="s">
        <v>50</v>
      </c>
      <c r="F2848" t="s">
        <v>586</v>
      </c>
      <c r="G2848">
        <v>5</v>
      </c>
      <c r="H2848" s="7">
        <v>150</v>
      </c>
      <c r="I2848" t="s">
        <v>103</v>
      </c>
      <c r="J2848" t="s">
        <v>87</v>
      </c>
      <c r="K2848">
        <v>5</v>
      </c>
      <c r="L2848" s="7">
        <f t="shared" si="133"/>
        <v>750</v>
      </c>
      <c r="M2848" s="7"/>
      <c r="O2848">
        <f t="shared" si="134"/>
        <v>2</v>
      </c>
      <c r="Q2848" t="s">
        <v>104</v>
      </c>
    </row>
    <row r="2849" spans="1:17" x14ac:dyDescent="0.3">
      <c r="A2849" t="s">
        <v>3948</v>
      </c>
      <c r="B2849" s="6">
        <v>45053</v>
      </c>
      <c r="C2849" s="6" t="str">
        <f t="shared" si="132"/>
        <v>May</v>
      </c>
      <c r="D2849" t="s">
        <v>2634</v>
      </c>
      <c r="E2849" t="s">
        <v>19</v>
      </c>
      <c r="F2849" t="s">
        <v>833</v>
      </c>
      <c r="G2849">
        <v>9</v>
      </c>
      <c r="H2849" s="7">
        <v>189.9</v>
      </c>
      <c r="I2849" t="s">
        <v>32</v>
      </c>
      <c r="J2849" t="s">
        <v>72</v>
      </c>
      <c r="K2849">
        <v>5</v>
      </c>
      <c r="L2849" s="7">
        <f t="shared" si="133"/>
        <v>1709.1000000000001</v>
      </c>
      <c r="M2849" s="7"/>
      <c r="O2849">
        <f t="shared" si="134"/>
        <v>2</v>
      </c>
      <c r="Q2849" t="s">
        <v>33</v>
      </c>
    </row>
    <row r="2850" spans="1:17" x14ac:dyDescent="0.3">
      <c r="A2850" t="s">
        <v>3949</v>
      </c>
      <c r="B2850" s="6">
        <v>45193</v>
      </c>
      <c r="C2850" s="6" t="str">
        <f t="shared" si="132"/>
        <v>Sep</v>
      </c>
      <c r="D2850" t="s">
        <v>2968</v>
      </c>
      <c r="E2850" t="s">
        <v>62</v>
      </c>
      <c r="F2850" t="s">
        <v>289</v>
      </c>
      <c r="G2850">
        <v>3</v>
      </c>
      <c r="H2850" s="7">
        <v>336.64</v>
      </c>
      <c r="I2850" t="s">
        <v>46</v>
      </c>
      <c r="J2850" t="s">
        <v>28</v>
      </c>
      <c r="K2850">
        <v>10</v>
      </c>
      <c r="L2850" s="7">
        <f t="shared" si="133"/>
        <v>1009.92</v>
      </c>
      <c r="M2850" s="7"/>
      <c r="O2850">
        <f t="shared" si="134"/>
        <v>2</v>
      </c>
      <c r="Q2850" t="s">
        <v>47</v>
      </c>
    </row>
    <row r="2851" spans="1:17" x14ac:dyDescent="0.3">
      <c r="A2851" t="s">
        <v>3950</v>
      </c>
      <c r="B2851" s="6">
        <v>45107</v>
      </c>
      <c r="C2851" s="6" t="str">
        <f t="shared" si="132"/>
        <v>Jun</v>
      </c>
      <c r="D2851" t="s">
        <v>2233</v>
      </c>
      <c r="E2851" t="s">
        <v>36</v>
      </c>
      <c r="F2851" t="s">
        <v>504</v>
      </c>
      <c r="G2851">
        <v>2</v>
      </c>
      <c r="H2851" s="7">
        <v>40.630000000000003</v>
      </c>
      <c r="I2851" t="s">
        <v>64</v>
      </c>
      <c r="J2851" t="s">
        <v>72</v>
      </c>
      <c r="K2851">
        <v>5</v>
      </c>
      <c r="L2851" s="7">
        <f t="shared" si="133"/>
        <v>81.260000000000005</v>
      </c>
      <c r="M2851" s="7"/>
      <c r="O2851">
        <f t="shared" si="134"/>
        <v>2</v>
      </c>
      <c r="Q2851" t="s">
        <v>65</v>
      </c>
    </row>
    <row r="2852" spans="1:17" x14ac:dyDescent="0.3">
      <c r="A2852" t="s">
        <v>3951</v>
      </c>
      <c r="B2852" s="6">
        <v>45094</v>
      </c>
      <c r="C2852" s="6" t="str">
        <f t="shared" si="132"/>
        <v>Jun</v>
      </c>
      <c r="D2852" t="s">
        <v>1977</v>
      </c>
      <c r="E2852" t="s">
        <v>31</v>
      </c>
      <c r="F2852" t="s">
        <v>861</v>
      </c>
      <c r="G2852">
        <v>1</v>
      </c>
      <c r="H2852" s="7">
        <v>132.06</v>
      </c>
      <c r="I2852" t="s">
        <v>46</v>
      </c>
      <c r="J2852" t="s">
        <v>42</v>
      </c>
      <c r="K2852">
        <v>5</v>
      </c>
      <c r="L2852" s="7">
        <f t="shared" si="133"/>
        <v>132.06</v>
      </c>
      <c r="M2852" s="7"/>
      <c r="O2852">
        <f t="shared" si="134"/>
        <v>2</v>
      </c>
      <c r="Q2852" t="s">
        <v>47</v>
      </c>
    </row>
    <row r="2853" spans="1:17" x14ac:dyDescent="0.3">
      <c r="A2853" t="s">
        <v>3952</v>
      </c>
      <c r="B2853" s="6">
        <v>45244</v>
      </c>
      <c r="C2853" s="6" t="str">
        <f t="shared" si="132"/>
        <v>Nov</v>
      </c>
      <c r="D2853" t="s">
        <v>89</v>
      </c>
      <c r="E2853" t="s">
        <v>19</v>
      </c>
      <c r="F2853" t="s">
        <v>59</v>
      </c>
      <c r="G2853">
        <v>3</v>
      </c>
      <c r="H2853" s="7">
        <v>358.38</v>
      </c>
      <c r="I2853" t="s">
        <v>32</v>
      </c>
      <c r="J2853" t="s">
        <v>22</v>
      </c>
      <c r="K2853">
        <v>20</v>
      </c>
      <c r="L2853" s="7">
        <f t="shared" si="133"/>
        <v>1075.1399999999999</v>
      </c>
      <c r="M2853" s="7"/>
      <c r="O2853">
        <f t="shared" si="134"/>
        <v>2</v>
      </c>
      <c r="Q2853" t="s">
        <v>33</v>
      </c>
    </row>
    <row r="2854" spans="1:17" x14ac:dyDescent="0.3">
      <c r="A2854" t="s">
        <v>3953</v>
      </c>
      <c r="B2854" s="6">
        <v>45094</v>
      </c>
      <c r="C2854" s="6" t="str">
        <f t="shared" si="132"/>
        <v>Jun</v>
      </c>
      <c r="D2854" t="s">
        <v>2521</v>
      </c>
      <c r="E2854" t="s">
        <v>36</v>
      </c>
      <c r="F2854" t="s">
        <v>1282</v>
      </c>
      <c r="G2854">
        <v>5</v>
      </c>
      <c r="H2854" s="7">
        <v>242.61</v>
      </c>
      <c r="I2854" t="s">
        <v>19</v>
      </c>
      <c r="J2854" t="s">
        <v>42</v>
      </c>
      <c r="K2854">
        <v>5</v>
      </c>
      <c r="L2854" s="7">
        <f t="shared" si="133"/>
        <v>1213.0500000000002</v>
      </c>
      <c r="M2854" s="7"/>
      <c r="O2854">
        <f t="shared" si="134"/>
        <v>2</v>
      </c>
      <c r="Q2854" t="s">
        <v>19</v>
      </c>
    </row>
    <row r="2855" spans="1:17" x14ac:dyDescent="0.3">
      <c r="A2855" t="s">
        <v>3954</v>
      </c>
      <c r="B2855" s="6">
        <v>45031</v>
      </c>
      <c r="C2855" s="6" t="str">
        <f t="shared" si="132"/>
        <v>Apr</v>
      </c>
      <c r="D2855" t="s">
        <v>912</v>
      </c>
      <c r="E2855" t="s">
        <v>40</v>
      </c>
      <c r="F2855" t="s">
        <v>1063</v>
      </c>
      <c r="G2855">
        <v>2</v>
      </c>
      <c r="H2855" s="7">
        <v>204.18</v>
      </c>
      <c r="I2855" t="s">
        <v>21</v>
      </c>
      <c r="J2855" t="s">
        <v>28</v>
      </c>
      <c r="K2855">
        <v>15</v>
      </c>
      <c r="L2855" s="7">
        <f t="shared" si="133"/>
        <v>408.36</v>
      </c>
      <c r="M2855" s="7"/>
      <c r="O2855">
        <f t="shared" si="134"/>
        <v>2</v>
      </c>
      <c r="Q2855" t="s">
        <v>23</v>
      </c>
    </row>
    <row r="2856" spans="1:17" x14ac:dyDescent="0.3">
      <c r="A2856" t="s">
        <v>3955</v>
      </c>
      <c r="B2856" s="6">
        <v>45220</v>
      </c>
      <c r="C2856" s="6" t="str">
        <f t="shared" si="132"/>
        <v>Oct</v>
      </c>
      <c r="D2856" t="s">
        <v>2233</v>
      </c>
      <c r="E2856" t="s">
        <v>31</v>
      </c>
      <c r="F2856" t="s">
        <v>182</v>
      </c>
      <c r="G2856">
        <v>3</v>
      </c>
      <c r="H2856" s="7">
        <v>79.97</v>
      </c>
      <c r="I2856" t="s">
        <v>21</v>
      </c>
      <c r="J2856" t="s">
        <v>72</v>
      </c>
      <c r="K2856">
        <v>15</v>
      </c>
      <c r="L2856" s="7">
        <f t="shared" si="133"/>
        <v>239.91</v>
      </c>
      <c r="M2856" s="7"/>
      <c r="O2856">
        <f t="shared" si="134"/>
        <v>2</v>
      </c>
      <c r="Q2856" t="s">
        <v>23</v>
      </c>
    </row>
    <row r="2857" spans="1:17" x14ac:dyDescent="0.3">
      <c r="A2857" t="s">
        <v>3956</v>
      </c>
      <c r="B2857" s="6">
        <v>44948</v>
      </c>
      <c r="C2857" s="6" t="str">
        <f t="shared" si="132"/>
        <v>Jan</v>
      </c>
      <c r="D2857" t="s">
        <v>2581</v>
      </c>
      <c r="E2857" t="s">
        <v>50</v>
      </c>
      <c r="F2857" t="s">
        <v>205</v>
      </c>
      <c r="G2857">
        <v>4</v>
      </c>
      <c r="H2857" s="7">
        <v>223.72</v>
      </c>
      <c r="I2857" t="s">
        <v>32</v>
      </c>
      <c r="J2857" t="s">
        <v>28</v>
      </c>
      <c r="K2857">
        <v>15</v>
      </c>
      <c r="L2857" s="7">
        <f t="shared" si="133"/>
        <v>894.88</v>
      </c>
      <c r="M2857" s="7"/>
      <c r="O2857">
        <f t="shared" si="134"/>
        <v>2</v>
      </c>
      <c r="Q2857" t="s">
        <v>33</v>
      </c>
    </row>
    <row r="2858" spans="1:17" x14ac:dyDescent="0.3">
      <c r="A2858" t="s">
        <v>3957</v>
      </c>
      <c r="B2858" s="6">
        <v>45283</v>
      </c>
      <c r="C2858" s="6" t="str">
        <f t="shared" si="132"/>
        <v>Dec</v>
      </c>
      <c r="D2858" t="s">
        <v>1859</v>
      </c>
      <c r="E2858" t="s">
        <v>62</v>
      </c>
      <c r="F2858" t="s">
        <v>1023</v>
      </c>
      <c r="G2858">
        <v>7</v>
      </c>
      <c r="H2858" s="7">
        <v>386.49</v>
      </c>
      <c r="I2858" t="s">
        <v>21</v>
      </c>
      <c r="J2858" t="s">
        <v>19</v>
      </c>
      <c r="K2858">
        <v>0</v>
      </c>
      <c r="L2858" s="7">
        <f t="shared" si="133"/>
        <v>2705.4300000000003</v>
      </c>
      <c r="M2858" s="7"/>
      <c r="O2858">
        <f t="shared" si="134"/>
        <v>3</v>
      </c>
      <c r="Q2858" t="s">
        <v>23</v>
      </c>
    </row>
    <row r="2859" spans="1:17" x14ac:dyDescent="0.3">
      <c r="A2859" t="s">
        <v>3958</v>
      </c>
      <c r="B2859" s="6">
        <v>45198</v>
      </c>
      <c r="C2859" s="6" t="str">
        <f t="shared" si="132"/>
        <v>Sep</v>
      </c>
      <c r="D2859" t="s">
        <v>1840</v>
      </c>
      <c r="E2859" t="s">
        <v>19</v>
      </c>
      <c r="F2859" t="s">
        <v>1302</v>
      </c>
      <c r="G2859">
        <v>3</v>
      </c>
      <c r="H2859" s="7">
        <v>135.69</v>
      </c>
      <c r="I2859" t="s">
        <v>103</v>
      </c>
      <c r="J2859" t="s">
        <v>72</v>
      </c>
      <c r="K2859">
        <v>10</v>
      </c>
      <c r="L2859" s="7">
        <f t="shared" si="133"/>
        <v>407.07</v>
      </c>
      <c r="M2859" s="7"/>
      <c r="O2859">
        <f t="shared" si="134"/>
        <v>2</v>
      </c>
      <c r="Q2859" t="s">
        <v>104</v>
      </c>
    </row>
    <row r="2860" spans="1:17" x14ac:dyDescent="0.3">
      <c r="A2860" t="s">
        <v>3959</v>
      </c>
      <c r="B2860" s="6">
        <v>45046</v>
      </c>
      <c r="C2860" s="6" t="str">
        <f t="shared" si="132"/>
        <v>Apr</v>
      </c>
      <c r="D2860" t="s">
        <v>1451</v>
      </c>
      <c r="E2860" t="s">
        <v>50</v>
      </c>
      <c r="F2860" t="s">
        <v>1461</v>
      </c>
      <c r="G2860">
        <v>9</v>
      </c>
      <c r="H2860" s="7">
        <v>7.67</v>
      </c>
      <c r="I2860" t="s">
        <v>103</v>
      </c>
      <c r="J2860" t="s">
        <v>19</v>
      </c>
      <c r="K2860">
        <v>10</v>
      </c>
      <c r="L2860" s="7">
        <f t="shared" si="133"/>
        <v>69.03</v>
      </c>
      <c r="M2860" s="7"/>
      <c r="O2860">
        <f t="shared" si="134"/>
        <v>2</v>
      </c>
      <c r="Q2860" t="s">
        <v>104</v>
      </c>
    </row>
    <row r="2861" spans="1:17" x14ac:dyDescent="0.3">
      <c r="A2861" t="s">
        <v>3960</v>
      </c>
      <c r="B2861" s="6">
        <v>45109</v>
      </c>
      <c r="C2861" s="6" t="str">
        <f t="shared" si="132"/>
        <v>Jul</v>
      </c>
      <c r="D2861" t="s">
        <v>3444</v>
      </c>
      <c r="E2861" t="s">
        <v>26</v>
      </c>
      <c r="F2861" t="s">
        <v>160</v>
      </c>
      <c r="G2861">
        <v>8</v>
      </c>
      <c r="H2861" s="7">
        <v>335.91</v>
      </c>
      <c r="I2861" t="s">
        <v>64</v>
      </c>
      <c r="J2861" t="s">
        <v>42</v>
      </c>
      <c r="K2861">
        <v>10</v>
      </c>
      <c r="L2861" s="7">
        <f t="shared" si="133"/>
        <v>2687.28</v>
      </c>
      <c r="M2861" s="7"/>
      <c r="O2861">
        <f t="shared" si="134"/>
        <v>3</v>
      </c>
      <c r="Q2861" t="s">
        <v>65</v>
      </c>
    </row>
    <row r="2862" spans="1:17" x14ac:dyDescent="0.3">
      <c r="A2862" t="s">
        <v>3961</v>
      </c>
      <c r="B2862" s="6">
        <v>44972</v>
      </c>
      <c r="C2862" s="6" t="str">
        <f t="shared" si="132"/>
        <v>Feb</v>
      </c>
      <c r="D2862" t="s">
        <v>2596</v>
      </c>
      <c r="E2862" t="s">
        <v>40</v>
      </c>
      <c r="F2862" t="s">
        <v>696</v>
      </c>
      <c r="G2862">
        <v>4</v>
      </c>
      <c r="H2862" s="7">
        <v>486.45</v>
      </c>
      <c r="I2862" t="s">
        <v>32</v>
      </c>
      <c r="J2862" t="s">
        <v>19</v>
      </c>
      <c r="K2862">
        <v>20</v>
      </c>
      <c r="L2862" s="7">
        <f t="shared" si="133"/>
        <v>1945.8</v>
      </c>
      <c r="M2862" s="7"/>
      <c r="O2862">
        <f t="shared" si="134"/>
        <v>2</v>
      </c>
      <c r="Q2862" t="s">
        <v>33</v>
      </c>
    </row>
    <row r="2863" spans="1:17" x14ac:dyDescent="0.3">
      <c r="A2863" t="s">
        <v>3962</v>
      </c>
      <c r="B2863" s="6">
        <v>45261</v>
      </c>
      <c r="C2863" s="6" t="str">
        <f t="shared" si="132"/>
        <v>Dec</v>
      </c>
      <c r="D2863" t="s">
        <v>1362</v>
      </c>
      <c r="E2863" t="s">
        <v>36</v>
      </c>
      <c r="F2863" t="s">
        <v>222</v>
      </c>
      <c r="G2863">
        <v>1</v>
      </c>
      <c r="H2863" s="7">
        <v>305.38</v>
      </c>
      <c r="I2863" t="s">
        <v>19</v>
      </c>
      <c r="J2863" t="s">
        <v>22</v>
      </c>
      <c r="K2863">
        <v>15</v>
      </c>
      <c r="L2863" s="7">
        <f t="shared" si="133"/>
        <v>305.38</v>
      </c>
      <c r="M2863" s="7"/>
      <c r="O2863">
        <f t="shared" si="134"/>
        <v>2</v>
      </c>
      <c r="Q2863" t="s">
        <v>19</v>
      </c>
    </row>
    <row r="2864" spans="1:17" x14ac:dyDescent="0.3">
      <c r="A2864" t="s">
        <v>3963</v>
      </c>
      <c r="B2864" s="6">
        <v>45017</v>
      </c>
      <c r="C2864" s="6" t="str">
        <f t="shared" si="132"/>
        <v>Apr</v>
      </c>
      <c r="D2864" t="s">
        <v>2513</v>
      </c>
      <c r="E2864" t="s">
        <v>31</v>
      </c>
      <c r="F2864" t="s">
        <v>687</v>
      </c>
      <c r="G2864">
        <v>1</v>
      </c>
      <c r="H2864" s="7">
        <v>64.36</v>
      </c>
      <c r="I2864" t="s">
        <v>46</v>
      </c>
      <c r="J2864" t="s">
        <v>19</v>
      </c>
      <c r="K2864">
        <v>15</v>
      </c>
      <c r="L2864" s="7">
        <f t="shared" si="133"/>
        <v>64.36</v>
      </c>
      <c r="M2864" s="7"/>
      <c r="O2864">
        <f t="shared" si="134"/>
        <v>2</v>
      </c>
      <c r="Q2864" t="s">
        <v>47</v>
      </c>
    </row>
    <row r="2865" spans="1:17" x14ac:dyDescent="0.3">
      <c r="A2865" t="s">
        <v>3964</v>
      </c>
      <c r="B2865" s="6">
        <v>45100</v>
      </c>
      <c r="C2865" s="6" t="str">
        <f t="shared" si="132"/>
        <v>Jun</v>
      </c>
      <c r="D2865" t="s">
        <v>2154</v>
      </c>
      <c r="E2865" t="s">
        <v>36</v>
      </c>
      <c r="F2865" t="s">
        <v>1568</v>
      </c>
      <c r="G2865">
        <v>1</v>
      </c>
      <c r="H2865" s="7">
        <v>163.76</v>
      </c>
      <c r="I2865" t="s">
        <v>46</v>
      </c>
      <c r="J2865" t="s">
        <v>28</v>
      </c>
      <c r="K2865">
        <v>5</v>
      </c>
      <c r="L2865" s="7">
        <f t="shared" si="133"/>
        <v>163.76</v>
      </c>
      <c r="M2865" s="7"/>
      <c r="O2865">
        <f t="shared" si="134"/>
        <v>2</v>
      </c>
      <c r="Q2865" t="s">
        <v>47</v>
      </c>
    </row>
    <row r="2866" spans="1:17" x14ac:dyDescent="0.3">
      <c r="A2866" t="s">
        <v>3965</v>
      </c>
      <c r="B2866" s="6">
        <v>44940</v>
      </c>
      <c r="C2866" s="6" t="str">
        <f t="shared" si="132"/>
        <v>Jan</v>
      </c>
      <c r="D2866" t="s">
        <v>1904</v>
      </c>
      <c r="E2866" t="s">
        <v>19</v>
      </c>
      <c r="F2866" t="s">
        <v>856</v>
      </c>
      <c r="G2866">
        <v>1</v>
      </c>
      <c r="H2866" s="7">
        <v>434.48</v>
      </c>
      <c r="I2866" t="s">
        <v>19</v>
      </c>
      <c r="J2866" t="s">
        <v>22</v>
      </c>
      <c r="K2866">
        <v>15</v>
      </c>
      <c r="L2866" s="7">
        <f t="shared" si="133"/>
        <v>434.48</v>
      </c>
      <c r="M2866" s="7"/>
      <c r="O2866">
        <f t="shared" si="134"/>
        <v>2</v>
      </c>
      <c r="Q2866" t="s">
        <v>19</v>
      </c>
    </row>
    <row r="2867" spans="1:17" x14ac:dyDescent="0.3">
      <c r="A2867" t="s">
        <v>3966</v>
      </c>
      <c r="B2867" s="6">
        <v>45255</v>
      </c>
      <c r="C2867" s="6" t="str">
        <f t="shared" si="132"/>
        <v>Nov</v>
      </c>
      <c r="D2867" t="s">
        <v>1275</v>
      </c>
      <c r="E2867" t="s">
        <v>19</v>
      </c>
      <c r="F2867" t="s">
        <v>833</v>
      </c>
      <c r="G2867">
        <v>8</v>
      </c>
      <c r="H2867" s="7">
        <v>120.12</v>
      </c>
      <c r="I2867" t="s">
        <v>64</v>
      </c>
      <c r="J2867" t="s">
        <v>87</v>
      </c>
      <c r="K2867">
        <v>5</v>
      </c>
      <c r="L2867" s="7">
        <f t="shared" si="133"/>
        <v>960.96</v>
      </c>
      <c r="M2867" s="7"/>
      <c r="O2867">
        <f t="shared" si="134"/>
        <v>2</v>
      </c>
      <c r="Q2867" t="s">
        <v>65</v>
      </c>
    </row>
    <row r="2868" spans="1:17" x14ac:dyDescent="0.3">
      <c r="A2868" t="s">
        <v>3967</v>
      </c>
      <c r="B2868" s="6">
        <v>44964</v>
      </c>
      <c r="C2868" s="6" t="str">
        <f t="shared" si="132"/>
        <v>Feb</v>
      </c>
      <c r="D2868" t="s">
        <v>1104</v>
      </c>
      <c r="E2868" t="s">
        <v>31</v>
      </c>
      <c r="F2868" t="s">
        <v>627</v>
      </c>
      <c r="G2868">
        <v>3</v>
      </c>
      <c r="H2868" s="7">
        <v>305.81</v>
      </c>
      <c r="I2868" t="s">
        <v>32</v>
      </c>
      <c r="J2868" t="s">
        <v>28</v>
      </c>
      <c r="K2868">
        <v>5</v>
      </c>
      <c r="L2868" s="7">
        <f t="shared" si="133"/>
        <v>917.43000000000006</v>
      </c>
      <c r="M2868" s="7"/>
      <c r="O2868">
        <f t="shared" si="134"/>
        <v>2</v>
      </c>
      <c r="Q2868" t="s">
        <v>33</v>
      </c>
    </row>
    <row r="2869" spans="1:17" x14ac:dyDescent="0.3">
      <c r="A2869" t="s">
        <v>3968</v>
      </c>
      <c r="B2869" s="6">
        <v>45033</v>
      </c>
      <c r="C2869" s="6" t="str">
        <f t="shared" si="132"/>
        <v>Apr</v>
      </c>
      <c r="D2869" t="s">
        <v>1236</v>
      </c>
      <c r="E2869" t="s">
        <v>31</v>
      </c>
      <c r="F2869" t="s">
        <v>179</v>
      </c>
      <c r="G2869">
        <v>5</v>
      </c>
      <c r="H2869" s="7">
        <v>204.32</v>
      </c>
      <c r="I2869" t="s">
        <v>64</v>
      </c>
      <c r="J2869" t="s">
        <v>72</v>
      </c>
      <c r="K2869">
        <v>10</v>
      </c>
      <c r="L2869" s="7">
        <f t="shared" si="133"/>
        <v>1021.5999999999999</v>
      </c>
      <c r="M2869" s="7"/>
      <c r="O2869">
        <f t="shared" si="134"/>
        <v>2</v>
      </c>
      <c r="Q2869" t="s">
        <v>65</v>
      </c>
    </row>
    <row r="2870" spans="1:17" x14ac:dyDescent="0.3">
      <c r="A2870" t="s">
        <v>3969</v>
      </c>
      <c r="B2870" s="6">
        <v>45123</v>
      </c>
      <c r="C2870" s="6" t="str">
        <f t="shared" si="132"/>
        <v>Jul</v>
      </c>
      <c r="D2870" t="s">
        <v>2474</v>
      </c>
      <c r="E2870" t="s">
        <v>19</v>
      </c>
      <c r="F2870" t="s">
        <v>224</v>
      </c>
      <c r="G2870">
        <v>5</v>
      </c>
      <c r="H2870" s="7">
        <v>107.88</v>
      </c>
      <c r="I2870" t="s">
        <v>21</v>
      </c>
      <c r="J2870" t="s">
        <v>22</v>
      </c>
      <c r="K2870">
        <v>0</v>
      </c>
      <c r="L2870" s="7">
        <f t="shared" si="133"/>
        <v>539.4</v>
      </c>
      <c r="M2870" s="7"/>
      <c r="O2870">
        <f t="shared" si="134"/>
        <v>2</v>
      </c>
      <c r="Q2870" t="s">
        <v>23</v>
      </c>
    </row>
    <row r="2871" spans="1:17" x14ac:dyDescent="0.3">
      <c r="A2871" t="s">
        <v>3970</v>
      </c>
      <c r="B2871" s="6">
        <v>44984</v>
      </c>
      <c r="C2871" s="6" t="str">
        <f t="shared" si="132"/>
        <v>Feb</v>
      </c>
      <c r="D2871" t="s">
        <v>2581</v>
      </c>
      <c r="E2871" t="s">
        <v>36</v>
      </c>
      <c r="F2871" t="s">
        <v>81</v>
      </c>
      <c r="G2871">
        <v>5</v>
      </c>
      <c r="H2871" s="7">
        <v>407.64</v>
      </c>
      <c r="I2871" t="s">
        <v>46</v>
      </c>
      <c r="J2871" t="s">
        <v>28</v>
      </c>
      <c r="K2871">
        <v>5</v>
      </c>
      <c r="L2871" s="7">
        <f t="shared" si="133"/>
        <v>2038.1999999999998</v>
      </c>
      <c r="M2871" s="7"/>
      <c r="O2871">
        <f t="shared" si="134"/>
        <v>2</v>
      </c>
      <c r="Q2871" t="s">
        <v>47</v>
      </c>
    </row>
    <row r="2872" spans="1:17" x14ac:dyDescent="0.3">
      <c r="A2872" t="s">
        <v>3971</v>
      </c>
      <c r="B2872" s="6">
        <v>45084</v>
      </c>
      <c r="C2872" s="6" t="str">
        <f t="shared" si="132"/>
        <v>Jun</v>
      </c>
      <c r="D2872" t="s">
        <v>1625</v>
      </c>
      <c r="E2872" t="s">
        <v>62</v>
      </c>
      <c r="F2872" t="s">
        <v>331</v>
      </c>
      <c r="G2872">
        <v>7</v>
      </c>
      <c r="H2872" s="7">
        <v>372.7</v>
      </c>
      <c r="I2872" t="s">
        <v>19</v>
      </c>
      <c r="J2872" t="s">
        <v>22</v>
      </c>
      <c r="K2872">
        <v>5</v>
      </c>
      <c r="L2872" s="7">
        <f t="shared" si="133"/>
        <v>2608.9</v>
      </c>
      <c r="M2872" s="7"/>
      <c r="O2872">
        <f t="shared" si="134"/>
        <v>3</v>
      </c>
      <c r="Q2872" t="s">
        <v>19</v>
      </c>
    </row>
    <row r="2873" spans="1:17" x14ac:dyDescent="0.3">
      <c r="A2873" t="s">
        <v>3972</v>
      </c>
      <c r="B2873" s="6">
        <v>45157</v>
      </c>
      <c r="C2873" s="6" t="str">
        <f t="shared" si="132"/>
        <v>Aug</v>
      </c>
      <c r="D2873" t="s">
        <v>954</v>
      </c>
      <c r="E2873" t="s">
        <v>40</v>
      </c>
      <c r="F2873" t="s">
        <v>359</v>
      </c>
      <c r="G2873">
        <v>2</v>
      </c>
      <c r="H2873" s="7">
        <v>332.49</v>
      </c>
      <c r="I2873" t="s">
        <v>64</v>
      </c>
      <c r="J2873" t="s">
        <v>72</v>
      </c>
      <c r="K2873">
        <v>10</v>
      </c>
      <c r="L2873" s="7">
        <f t="shared" si="133"/>
        <v>664.98</v>
      </c>
      <c r="M2873" s="7"/>
      <c r="O2873">
        <f t="shared" si="134"/>
        <v>2</v>
      </c>
      <c r="Q2873" t="s">
        <v>65</v>
      </c>
    </row>
    <row r="2874" spans="1:17" x14ac:dyDescent="0.3">
      <c r="A2874" t="s">
        <v>3973</v>
      </c>
      <c r="B2874" s="6">
        <v>45041</v>
      </c>
      <c r="C2874" s="6" t="str">
        <f t="shared" si="132"/>
        <v>Apr</v>
      </c>
      <c r="D2874" t="s">
        <v>1280</v>
      </c>
      <c r="E2874" t="s">
        <v>36</v>
      </c>
      <c r="F2874" t="s">
        <v>856</v>
      </c>
      <c r="G2874">
        <v>6</v>
      </c>
      <c r="H2874" s="7">
        <v>121.99</v>
      </c>
      <c r="I2874" t="s">
        <v>103</v>
      </c>
      <c r="J2874" t="s">
        <v>19</v>
      </c>
      <c r="K2874">
        <v>10</v>
      </c>
      <c r="L2874" s="7">
        <f t="shared" si="133"/>
        <v>731.93999999999994</v>
      </c>
      <c r="M2874" s="7"/>
      <c r="O2874">
        <f t="shared" si="134"/>
        <v>2</v>
      </c>
      <c r="Q2874" t="s">
        <v>104</v>
      </c>
    </row>
    <row r="2875" spans="1:17" x14ac:dyDescent="0.3">
      <c r="A2875" t="s">
        <v>3974</v>
      </c>
      <c r="B2875" s="6">
        <v>45284</v>
      </c>
      <c r="C2875" s="6" t="str">
        <f t="shared" si="132"/>
        <v>Dec</v>
      </c>
      <c r="D2875" t="s">
        <v>3386</v>
      </c>
      <c r="E2875" t="s">
        <v>62</v>
      </c>
      <c r="F2875" t="s">
        <v>538</v>
      </c>
      <c r="G2875">
        <v>6</v>
      </c>
      <c r="H2875" s="7">
        <v>53.44</v>
      </c>
      <c r="I2875" t="s">
        <v>46</v>
      </c>
      <c r="J2875" t="s">
        <v>87</v>
      </c>
      <c r="K2875">
        <v>5</v>
      </c>
      <c r="L2875" s="7">
        <f t="shared" si="133"/>
        <v>320.64</v>
      </c>
      <c r="M2875" s="7"/>
      <c r="O2875">
        <f t="shared" si="134"/>
        <v>2</v>
      </c>
      <c r="Q2875" t="s">
        <v>47</v>
      </c>
    </row>
    <row r="2876" spans="1:17" x14ac:dyDescent="0.3">
      <c r="A2876" t="s">
        <v>3975</v>
      </c>
      <c r="B2876" s="6">
        <v>45096</v>
      </c>
      <c r="C2876" s="6" t="str">
        <f t="shared" si="132"/>
        <v>Jun</v>
      </c>
      <c r="D2876" t="s">
        <v>1460</v>
      </c>
      <c r="E2876" t="s">
        <v>19</v>
      </c>
      <c r="F2876" t="s">
        <v>383</v>
      </c>
      <c r="G2876">
        <v>3</v>
      </c>
      <c r="H2876" s="7">
        <v>290.2</v>
      </c>
      <c r="I2876" t="s">
        <v>21</v>
      </c>
      <c r="J2876" t="s">
        <v>42</v>
      </c>
      <c r="K2876">
        <v>20</v>
      </c>
      <c r="L2876" s="7">
        <f t="shared" si="133"/>
        <v>870.59999999999991</v>
      </c>
      <c r="M2876" s="7"/>
      <c r="O2876">
        <f t="shared" si="134"/>
        <v>2</v>
      </c>
      <c r="Q2876" t="s">
        <v>23</v>
      </c>
    </row>
    <row r="2877" spans="1:17" x14ac:dyDescent="0.3">
      <c r="A2877" t="s">
        <v>3976</v>
      </c>
      <c r="B2877" s="6">
        <v>44957</v>
      </c>
      <c r="C2877" s="6" t="str">
        <f t="shared" si="132"/>
        <v>Jan</v>
      </c>
      <c r="D2877" t="s">
        <v>1370</v>
      </c>
      <c r="E2877" t="s">
        <v>19</v>
      </c>
      <c r="F2877" t="s">
        <v>1194</v>
      </c>
      <c r="G2877">
        <v>6</v>
      </c>
      <c r="H2877" s="7">
        <v>279.07</v>
      </c>
      <c r="I2877" t="s">
        <v>19</v>
      </c>
      <c r="J2877" t="s">
        <v>72</v>
      </c>
      <c r="K2877">
        <v>0</v>
      </c>
      <c r="L2877" s="7">
        <f t="shared" si="133"/>
        <v>1674.42</v>
      </c>
      <c r="M2877" s="7"/>
      <c r="O2877">
        <f t="shared" si="134"/>
        <v>2</v>
      </c>
      <c r="Q2877" t="s">
        <v>19</v>
      </c>
    </row>
    <row r="2878" spans="1:17" x14ac:dyDescent="0.3">
      <c r="A2878" t="s">
        <v>3977</v>
      </c>
      <c r="B2878" s="6">
        <v>45196</v>
      </c>
      <c r="C2878" s="6" t="str">
        <f t="shared" si="132"/>
        <v>Sep</v>
      </c>
      <c r="D2878" t="s">
        <v>2654</v>
      </c>
      <c r="E2878" t="s">
        <v>19</v>
      </c>
      <c r="F2878" t="s">
        <v>131</v>
      </c>
      <c r="G2878">
        <v>5</v>
      </c>
      <c r="H2878" s="7">
        <v>98.25</v>
      </c>
      <c r="I2878" t="s">
        <v>103</v>
      </c>
      <c r="J2878" t="s">
        <v>28</v>
      </c>
      <c r="K2878">
        <v>20</v>
      </c>
      <c r="L2878" s="7">
        <f t="shared" si="133"/>
        <v>491.25</v>
      </c>
      <c r="M2878" s="7"/>
      <c r="O2878">
        <f t="shared" si="134"/>
        <v>2</v>
      </c>
      <c r="Q2878" t="s">
        <v>104</v>
      </c>
    </row>
    <row r="2879" spans="1:17" x14ac:dyDescent="0.3">
      <c r="A2879" t="s">
        <v>3978</v>
      </c>
      <c r="B2879" s="6">
        <v>45267</v>
      </c>
      <c r="C2879" s="6" t="str">
        <f t="shared" si="132"/>
        <v>Dec</v>
      </c>
      <c r="D2879" t="s">
        <v>1209</v>
      </c>
      <c r="E2879" t="s">
        <v>19</v>
      </c>
      <c r="F2879" t="s">
        <v>1251</v>
      </c>
      <c r="G2879">
        <v>2</v>
      </c>
      <c r="H2879" s="7">
        <v>32.840000000000003</v>
      </c>
      <c r="I2879" t="s">
        <v>21</v>
      </c>
      <c r="J2879" t="s">
        <v>72</v>
      </c>
      <c r="K2879">
        <v>15</v>
      </c>
      <c r="L2879" s="7">
        <f t="shared" si="133"/>
        <v>65.680000000000007</v>
      </c>
      <c r="M2879" s="7"/>
      <c r="O2879">
        <f t="shared" si="134"/>
        <v>2</v>
      </c>
      <c r="Q2879" t="s">
        <v>23</v>
      </c>
    </row>
    <row r="2880" spans="1:17" x14ac:dyDescent="0.3">
      <c r="A2880" t="s">
        <v>3979</v>
      </c>
      <c r="B2880" s="6">
        <v>45180</v>
      </c>
      <c r="C2880" s="6" t="str">
        <f t="shared" si="132"/>
        <v>Sep</v>
      </c>
      <c r="D2880" t="s">
        <v>343</v>
      </c>
      <c r="E2880" t="s">
        <v>26</v>
      </c>
      <c r="F2880" t="s">
        <v>102</v>
      </c>
      <c r="G2880">
        <v>9</v>
      </c>
      <c r="H2880" s="7">
        <v>44.95</v>
      </c>
      <c r="I2880" t="s">
        <v>64</v>
      </c>
      <c r="J2880" t="s">
        <v>19</v>
      </c>
      <c r="K2880">
        <v>0</v>
      </c>
      <c r="L2880" s="7">
        <f t="shared" si="133"/>
        <v>404.55</v>
      </c>
      <c r="M2880" s="7"/>
      <c r="O2880">
        <f t="shared" si="134"/>
        <v>2</v>
      </c>
      <c r="Q2880" t="s">
        <v>65</v>
      </c>
    </row>
    <row r="2881" spans="1:17" x14ac:dyDescent="0.3">
      <c r="A2881" t="s">
        <v>3980</v>
      </c>
      <c r="B2881" s="6">
        <v>45216</v>
      </c>
      <c r="C2881" s="6" t="str">
        <f t="shared" si="132"/>
        <v>Oct</v>
      </c>
      <c r="D2881" t="s">
        <v>2122</v>
      </c>
      <c r="E2881" t="s">
        <v>50</v>
      </c>
      <c r="F2881" t="s">
        <v>1063</v>
      </c>
      <c r="G2881">
        <v>8</v>
      </c>
      <c r="H2881" s="7">
        <v>496.42</v>
      </c>
      <c r="I2881" t="s">
        <v>46</v>
      </c>
      <c r="J2881" t="s">
        <v>42</v>
      </c>
      <c r="K2881">
        <v>15</v>
      </c>
      <c r="L2881" s="7">
        <f t="shared" si="133"/>
        <v>3971.36</v>
      </c>
      <c r="M2881" s="7"/>
      <c r="O2881">
        <f t="shared" si="134"/>
        <v>5</v>
      </c>
      <c r="Q2881" t="s">
        <v>47</v>
      </c>
    </row>
    <row r="2882" spans="1:17" x14ac:dyDescent="0.3">
      <c r="A2882" t="s">
        <v>3981</v>
      </c>
      <c r="B2882" s="6">
        <v>45262</v>
      </c>
      <c r="C2882" s="6" t="str">
        <f t="shared" si="132"/>
        <v>Dec</v>
      </c>
      <c r="D2882" t="s">
        <v>1187</v>
      </c>
      <c r="E2882" t="s">
        <v>40</v>
      </c>
      <c r="F2882" t="s">
        <v>1237</v>
      </c>
      <c r="G2882">
        <v>3</v>
      </c>
      <c r="H2882" s="7">
        <v>392.87</v>
      </c>
      <c r="I2882" t="s">
        <v>32</v>
      </c>
      <c r="J2882" t="s">
        <v>72</v>
      </c>
      <c r="K2882">
        <v>10</v>
      </c>
      <c r="L2882" s="7">
        <f t="shared" si="133"/>
        <v>1178.6100000000001</v>
      </c>
      <c r="M2882" s="7"/>
      <c r="O2882">
        <f t="shared" si="134"/>
        <v>2</v>
      </c>
      <c r="Q2882" t="s">
        <v>33</v>
      </c>
    </row>
    <row r="2883" spans="1:17" x14ac:dyDescent="0.3">
      <c r="A2883" t="s">
        <v>3982</v>
      </c>
      <c r="B2883" s="6">
        <v>45043</v>
      </c>
      <c r="C2883" s="6" t="str">
        <f t="shared" ref="C2883:C2946" si="135">TEXT(B2883,"MMM")</f>
        <v>Apr</v>
      </c>
      <c r="D2883" t="s">
        <v>1040</v>
      </c>
      <c r="E2883" t="s">
        <v>40</v>
      </c>
      <c r="F2883" t="s">
        <v>125</v>
      </c>
      <c r="G2883">
        <v>8</v>
      </c>
      <c r="H2883" s="7">
        <v>461.38</v>
      </c>
      <c r="I2883" t="s">
        <v>64</v>
      </c>
      <c r="J2883" t="s">
        <v>87</v>
      </c>
      <c r="K2883">
        <v>5</v>
      </c>
      <c r="L2883" s="7">
        <f t="shared" ref="L2883:L2946" si="136">G2883*H2883</f>
        <v>3691.04</v>
      </c>
      <c r="M2883" s="7"/>
      <c r="O2883">
        <f t="shared" si="134"/>
        <v>5</v>
      </c>
      <c r="Q2883" t="s">
        <v>65</v>
      </c>
    </row>
    <row r="2884" spans="1:17" x14ac:dyDescent="0.3">
      <c r="A2884" t="s">
        <v>3983</v>
      </c>
      <c r="B2884" s="6">
        <v>45017</v>
      </c>
      <c r="C2884" s="6" t="str">
        <f t="shared" si="135"/>
        <v>Apr</v>
      </c>
      <c r="D2884" t="s">
        <v>2691</v>
      </c>
      <c r="E2884" t="s">
        <v>40</v>
      </c>
      <c r="F2884" t="s">
        <v>292</v>
      </c>
      <c r="G2884">
        <v>9</v>
      </c>
      <c r="H2884" s="7">
        <v>101.55</v>
      </c>
      <c r="I2884" t="s">
        <v>19</v>
      </c>
      <c r="J2884" t="s">
        <v>19</v>
      </c>
      <c r="K2884">
        <v>10</v>
      </c>
      <c r="L2884" s="7">
        <f t="shared" si="136"/>
        <v>913.94999999999993</v>
      </c>
      <c r="M2884" s="7"/>
      <c r="O2884">
        <f t="shared" ref="O2884:O2947" si="137">IF(L2884&gt;3500,5,IF(L2884&gt;3000,4,IF(L2884&gt;2500,3,IF(L2884&gt;2000,2,IF(L2884&gt;1000,2,2)))))</f>
        <v>2</v>
      </c>
      <c r="Q2884" t="s">
        <v>19</v>
      </c>
    </row>
    <row r="2885" spans="1:17" x14ac:dyDescent="0.3">
      <c r="A2885" t="s">
        <v>3984</v>
      </c>
      <c r="B2885" s="6">
        <v>44964</v>
      </c>
      <c r="C2885" s="6" t="str">
        <f t="shared" si="135"/>
        <v>Feb</v>
      </c>
      <c r="D2885" t="s">
        <v>821</v>
      </c>
      <c r="E2885" t="s">
        <v>19</v>
      </c>
      <c r="F2885" t="s">
        <v>856</v>
      </c>
      <c r="G2885">
        <v>3</v>
      </c>
      <c r="H2885" s="7">
        <v>480.48</v>
      </c>
      <c r="I2885" t="s">
        <v>19</v>
      </c>
      <c r="J2885" t="s">
        <v>22</v>
      </c>
      <c r="K2885">
        <v>20</v>
      </c>
      <c r="L2885" s="7">
        <f t="shared" si="136"/>
        <v>1441.44</v>
      </c>
      <c r="M2885" s="7"/>
      <c r="O2885">
        <f t="shared" si="137"/>
        <v>2</v>
      </c>
      <c r="Q2885" t="s">
        <v>19</v>
      </c>
    </row>
    <row r="2886" spans="1:17" x14ac:dyDescent="0.3">
      <c r="A2886" t="s">
        <v>3985</v>
      </c>
      <c r="B2886" s="6">
        <v>45104</v>
      </c>
      <c r="C2886" s="6" t="str">
        <f t="shared" si="135"/>
        <v>Jun</v>
      </c>
      <c r="D2886" t="s">
        <v>2621</v>
      </c>
      <c r="E2886" t="s">
        <v>26</v>
      </c>
      <c r="F2886" t="s">
        <v>41</v>
      </c>
      <c r="G2886">
        <v>3</v>
      </c>
      <c r="H2886" s="7">
        <v>75.61</v>
      </c>
      <c r="I2886" t="s">
        <v>46</v>
      </c>
      <c r="J2886" t="s">
        <v>19</v>
      </c>
      <c r="K2886">
        <v>15</v>
      </c>
      <c r="L2886" s="7">
        <f t="shared" si="136"/>
        <v>226.82999999999998</v>
      </c>
      <c r="M2886" s="7"/>
      <c r="O2886">
        <f t="shared" si="137"/>
        <v>2</v>
      </c>
      <c r="Q2886" t="s">
        <v>47</v>
      </c>
    </row>
    <row r="2887" spans="1:17" x14ac:dyDescent="0.3">
      <c r="A2887" t="s">
        <v>3986</v>
      </c>
      <c r="B2887" s="6">
        <v>45246</v>
      </c>
      <c r="C2887" s="6" t="str">
        <f t="shared" si="135"/>
        <v>Nov</v>
      </c>
      <c r="D2887" t="s">
        <v>626</v>
      </c>
      <c r="E2887" t="s">
        <v>26</v>
      </c>
      <c r="F2887" t="s">
        <v>642</v>
      </c>
      <c r="G2887">
        <v>2</v>
      </c>
      <c r="H2887" s="7">
        <v>257</v>
      </c>
      <c r="I2887" t="s">
        <v>32</v>
      </c>
      <c r="J2887" t="s">
        <v>19</v>
      </c>
      <c r="K2887">
        <v>5</v>
      </c>
      <c r="L2887" s="7">
        <f t="shared" si="136"/>
        <v>514</v>
      </c>
      <c r="M2887" s="7"/>
      <c r="O2887">
        <f t="shared" si="137"/>
        <v>2</v>
      </c>
      <c r="Q2887" t="s">
        <v>33</v>
      </c>
    </row>
    <row r="2888" spans="1:17" x14ac:dyDescent="0.3">
      <c r="A2888" t="s">
        <v>3987</v>
      </c>
      <c r="B2888" s="6">
        <v>45016</v>
      </c>
      <c r="C2888" s="6" t="str">
        <f t="shared" si="135"/>
        <v>Mar</v>
      </c>
      <c r="D2888" t="s">
        <v>3773</v>
      </c>
      <c r="E2888" t="s">
        <v>31</v>
      </c>
      <c r="F2888" t="s">
        <v>179</v>
      </c>
      <c r="G2888">
        <v>8</v>
      </c>
      <c r="H2888" s="7">
        <v>415.7</v>
      </c>
      <c r="I2888" t="s">
        <v>64</v>
      </c>
      <c r="J2888" t="s">
        <v>72</v>
      </c>
      <c r="K2888">
        <v>20</v>
      </c>
      <c r="L2888" s="7">
        <f t="shared" si="136"/>
        <v>3325.6</v>
      </c>
      <c r="M2888" s="7"/>
      <c r="O2888">
        <f t="shared" si="137"/>
        <v>4</v>
      </c>
      <c r="Q2888" t="s">
        <v>65</v>
      </c>
    </row>
    <row r="2889" spans="1:17" x14ac:dyDescent="0.3">
      <c r="A2889" t="s">
        <v>3988</v>
      </c>
      <c r="B2889" s="6">
        <v>45237</v>
      </c>
      <c r="C2889" s="6" t="str">
        <f t="shared" si="135"/>
        <v>Nov</v>
      </c>
      <c r="D2889" t="s">
        <v>2581</v>
      </c>
      <c r="E2889" t="s">
        <v>62</v>
      </c>
      <c r="F2889" t="s">
        <v>687</v>
      </c>
      <c r="G2889">
        <v>1</v>
      </c>
      <c r="H2889" s="7">
        <v>178.15</v>
      </c>
      <c r="I2889" t="s">
        <v>32</v>
      </c>
      <c r="J2889" t="s">
        <v>42</v>
      </c>
      <c r="K2889">
        <v>20</v>
      </c>
      <c r="L2889" s="7">
        <f t="shared" si="136"/>
        <v>178.15</v>
      </c>
      <c r="M2889" s="7"/>
      <c r="O2889">
        <f t="shared" si="137"/>
        <v>2</v>
      </c>
      <c r="Q2889" t="s">
        <v>33</v>
      </c>
    </row>
    <row r="2890" spans="1:17" x14ac:dyDescent="0.3">
      <c r="A2890" t="s">
        <v>3989</v>
      </c>
      <c r="B2890" s="6">
        <v>45273</v>
      </c>
      <c r="C2890" s="6" t="str">
        <f t="shared" si="135"/>
        <v>Dec</v>
      </c>
      <c r="D2890" t="s">
        <v>1022</v>
      </c>
      <c r="E2890" t="s">
        <v>19</v>
      </c>
      <c r="F2890" t="s">
        <v>170</v>
      </c>
      <c r="G2890">
        <v>8</v>
      </c>
      <c r="H2890" s="7">
        <v>215.29</v>
      </c>
      <c r="I2890" t="s">
        <v>103</v>
      </c>
      <c r="J2890" t="s">
        <v>28</v>
      </c>
      <c r="K2890">
        <v>10</v>
      </c>
      <c r="L2890" s="7">
        <f t="shared" si="136"/>
        <v>1722.32</v>
      </c>
      <c r="M2890" s="7"/>
      <c r="O2890">
        <f t="shared" si="137"/>
        <v>2</v>
      </c>
      <c r="Q2890" t="s">
        <v>104</v>
      </c>
    </row>
    <row r="2891" spans="1:17" x14ac:dyDescent="0.3">
      <c r="A2891" t="s">
        <v>3990</v>
      </c>
      <c r="B2891" s="6">
        <v>45154</v>
      </c>
      <c r="C2891" s="6" t="str">
        <f t="shared" si="135"/>
        <v>Aug</v>
      </c>
      <c r="D2891" t="s">
        <v>1175</v>
      </c>
      <c r="E2891" t="s">
        <v>50</v>
      </c>
      <c r="F2891" t="s">
        <v>193</v>
      </c>
      <c r="G2891">
        <v>7</v>
      </c>
      <c r="H2891" s="7">
        <v>68.45</v>
      </c>
      <c r="I2891" t="s">
        <v>21</v>
      </c>
      <c r="J2891" t="s">
        <v>19</v>
      </c>
      <c r="K2891">
        <v>10</v>
      </c>
      <c r="L2891" s="7">
        <f t="shared" si="136"/>
        <v>479.15000000000003</v>
      </c>
      <c r="M2891" s="7"/>
      <c r="O2891">
        <f t="shared" si="137"/>
        <v>2</v>
      </c>
      <c r="Q2891" t="s">
        <v>23</v>
      </c>
    </row>
    <row r="2892" spans="1:17" x14ac:dyDescent="0.3">
      <c r="A2892" t="s">
        <v>3991</v>
      </c>
      <c r="B2892" s="6">
        <v>45037</v>
      </c>
      <c r="C2892" s="6" t="str">
        <f t="shared" si="135"/>
        <v>Apr</v>
      </c>
      <c r="D2892" t="s">
        <v>2996</v>
      </c>
      <c r="E2892" t="s">
        <v>31</v>
      </c>
      <c r="F2892" t="s">
        <v>54</v>
      </c>
      <c r="G2892">
        <v>7</v>
      </c>
      <c r="H2892" s="7">
        <v>65.849999999999994</v>
      </c>
      <c r="I2892" t="s">
        <v>64</v>
      </c>
      <c r="J2892" t="s">
        <v>28</v>
      </c>
      <c r="K2892">
        <v>15</v>
      </c>
      <c r="L2892" s="7">
        <f t="shared" si="136"/>
        <v>460.94999999999993</v>
      </c>
      <c r="M2892" s="7"/>
      <c r="O2892">
        <f t="shared" si="137"/>
        <v>2</v>
      </c>
      <c r="Q2892" t="s">
        <v>65</v>
      </c>
    </row>
    <row r="2893" spans="1:17" x14ac:dyDescent="0.3">
      <c r="A2893" t="s">
        <v>3992</v>
      </c>
      <c r="B2893" s="6">
        <v>45124</v>
      </c>
      <c r="C2893" s="6" t="str">
        <f t="shared" si="135"/>
        <v>Jul</v>
      </c>
      <c r="D2893" t="s">
        <v>262</v>
      </c>
      <c r="E2893" t="s">
        <v>62</v>
      </c>
      <c r="F2893" t="s">
        <v>182</v>
      </c>
      <c r="G2893">
        <v>3</v>
      </c>
      <c r="H2893" s="7">
        <v>311.69</v>
      </c>
      <c r="I2893" t="s">
        <v>19</v>
      </c>
      <c r="J2893" t="s">
        <v>22</v>
      </c>
      <c r="K2893">
        <v>5</v>
      </c>
      <c r="L2893" s="7">
        <f t="shared" si="136"/>
        <v>935.06999999999994</v>
      </c>
      <c r="M2893" s="7"/>
      <c r="O2893">
        <f t="shared" si="137"/>
        <v>2</v>
      </c>
      <c r="Q2893" t="s">
        <v>19</v>
      </c>
    </row>
    <row r="2894" spans="1:17" x14ac:dyDescent="0.3">
      <c r="A2894" t="s">
        <v>3993</v>
      </c>
      <c r="B2894" s="6">
        <v>45084</v>
      </c>
      <c r="C2894" s="6" t="str">
        <f t="shared" si="135"/>
        <v>Jun</v>
      </c>
      <c r="D2894" t="s">
        <v>1535</v>
      </c>
      <c r="E2894" t="s">
        <v>50</v>
      </c>
      <c r="F2894" t="s">
        <v>474</v>
      </c>
      <c r="G2894">
        <v>1</v>
      </c>
      <c r="H2894" s="7">
        <v>339.39</v>
      </c>
      <c r="I2894" t="s">
        <v>32</v>
      </c>
      <c r="J2894" t="s">
        <v>22</v>
      </c>
      <c r="K2894">
        <v>10</v>
      </c>
      <c r="L2894" s="7">
        <f t="shared" si="136"/>
        <v>339.39</v>
      </c>
      <c r="M2894" s="7"/>
      <c r="O2894">
        <f t="shared" si="137"/>
        <v>2</v>
      </c>
      <c r="Q2894" t="s">
        <v>33</v>
      </c>
    </row>
    <row r="2895" spans="1:17" x14ac:dyDescent="0.3">
      <c r="A2895" t="s">
        <v>3994</v>
      </c>
      <c r="B2895" s="6">
        <v>45035</v>
      </c>
      <c r="C2895" s="6" t="str">
        <f t="shared" si="135"/>
        <v>Apr</v>
      </c>
      <c r="D2895" t="s">
        <v>3474</v>
      </c>
      <c r="E2895" t="s">
        <v>19</v>
      </c>
      <c r="F2895" t="s">
        <v>1251</v>
      </c>
      <c r="G2895">
        <v>4</v>
      </c>
      <c r="H2895" s="7">
        <v>389.78</v>
      </c>
      <c r="I2895" t="s">
        <v>46</v>
      </c>
      <c r="J2895" t="s">
        <v>87</v>
      </c>
      <c r="K2895">
        <v>15</v>
      </c>
      <c r="L2895" s="7">
        <f t="shared" si="136"/>
        <v>1559.12</v>
      </c>
      <c r="M2895" s="7"/>
      <c r="O2895">
        <f t="shared" si="137"/>
        <v>2</v>
      </c>
      <c r="Q2895" t="s">
        <v>47</v>
      </c>
    </row>
    <row r="2896" spans="1:17" x14ac:dyDescent="0.3">
      <c r="A2896" t="s">
        <v>3995</v>
      </c>
      <c r="B2896" s="6">
        <v>44964</v>
      </c>
      <c r="C2896" s="6" t="str">
        <f t="shared" si="135"/>
        <v>Feb</v>
      </c>
      <c r="D2896" t="s">
        <v>915</v>
      </c>
      <c r="E2896" t="s">
        <v>50</v>
      </c>
      <c r="F2896" t="s">
        <v>504</v>
      </c>
      <c r="G2896">
        <v>9</v>
      </c>
      <c r="H2896" s="7">
        <v>280.56</v>
      </c>
      <c r="I2896" t="s">
        <v>19</v>
      </c>
      <c r="J2896" t="s">
        <v>72</v>
      </c>
      <c r="K2896">
        <v>20</v>
      </c>
      <c r="L2896" s="7">
        <f t="shared" si="136"/>
        <v>2525.04</v>
      </c>
      <c r="M2896" s="7"/>
      <c r="O2896">
        <f t="shared" si="137"/>
        <v>3</v>
      </c>
      <c r="Q2896" t="s">
        <v>19</v>
      </c>
    </row>
    <row r="2897" spans="1:17" x14ac:dyDescent="0.3">
      <c r="A2897" t="s">
        <v>3996</v>
      </c>
      <c r="B2897" s="6">
        <v>45114</v>
      </c>
      <c r="C2897" s="6" t="str">
        <f t="shared" si="135"/>
        <v>Jul</v>
      </c>
      <c r="D2897" t="s">
        <v>2122</v>
      </c>
      <c r="E2897" t="s">
        <v>40</v>
      </c>
      <c r="F2897" t="s">
        <v>325</v>
      </c>
      <c r="G2897">
        <v>5</v>
      </c>
      <c r="H2897" s="7">
        <v>324.64999999999998</v>
      </c>
      <c r="I2897" t="s">
        <v>103</v>
      </c>
      <c r="J2897" t="s">
        <v>87</v>
      </c>
      <c r="K2897">
        <v>20</v>
      </c>
      <c r="L2897" s="7">
        <f t="shared" si="136"/>
        <v>1623.25</v>
      </c>
      <c r="M2897" s="7"/>
      <c r="O2897">
        <f t="shared" si="137"/>
        <v>2</v>
      </c>
      <c r="Q2897" t="s">
        <v>104</v>
      </c>
    </row>
    <row r="2898" spans="1:17" x14ac:dyDescent="0.3">
      <c r="A2898" t="s">
        <v>3997</v>
      </c>
      <c r="B2898" s="6">
        <v>44964</v>
      </c>
      <c r="C2898" s="6" t="str">
        <f t="shared" si="135"/>
        <v>Feb</v>
      </c>
      <c r="D2898" t="s">
        <v>871</v>
      </c>
      <c r="E2898" t="s">
        <v>62</v>
      </c>
      <c r="F2898" t="s">
        <v>193</v>
      </c>
      <c r="G2898">
        <v>1</v>
      </c>
      <c r="H2898" s="7">
        <v>11.69</v>
      </c>
      <c r="I2898" t="s">
        <v>21</v>
      </c>
      <c r="J2898" t="s">
        <v>22</v>
      </c>
      <c r="K2898">
        <v>0</v>
      </c>
      <c r="L2898" s="7">
        <f t="shared" si="136"/>
        <v>11.69</v>
      </c>
      <c r="M2898" s="7"/>
      <c r="O2898">
        <f t="shared" si="137"/>
        <v>2</v>
      </c>
      <c r="Q2898" t="s">
        <v>23</v>
      </c>
    </row>
    <row r="2899" spans="1:17" x14ac:dyDescent="0.3">
      <c r="A2899" t="s">
        <v>3998</v>
      </c>
      <c r="B2899" s="6">
        <v>45200</v>
      </c>
      <c r="C2899" s="6" t="str">
        <f t="shared" si="135"/>
        <v>Oct</v>
      </c>
      <c r="D2899" t="s">
        <v>1947</v>
      </c>
      <c r="E2899" t="s">
        <v>31</v>
      </c>
      <c r="F2899" t="s">
        <v>68</v>
      </c>
      <c r="G2899">
        <v>5</v>
      </c>
      <c r="H2899" s="7">
        <v>85.27</v>
      </c>
      <c r="I2899" t="s">
        <v>21</v>
      </c>
      <c r="J2899" t="s">
        <v>42</v>
      </c>
      <c r="K2899">
        <v>5</v>
      </c>
      <c r="L2899" s="7">
        <f t="shared" si="136"/>
        <v>426.34999999999997</v>
      </c>
      <c r="M2899" s="7"/>
      <c r="O2899">
        <f t="shared" si="137"/>
        <v>2</v>
      </c>
      <c r="Q2899" t="s">
        <v>23</v>
      </c>
    </row>
    <row r="2900" spans="1:17" x14ac:dyDescent="0.3">
      <c r="A2900" t="s">
        <v>3999</v>
      </c>
      <c r="B2900" s="6">
        <v>45002</v>
      </c>
      <c r="C2900" s="6" t="str">
        <f t="shared" si="135"/>
        <v>Mar</v>
      </c>
      <c r="D2900" t="s">
        <v>1020</v>
      </c>
      <c r="E2900" t="s">
        <v>40</v>
      </c>
      <c r="F2900" t="s">
        <v>176</v>
      </c>
      <c r="G2900">
        <v>8</v>
      </c>
      <c r="H2900" s="7">
        <v>492.53</v>
      </c>
      <c r="I2900" t="s">
        <v>21</v>
      </c>
      <c r="J2900" t="s">
        <v>87</v>
      </c>
      <c r="K2900">
        <v>0</v>
      </c>
      <c r="L2900" s="7">
        <f t="shared" si="136"/>
        <v>3940.24</v>
      </c>
      <c r="M2900" s="7"/>
      <c r="O2900">
        <f t="shared" si="137"/>
        <v>5</v>
      </c>
      <c r="Q2900" t="s">
        <v>23</v>
      </c>
    </row>
    <row r="2901" spans="1:17" x14ac:dyDescent="0.3">
      <c r="A2901" t="s">
        <v>4000</v>
      </c>
      <c r="B2901" s="6">
        <v>45069</v>
      </c>
      <c r="C2901" s="6" t="str">
        <f t="shared" si="135"/>
        <v>May</v>
      </c>
      <c r="D2901" t="s">
        <v>1485</v>
      </c>
      <c r="E2901" t="s">
        <v>40</v>
      </c>
      <c r="F2901" t="s">
        <v>134</v>
      </c>
      <c r="G2901">
        <v>8</v>
      </c>
      <c r="H2901" s="7">
        <v>42.62</v>
      </c>
      <c r="I2901" t="s">
        <v>21</v>
      </c>
      <c r="J2901" t="s">
        <v>42</v>
      </c>
      <c r="K2901">
        <v>10</v>
      </c>
      <c r="L2901" s="7">
        <f t="shared" si="136"/>
        <v>340.96</v>
      </c>
      <c r="M2901" s="7"/>
      <c r="O2901">
        <f t="shared" si="137"/>
        <v>2</v>
      </c>
      <c r="Q2901" t="s">
        <v>23</v>
      </c>
    </row>
    <row r="2902" spans="1:17" x14ac:dyDescent="0.3">
      <c r="A2902" t="s">
        <v>4001</v>
      </c>
      <c r="B2902" s="6">
        <v>45281</v>
      </c>
      <c r="C2902" s="6" t="str">
        <f t="shared" si="135"/>
        <v>Dec</v>
      </c>
      <c r="D2902" t="s">
        <v>766</v>
      </c>
      <c r="E2902" t="s">
        <v>19</v>
      </c>
      <c r="F2902" t="s">
        <v>1182</v>
      </c>
      <c r="G2902">
        <v>5</v>
      </c>
      <c r="H2902" s="7">
        <v>341</v>
      </c>
      <c r="I2902" t="s">
        <v>46</v>
      </c>
      <c r="J2902" t="s">
        <v>87</v>
      </c>
      <c r="K2902">
        <v>10</v>
      </c>
      <c r="L2902" s="7">
        <f t="shared" si="136"/>
        <v>1705</v>
      </c>
      <c r="M2902" s="7"/>
      <c r="O2902">
        <f t="shared" si="137"/>
        <v>2</v>
      </c>
      <c r="Q2902" t="s">
        <v>47</v>
      </c>
    </row>
    <row r="2903" spans="1:17" x14ac:dyDescent="0.3">
      <c r="A2903" t="s">
        <v>4002</v>
      </c>
      <c r="B2903" s="6">
        <v>45062</v>
      </c>
      <c r="C2903" s="6" t="str">
        <f t="shared" si="135"/>
        <v>May</v>
      </c>
      <c r="D2903" t="s">
        <v>1781</v>
      </c>
      <c r="E2903" t="s">
        <v>26</v>
      </c>
      <c r="F2903" t="s">
        <v>693</v>
      </c>
      <c r="G2903">
        <v>9</v>
      </c>
      <c r="H2903" s="7">
        <v>92.16</v>
      </c>
      <c r="I2903" t="s">
        <v>46</v>
      </c>
      <c r="J2903" t="s">
        <v>72</v>
      </c>
      <c r="K2903">
        <v>15</v>
      </c>
      <c r="L2903" s="7">
        <f t="shared" si="136"/>
        <v>829.43999999999994</v>
      </c>
      <c r="M2903" s="7"/>
      <c r="O2903">
        <f t="shared" si="137"/>
        <v>2</v>
      </c>
      <c r="Q2903" t="s">
        <v>47</v>
      </c>
    </row>
    <row r="2904" spans="1:17" x14ac:dyDescent="0.3">
      <c r="A2904" t="s">
        <v>4003</v>
      </c>
      <c r="B2904" s="6">
        <v>45044</v>
      </c>
      <c r="C2904" s="6" t="str">
        <f t="shared" si="135"/>
        <v>Apr</v>
      </c>
      <c r="D2904" t="s">
        <v>1097</v>
      </c>
      <c r="E2904" t="s">
        <v>50</v>
      </c>
      <c r="F2904" t="s">
        <v>1180</v>
      </c>
      <c r="G2904">
        <v>5</v>
      </c>
      <c r="H2904" s="7">
        <v>359.78</v>
      </c>
      <c r="I2904" t="s">
        <v>19</v>
      </c>
      <c r="J2904" t="s">
        <v>22</v>
      </c>
      <c r="K2904">
        <v>20</v>
      </c>
      <c r="L2904" s="7">
        <f t="shared" si="136"/>
        <v>1798.8999999999999</v>
      </c>
      <c r="M2904" s="7"/>
      <c r="O2904">
        <f t="shared" si="137"/>
        <v>2</v>
      </c>
      <c r="Q2904" t="s">
        <v>19</v>
      </c>
    </row>
    <row r="2905" spans="1:17" x14ac:dyDescent="0.3">
      <c r="A2905" t="s">
        <v>4004</v>
      </c>
      <c r="B2905" s="6">
        <v>44989</v>
      </c>
      <c r="C2905" s="6" t="str">
        <f t="shared" si="135"/>
        <v>Mar</v>
      </c>
      <c r="D2905" t="s">
        <v>210</v>
      </c>
      <c r="E2905" t="s">
        <v>19</v>
      </c>
      <c r="F2905" t="s">
        <v>1038</v>
      </c>
      <c r="G2905">
        <v>4</v>
      </c>
      <c r="H2905" s="7">
        <v>354.47</v>
      </c>
      <c r="I2905" t="s">
        <v>32</v>
      </c>
      <c r="J2905" t="s">
        <v>87</v>
      </c>
      <c r="K2905">
        <v>5</v>
      </c>
      <c r="L2905" s="7">
        <f t="shared" si="136"/>
        <v>1417.88</v>
      </c>
      <c r="M2905" s="7"/>
      <c r="O2905">
        <f t="shared" si="137"/>
        <v>2</v>
      </c>
      <c r="Q2905" t="s">
        <v>33</v>
      </c>
    </row>
    <row r="2906" spans="1:17" x14ac:dyDescent="0.3">
      <c r="A2906" t="s">
        <v>4005</v>
      </c>
      <c r="B2906" s="6">
        <v>45241</v>
      </c>
      <c r="C2906" s="6" t="str">
        <f t="shared" si="135"/>
        <v>Nov</v>
      </c>
      <c r="D2906" t="s">
        <v>689</v>
      </c>
      <c r="E2906" t="s">
        <v>36</v>
      </c>
      <c r="F2906" t="s">
        <v>316</v>
      </c>
      <c r="G2906">
        <v>3</v>
      </c>
      <c r="H2906" s="7">
        <v>120.93</v>
      </c>
      <c r="I2906" t="s">
        <v>19</v>
      </c>
      <c r="J2906" t="s">
        <v>42</v>
      </c>
      <c r="K2906">
        <v>20</v>
      </c>
      <c r="L2906" s="7">
        <f t="shared" si="136"/>
        <v>362.79</v>
      </c>
      <c r="M2906" s="7"/>
      <c r="O2906">
        <f t="shared" si="137"/>
        <v>2</v>
      </c>
      <c r="Q2906" t="s">
        <v>19</v>
      </c>
    </row>
    <row r="2907" spans="1:17" x14ac:dyDescent="0.3">
      <c r="A2907" t="s">
        <v>4006</v>
      </c>
      <c r="B2907" s="6">
        <v>44995</v>
      </c>
      <c r="C2907" s="6" t="str">
        <f t="shared" si="135"/>
        <v>Mar</v>
      </c>
      <c r="D2907" t="s">
        <v>1131</v>
      </c>
      <c r="E2907" t="s">
        <v>19</v>
      </c>
      <c r="F2907" t="s">
        <v>165</v>
      </c>
      <c r="G2907">
        <v>2</v>
      </c>
      <c r="H2907" s="7">
        <v>138.47</v>
      </c>
      <c r="I2907" t="s">
        <v>19</v>
      </c>
      <c r="J2907" t="s">
        <v>28</v>
      </c>
      <c r="K2907">
        <v>10</v>
      </c>
      <c r="L2907" s="7">
        <f t="shared" si="136"/>
        <v>276.94</v>
      </c>
      <c r="M2907" s="7"/>
      <c r="O2907">
        <f t="shared" si="137"/>
        <v>2</v>
      </c>
      <c r="Q2907" t="s">
        <v>19</v>
      </c>
    </row>
    <row r="2908" spans="1:17" x14ac:dyDescent="0.3">
      <c r="A2908" t="s">
        <v>4007</v>
      </c>
      <c r="B2908" s="6">
        <v>44943</v>
      </c>
      <c r="C2908" s="6" t="str">
        <f t="shared" si="135"/>
        <v>Jan</v>
      </c>
      <c r="D2908" t="s">
        <v>1035</v>
      </c>
      <c r="E2908" t="s">
        <v>36</v>
      </c>
      <c r="F2908" t="s">
        <v>190</v>
      </c>
      <c r="G2908">
        <v>8</v>
      </c>
      <c r="H2908" s="7">
        <v>329.11</v>
      </c>
      <c r="I2908" t="s">
        <v>64</v>
      </c>
      <c r="J2908" t="s">
        <v>72</v>
      </c>
      <c r="K2908">
        <v>0</v>
      </c>
      <c r="L2908" s="7">
        <f t="shared" si="136"/>
        <v>2632.88</v>
      </c>
      <c r="M2908" s="7"/>
      <c r="O2908">
        <f t="shared" si="137"/>
        <v>3</v>
      </c>
      <c r="Q2908" t="s">
        <v>65</v>
      </c>
    </row>
    <row r="2909" spans="1:17" x14ac:dyDescent="0.3">
      <c r="A2909" t="s">
        <v>4008</v>
      </c>
      <c r="B2909" s="6">
        <v>45246</v>
      </c>
      <c r="C2909" s="6" t="str">
        <f t="shared" si="135"/>
        <v>Nov</v>
      </c>
      <c r="D2909" t="s">
        <v>1099</v>
      </c>
      <c r="E2909" t="s">
        <v>31</v>
      </c>
      <c r="F2909" t="s">
        <v>27</v>
      </c>
      <c r="G2909">
        <v>7</v>
      </c>
      <c r="H2909" s="7">
        <v>198.09</v>
      </c>
      <c r="I2909" t="s">
        <v>21</v>
      </c>
      <c r="J2909" t="s">
        <v>28</v>
      </c>
      <c r="K2909">
        <v>0</v>
      </c>
      <c r="L2909" s="7">
        <f t="shared" si="136"/>
        <v>1386.63</v>
      </c>
      <c r="M2909" s="7"/>
      <c r="O2909">
        <f t="shared" si="137"/>
        <v>2</v>
      </c>
      <c r="Q2909" t="s">
        <v>23</v>
      </c>
    </row>
    <row r="2910" spans="1:17" x14ac:dyDescent="0.3">
      <c r="A2910" t="s">
        <v>4009</v>
      </c>
      <c r="B2910" s="6">
        <v>45027</v>
      </c>
      <c r="C2910" s="6" t="str">
        <f t="shared" si="135"/>
        <v>Apr</v>
      </c>
      <c r="D2910" t="s">
        <v>3217</v>
      </c>
      <c r="E2910" t="s">
        <v>19</v>
      </c>
      <c r="F2910" t="s">
        <v>145</v>
      </c>
      <c r="G2910">
        <v>9</v>
      </c>
      <c r="H2910" s="7">
        <v>101.3</v>
      </c>
      <c r="I2910" t="s">
        <v>32</v>
      </c>
      <c r="J2910" t="s">
        <v>72</v>
      </c>
      <c r="K2910">
        <v>15</v>
      </c>
      <c r="L2910" s="7">
        <f t="shared" si="136"/>
        <v>911.69999999999993</v>
      </c>
      <c r="M2910" s="7"/>
      <c r="O2910">
        <f t="shared" si="137"/>
        <v>2</v>
      </c>
      <c r="Q2910" t="s">
        <v>33</v>
      </c>
    </row>
    <row r="2911" spans="1:17" x14ac:dyDescent="0.3">
      <c r="A2911" t="s">
        <v>4010</v>
      </c>
      <c r="B2911" s="6">
        <v>45286</v>
      </c>
      <c r="C2911" s="6" t="str">
        <f t="shared" si="135"/>
        <v>Dec</v>
      </c>
      <c r="D2911" t="s">
        <v>4011</v>
      </c>
      <c r="E2911" t="s">
        <v>26</v>
      </c>
      <c r="F2911" t="s">
        <v>1618</v>
      </c>
      <c r="G2911">
        <v>2</v>
      </c>
      <c r="H2911" s="7">
        <v>367.18</v>
      </c>
      <c r="I2911" t="s">
        <v>19</v>
      </c>
      <c r="J2911" t="s">
        <v>22</v>
      </c>
      <c r="K2911">
        <v>5</v>
      </c>
      <c r="L2911" s="7">
        <f t="shared" si="136"/>
        <v>734.36</v>
      </c>
      <c r="M2911" s="7"/>
      <c r="O2911">
        <f t="shared" si="137"/>
        <v>2</v>
      </c>
      <c r="Q2911" t="s">
        <v>19</v>
      </c>
    </row>
    <row r="2912" spans="1:17" x14ac:dyDescent="0.3">
      <c r="A2912" t="s">
        <v>4012</v>
      </c>
      <c r="B2912" s="6">
        <v>44995</v>
      </c>
      <c r="C2912" s="6" t="str">
        <f t="shared" si="135"/>
        <v>Mar</v>
      </c>
      <c r="D2912" t="s">
        <v>3596</v>
      </c>
      <c r="E2912" t="s">
        <v>31</v>
      </c>
      <c r="F2912" t="s">
        <v>137</v>
      </c>
      <c r="G2912">
        <v>4</v>
      </c>
      <c r="H2912" s="7">
        <v>81.3</v>
      </c>
      <c r="I2912" t="s">
        <v>21</v>
      </c>
      <c r="J2912" t="s">
        <v>42</v>
      </c>
      <c r="K2912">
        <v>10</v>
      </c>
      <c r="L2912" s="7">
        <f t="shared" si="136"/>
        <v>325.2</v>
      </c>
      <c r="M2912" s="7"/>
      <c r="O2912">
        <f t="shared" si="137"/>
        <v>2</v>
      </c>
      <c r="Q2912" t="s">
        <v>23</v>
      </c>
    </row>
    <row r="2913" spans="1:17" x14ac:dyDescent="0.3">
      <c r="A2913" t="s">
        <v>4013</v>
      </c>
      <c r="B2913" s="6">
        <v>45104</v>
      </c>
      <c r="C2913" s="6" t="str">
        <f t="shared" si="135"/>
        <v>Jun</v>
      </c>
      <c r="D2913" t="s">
        <v>1307</v>
      </c>
      <c r="E2913" t="s">
        <v>19</v>
      </c>
      <c r="F2913" t="s">
        <v>350</v>
      </c>
      <c r="G2913">
        <v>6</v>
      </c>
      <c r="H2913" s="7">
        <v>428.54</v>
      </c>
      <c r="I2913" t="s">
        <v>19</v>
      </c>
      <c r="J2913" t="s">
        <v>87</v>
      </c>
      <c r="K2913">
        <v>5</v>
      </c>
      <c r="L2913" s="7">
        <f t="shared" si="136"/>
        <v>2571.2400000000002</v>
      </c>
      <c r="M2913" s="7"/>
      <c r="O2913">
        <f t="shared" si="137"/>
        <v>3</v>
      </c>
      <c r="Q2913" t="s">
        <v>19</v>
      </c>
    </row>
    <row r="2914" spans="1:17" x14ac:dyDescent="0.3">
      <c r="A2914" t="s">
        <v>4014</v>
      </c>
      <c r="B2914" s="6">
        <v>45254</v>
      </c>
      <c r="C2914" s="6" t="str">
        <f t="shared" si="135"/>
        <v>Nov</v>
      </c>
      <c r="D2914" t="s">
        <v>1437</v>
      </c>
      <c r="E2914" t="s">
        <v>31</v>
      </c>
      <c r="F2914" t="s">
        <v>131</v>
      </c>
      <c r="G2914">
        <v>3</v>
      </c>
      <c r="H2914" s="7">
        <v>259.76</v>
      </c>
      <c r="I2914" t="s">
        <v>46</v>
      </c>
      <c r="J2914" t="s">
        <v>87</v>
      </c>
      <c r="K2914">
        <v>15</v>
      </c>
      <c r="L2914" s="7">
        <f t="shared" si="136"/>
        <v>779.28</v>
      </c>
      <c r="M2914" s="7"/>
      <c r="O2914">
        <f t="shared" si="137"/>
        <v>2</v>
      </c>
      <c r="Q2914" t="s">
        <v>47</v>
      </c>
    </row>
    <row r="2915" spans="1:17" x14ac:dyDescent="0.3">
      <c r="A2915" t="s">
        <v>4015</v>
      </c>
      <c r="B2915" s="6">
        <v>45097</v>
      </c>
      <c r="C2915" s="6" t="str">
        <f t="shared" si="135"/>
        <v>Jun</v>
      </c>
      <c r="D2915" t="s">
        <v>280</v>
      </c>
      <c r="E2915" t="s">
        <v>62</v>
      </c>
      <c r="F2915" t="s">
        <v>434</v>
      </c>
      <c r="G2915">
        <v>8</v>
      </c>
      <c r="H2915" s="7">
        <v>57.32</v>
      </c>
      <c r="I2915" t="s">
        <v>103</v>
      </c>
      <c r="J2915" t="s">
        <v>19</v>
      </c>
      <c r="K2915">
        <v>10</v>
      </c>
      <c r="L2915" s="7">
        <f t="shared" si="136"/>
        <v>458.56</v>
      </c>
      <c r="M2915" s="7"/>
      <c r="O2915">
        <f t="shared" si="137"/>
        <v>2</v>
      </c>
      <c r="Q2915" t="s">
        <v>104</v>
      </c>
    </row>
    <row r="2916" spans="1:17" x14ac:dyDescent="0.3">
      <c r="A2916" t="s">
        <v>4016</v>
      </c>
      <c r="B2916" s="6">
        <v>45043</v>
      </c>
      <c r="C2916" s="6" t="str">
        <f t="shared" si="135"/>
        <v>Apr</v>
      </c>
      <c r="D2916" t="s">
        <v>159</v>
      </c>
      <c r="E2916" t="s">
        <v>62</v>
      </c>
      <c r="F2916" t="s">
        <v>523</v>
      </c>
      <c r="G2916">
        <v>3</v>
      </c>
      <c r="H2916" s="7">
        <v>348.57</v>
      </c>
      <c r="I2916" t="s">
        <v>19</v>
      </c>
      <c r="J2916" t="s">
        <v>42</v>
      </c>
      <c r="K2916">
        <v>10</v>
      </c>
      <c r="L2916" s="7">
        <f t="shared" si="136"/>
        <v>1045.71</v>
      </c>
      <c r="M2916" s="7"/>
      <c r="O2916">
        <f t="shared" si="137"/>
        <v>2</v>
      </c>
      <c r="Q2916" t="s">
        <v>19</v>
      </c>
    </row>
    <row r="2917" spans="1:17" x14ac:dyDescent="0.3">
      <c r="A2917" t="s">
        <v>4017</v>
      </c>
      <c r="B2917" s="6">
        <v>45162</v>
      </c>
      <c r="C2917" s="6" t="str">
        <f t="shared" si="135"/>
        <v>Aug</v>
      </c>
      <c r="D2917" t="s">
        <v>411</v>
      </c>
      <c r="E2917" t="s">
        <v>62</v>
      </c>
      <c r="F2917" t="s">
        <v>514</v>
      </c>
      <c r="G2917">
        <v>2</v>
      </c>
      <c r="H2917" s="7">
        <v>261.99</v>
      </c>
      <c r="I2917" t="s">
        <v>46</v>
      </c>
      <c r="J2917" t="s">
        <v>72</v>
      </c>
      <c r="K2917">
        <v>0</v>
      </c>
      <c r="L2917" s="7">
        <f t="shared" si="136"/>
        <v>523.98</v>
      </c>
      <c r="M2917" s="7"/>
      <c r="O2917">
        <f t="shared" si="137"/>
        <v>2</v>
      </c>
      <c r="Q2917" t="s">
        <v>47</v>
      </c>
    </row>
    <row r="2918" spans="1:17" x14ac:dyDescent="0.3">
      <c r="A2918" t="s">
        <v>4018</v>
      </c>
      <c r="B2918" s="6">
        <v>45083</v>
      </c>
      <c r="C2918" s="6" t="str">
        <f t="shared" si="135"/>
        <v>Jun</v>
      </c>
      <c r="D2918" t="s">
        <v>2915</v>
      </c>
      <c r="E2918" t="s">
        <v>19</v>
      </c>
      <c r="F2918" t="s">
        <v>102</v>
      </c>
      <c r="G2918">
        <v>3</v>
      </c>
      <c r="H2918" s="7">
        <v>152.54</v>
      </c>
      <c r="I2918" t="s">
        <v>64</v>
      </c>
      <c r="J2918" t="s">
        <v>28</v>
      </c>
      <c r="K2918">
        <v>0</v>
      </c>
      <c r="L2918" s="7">
        <f t="shared" si="136"/>
        <v>457.62</v>
      </c>
      <c r="M2918" s="7"/>
      <c r="O2918">
        <f t="shared" si="137"/>
        <v>2</v>
      </c>
      <c r="Q2918" t="s">
        <v>65</v>
      </c>
    </row>
    <row r="2919" spans="1:17" x14ac:dyDescent="0.3">
      <c r="A2919" t="s">
        <v>4019</v>
      </c>
      <c r="B2919" s="6">
        <v>45021</v>
      </c>
      <c r="C2919" s="6" t="str">
        <f t="shared" si="135"/>
        <v>Apr</v>
      </c>
      <c r="D2919" t="s">
        <v>999</v>
      </c>
      <c r="E2919" t="s">
        <v>36</v>
      </c>
      <c r="F2919" t="s">
        <v>344</v>
      </c>
      <c r="G2919">
        <v>6</v>
      </c>
      <c r="H2919" s="7">
        <v>214.16</v>
      </c>
      <c r="I2919" t="s">
        <v>32</v>
      </c>
      <c r="J2919" t="s">
        <v>28</v>
      </c>
      <c r="K2919">
        <v>0</v>
      </c>
      <c r="L2919" s="7">
        <f t="shared" si="136"/>
        <v>1284.96</v>
      </c>
      <c r="M2919" s="7"/>
      <c r="O2919">
        <f t="shared" si="137"/>
        <v>2</v>
      </c>
      <c r="Q2919" t="s">
        <v>33</v>
      </c>
    </row>
    <row r="2920" spans="1:17" x14ac:dyDescent="0.3">
      <c r="A2920" t="s">
        <v>4020</v>
      </c>
      <c r="B2920" s="6">
        <v>45011</v>
      </c>
      <c r="C2920" s="6" t="str">
        <f t="shared" si="135"/>
        <v>Mar</v>
      </c>
      <c r="D2920" t="s">
        <v>1048</v>
      </c>
      <c r="E2920" t="s">
        <v>19</v>
      </c>
      <c r="F2920" t="s">
        <v>789</v>
      </c>
      <c r="G2920">
        <v>2</v>
      </c>
      <c r="H2920" s="7">
        <v>152.68</v>
      </c>
      <c r="I2920" t="s">
        <v>46</v>
      </c>
      <c r="J2920" t="s">
        <v>42</v>
      </c>
      <c r="K2920">
        <v>20</v>
      </c>
      <c r="L2920" s="7">
        <f t="shared" si="136"/>
        <v>305.36</v>
      </c>
      <c r="M2920" s="7"/>
      <c r="O2920">
        <f t="shared" si="137"/>
        <v>2</v>
      </c>
      <c r="Q2920" t="s">
        <v>47</v>
      </c>
    </row>
    <row r="2921" spans="1:17" x14ac:dyDescent="0.3">
      <c r="A2921" t="s">
        <v>4021</v>
      </c>
      <c r="B2921" s="6">
        <v>45070</v>
      </c>
      <c r="C2921" s="6" t="str">
        <f t="shared" si="135"/>
        <v>May</v>
      </c>
      <c r="D2921" t="s">
        <v>1359</v>
      </c>
      <c r="E2921" t="s">
        <v>62</v>
      </c>
      <c r="F2921" t="s">
        <v>263</v>
      </c>
      <c r="G2921">
        <v>8</v>
      </c>
      <c r="H2921" s="7">
        <v>135.19999999999999</v>
      </c>
      <c r="I2921" t="s">
        <v>103</v>
      </c>
      <c r="J2921" t="s">
        <v>19</v>
      </c>
      <c r="K2921">
        <v>10</v>
      </c>
      <c r="L2921" s="7">
        <f t="shared" si="136"/>
        <v>1081.5999999999999</v>
      </c>
      <c r="M2921" s="7"/>
      <c r="O2921">
        <f t="shared" si="137"/>
        <v>2</v>
      </c>
      <c r="Q2921" t="s">
        <v>104</v>
      </c>
    </row>
    <row r="2922" spans="1:17" x14ac:dyDescent="0.3">
      <c r="A2922" t="s">
        <v>4022</v>
      </c>
      <c r="B2922" s="6">
        <v>45172</v>
      </c>
      <c r="C2922" s="6" t="str">
        <f t="shared" si="135"/>
        <v>Sep</v>
      </c>
      <c r="D2922" t="s">
        <v>269</v>
      </c>
      <c r="E2922" t="s">
        <v>19</v>
      </c>
      <c r="F2922" t="s">
        <v>434</v>
      </c>
      <c r="G2922">
        <v>5</v>
      </c>
      <c r="H2922" s="7">
        <v>85.99</v>
      </c>
      <c r="I2922" t="s">
        <v>64</v>
      </c>
      <c r="J2922" t="s">
        <v>87</v>
      </c>
      <c r="K2922">
        <v>0</v>
      </c>
      <c r="L2922" s="7">
        <f t="shared" si="136"/>
        <v>429.95</v>
      </c>
      <c r="M2922" s="7"/>
      <c r="O2922">
        <f t="shared" si="137"/>
        <v>2</v>
      </c>
      <c r="Q2922" t="s">
        <v>65</v>
      </c>
    </row>
    <row r="2923" spans="1:17" x14ac:dyDescent="0.3">
      <c r="A2923" t="s">
        <v>4023</v>
      </c>
      <c r="B2923" s="6">
        <v>45128</v>
      </c>
      <c r="C2923" s="6" t="str">
        <f t="shared" si="135"/>
        <v>Jul</v>
      </c>
      <c r="D2923" t="s">
        <v>1718</v>
      </c>
      <c r="E2923" t="s">
        <v>19</v>
      </c>
      <c r="F2923" t="s">
        <v>445</v>
      </c>
      <c r="G2923">
        <v>7</v>
      </c>
      <c r="H2923" s="7">
        <v>184.57</v>
      </c>
      <c r="I2923" t="s">
        <v>32</v>
      </c>
      <c r="J2923" t="s">
        <v>28</v>
      </c>
      <c r="K2923">
        <v>10</v>
      </c>
      <c r="L2923" s="7">
        <f t="shared" si="136"/>
        <v>1291.99</v>
      </c>
      <c r="M2923" s="7"/>
      <c r="O2923">
        <f t="shared" si="137"/>
        <v>2</v>
      </c>
      <c r="Q2923" t="s">
        <v>33</v>
      </c>
    </row>
    <row r="2924" spans="1:17" x14ac:dyDescent="0.3">
      <c r="A2924" t="s">
        <v>4024</v>
      </c>
      <c r="B2924" s="6">
        <v>45120</v>
      </c>
      <c r="C2924" s="6" t="str">
        <f t="shared" si="135"/>
        <v>Jul</v>
      </c>
      <c r="D2924" t="s">
        <v>795</v>
      </c>
      <c r="E2924" t="s">
        <v>50</v>
      </c>
      <c r="F2924" t="s">
        <v>94</v>
      </c>
      <c r="G2924">
        <v>2</v>
      </c>
      <c r="H2924" s="7">
        <v>129.24</v>
      </c>
      <c r="I2924" t="s">
        <v>21</v>
      </c>
      <c r="J2924" t="s">
        <v>42</v>
      </c>
      <c r="K2924">
        <v>10</v>
      </c>
      <c r="L2924" s="7">
        <f t="shared" si="136"/>
        <v>258.48</v>
      </c>
      <c r="M2924" s="7"/>
      <c r="O2924">
        <f t="shared" si="137"/>
        <v>2</v>
      </c>
      <c r="Q2924" t="s">
        <v>23</v>
      </c>
    </row>
    <row r="2925" spans="1:17" x14ac:dyDescent="0.3">
      <c r="A2925" t="s">
        <v>4025</v>
      </c>
      <c r="B2925" s="6">
        <v>44989</v>
      </c>
      <c r="C2925" s="6" t="str">
        <f t="shared" si="135"/>
        <v>Mar</v>
      </c>
      <c r="D2925" t="s">
        <v>1505</v>
      </c>
      <c r="E2925" t="s">
        <v>36</v>
      </c>
      <c r="F2925" t="s">
        <v>523</v>
      </c>
      <c r="G2925">
        <v>6</v>
      </c>
      <c r="H2925" s="7">
        <v>343.3</v>
      </c>
      <c r="I2925" t="s">
        <v>32</v>
      </c>
      <c r="J2925" t="s">
        <v>42</v>
      </c>
      <c r="K2925">
        <v>5</v>
      </c>
      <c r="L2925" s="7">
        <f t="shared" si="136"/>
        <v>2059.8000000000002</v>
      </c>
      <c r="M2925" s="7"/>
      <c r="O2925">
        <f t="shared" si="137"/>
        <v>2</v>
      </c>
      <c r="Q2925" t="s">
        <v>33</v>
      </c>
    </row>
    <row r="2926" spans="1:17" x14ac:dyDescent="0.3">
      <c r="A2926" t="s">
        <v>4026</v>
      </c>
      <c r="B2926" s="6">
        <v>45124</v>
      </c>
      <c r="C2926" s="6" t="str">
        <f t="shared" si="135"/>
        <v>Jul</v>
      </c>
      <c r="D2926" t="s">
        <v>3244</v>
      </c>
      <c r="E2926" t="s">
        <v>26</v>
      </c>
      <c r="F2926" t="s">
        <v>334</v>
      </c>
      <c r="G2926">
        <v>2</v>
      </c>
      <c r="H2926" s="7">
        <v>343.52</v>
      </c>
      <c r="I2926" t="s">
        <v>19</v>
      </c>
      <c r="J2926" t="s">
        <v>87</v>
      </c>
      <c r="K2926">
        <v>15</v>
      </c>
      <c r="L2926" s="7">
        <f t="shared" si="136"/>
        <v>687.04</v>
      </c>
      <c r="M2926" s="7"/>
      <c r="O2926">
        <f t="shared" si="137"/>
        <v>2</v>
      </c>
      <c r="Q2926" t="s">
        <v>19</v>
      </c>
    </row>
    <row r="2927" spans="1:17" x14ac:dyDescent="0.3">
      <c r="A2927" t="s">
        <v>4027</v>
      </c>
      <c r="B2927" s="6">
        <v>45259</v>
      </c>
      <c r="C2927" s="6" t="str">
        <f t="shared" si="135"/>
        <v>Nov</v>
      </c>
      <c r="D2927" t="s">
        <v>3259</v>
      </c>
      <c r="E2927" t="s">
        <v>36</v>
      </c>
      <c r="F2927" t="s">
        <v>1182</v>
      </c>
      <c r="G2927">
        <v>2</v>
      </c>
      <c r="H2927" s="7">
        <v>253.41</v>
      </c>
      <c r="I2927" t="s">
        <v>21</v>
      </c>
      <c r="J2927" t="s">
        <v>72</v>
      </c>
      <c r="K2927">
        <v>20</v>
      </c>
      <c r="L2927" s="7">
        <f t="shared" si="136"/>
        <v>506.82</v>
      </c>
      <c r="M2927" s="7"/>
      <c r="O2927">
        <f t="shared" si="137"/>
        <v>2</v>
      </c>
      <c r="Q2927" t="s">
        <v>23</v>
      </c>
    </row>
    <row r="2928" spans="1:17" x14ac:dyDescent="0.3">
      <c r="A2928" t="s">
        <v>4028</v>
      </c>
      <c r="B2928" s="6">
        <v>45086</v>
      </c>
      <c r="C2928" s="6" t="str">
        <f t="shared" si="135"/>
        <v>Jun</v>
      </c>
      <c r="D2928" t="s">
        <v>755</v>
      </c>
      <c r="E2928" t="s">
        <v>26</v>
      </c>
      <c r="F2928" t="s">
        <v>154</v>
      </c>
      <c r="G2928">
        <v>8</v>
      </c>
      <c r="H2928" s="7">
        <v>390.08</v>
      </c>
      <c r="I2928" t="s">
        <v>46</v>
      </c>
      <c r="J2928" t="s">
        <v>19</v>
      </c>
      <c r="K2928">
        <v>10</v>
      </c>
      <c r="L2928" s="7">
        <f t="shared" si="136"/>
        <v>3120.64</v>
      </c>
      <c r="M2928" s="7"/>
      <c r="O2928">
        <f t="shared" si="137"/>
        <v>4</v>
      </c>
      <c r="Q2928" t="s">
        <v>47</v>
      </c>
    </row>
    <row r="2929" spans="1:17" x14ac:dyDescent="0.3">
      <c r="A2929" t="s">
        <v>4029</v>
      </c>
      <c r="B2929" s="6">
        <v>45004</v>
      </c>
      <c r="C2929" s="6" t="str">
        <f t="shared" si="135"/>
        <v>Mar</v>
      </c>
      <c r="D2929" t="s">
        <v>567</v>
      </c>
      <c r="E2929" t="s">
        <v>50</v>
      </c>
      <c r="F2929" t="s">
        <v>94</v>
      </c>
      <c r="G2929">
        <v>2</v>
      </c>
      <c r="H2929" s="7">
        <v>421.46</v>
      </c>
      <c r="I2929" t="s">
        <v>21</v>
      </c>
      <c r="J2929" t="s">
        <v>22</v>
      </c>
      <c r="K2929">
        <v>20</v>
      </c>
      <c r="L2929" s="7">
        <f t="shared" si="136"/>
        <v>842.92</v>
      </c>
      <c r="M2929" s="7"/>
      <c r="O2929">
        <f t="shared" si="137"/>
        <v>2</v>
      </c>
      <c r="Q2929" t="s">
        <v>23</v>
      </c>
    </row>
    <row r="2930" spans="1:17" x14ac:dyDescent="0.3">
      <c r="A2930" t="s">
        <v>4030</v>
      </c>
      <c r="B2930" s="6">
        <v>45024</v>
      </c>
      <c r="C2930" s="6" t="str">
        <f t="shared" si="135"/>
        <v>Apr</v>
      </c>
      <c r="D2930" t="s">
        <v>1081</v>
      </c>
      <c r="E2930" t="s">
        <v>19</v>
      </c>
      <c r="F2930" t="s">
        <v>182</v>
      </c>
      <c r="G2930">
        <v>7</v>
      </c>
      <c r="H2930" s="7">
        <v>291.98</v>
      </c>
      <c r="I2930" t="s">
        <v>46</v>
      </c>
      <c r="J2930" t="s">
        <v>28</v>
      </c>
      <c r="K2930">
        <v>5</v>
      </c>
      <c r="L2930" s="7">
        <f t="shared" si="136"/>
        <v>2043.8600000000001</v>
      </c>
      <c r="M2930" s="7"/>
      <c r="O2930">
        <f t="shared" si="137"/>
        <v>2</v>
      </c>
      <c r="Q2930" t="s">
        <v>47</v>
      </c>
    </row>
    <row r="2931" spans="1:17" x14ac:dyDescent="0.3">
      <c r="A2931" t="s">
        <v>4031</v>
      </c>
      <c r="B2931" s="6">
        <v>45031</v>
      </c>
      <c r="C2931" s="6" t="str">
        <f t="shared" si="135"/>
        <v>Apr</v>
      </c>
      <c r="D2931" t="s">
        <v>1313</v>
      </c>
      <c r="E2931" t="s">
        <v>26</v>
      </c>
      <c r="F2931" t="s">
        <v>445</v>
      </c>
      <c r="G2931">
        <v>3</v>
      </c>
      <c r="H2931" s="7">
        <v>311.37</v>
      </c>
      <c r="I2931" t="s">
        <v>64</v>
      </c>
      <c r="J2931" t="s">
        <v>87</v>
      </c>
      <c r="K2931">
        <v>0</v>
      </c>
      <c r="L2931" s="7">
        <f t="shared" si="136"/>
        <v>934.11</v>
      </c>
      <c r="M2931" s="7"/>
      <c r="O2931">
        <f t="shared" si="137"/>
        <v>2</v>
      </c>
      <c r="Q2931" t="s">
        <v>65</v>
      </c>
    </row>
    <row r="2932" spans="1:17" x14ac:dyDescent="0.3">
      <c r="A2932" t="s">
        <v>4032</v>
      </c>
      <c r="B2932" s="6">
        <v>44994</v>
      </c>
      <c r="C2932" s="6" t="str">
        <f t="shared" si="135"/>
        <v>Mar</v>
      </c>
      <c r="D2932" t="s">
        <v>768</v>
      </c>
      <c r="E2932" t="s">
        <v>62</v>
      </c>
      <c r="F2932" t="s">
        <v>833</v>
      </c>
      <c r="G2932">
        <v>8</v>
      </c>
      <c r="H2932" s="7">
        <v>145.03</v>
      </c>
      <c r="I2932" t="s">
        <v>21</v>
      </c>
      <c r="J2932" t="s">
        <v>28</v>
      </c>
      <c r="K2932">
        <v>10</v>
      </c>
      <c r="L2932" s="7">
        <f t="shared" si="136"/>
        <v>1160.24</v>
      </c>
      <c r="M2932" s="7"/>
      <c r="O2932">
        <f t="shared" si="137"/>
        <v>2</v>
      </c>
      <c r="Q2932" t="s">
        <v>23</v>
      </c>
    </row>
    <row r="2933" spans="1:17" x14ac:dyDescent="0.3">
      <c r="A2933" t="s">
        <v>4033</v>
      </c>
      <c r="B2933" s="6">
        <v>44972</v>
      </c>
      <c r="C2933" s="6" t="str">
        <f t="shared" si="135"/>
        <v>Feb</v>
      </c>
      <c r="D2933" t="s">
        <v>136</v>
      </c>
      <c r="E2933" t="s">
        <v>62</v>
      </c>
      <c r="F2933" t="s">
        <v>722</v>
      </c>
      <c r="G2933">
        <v>7</v>
      </c>
      <c r="H2933" s="7">
        <v>447.96</v>
      </c>
      <c r="I2933" t="s">
        <v>64</v>
      </c>
      <c r="J2933" t="s">
        <v>28</v>
      </c>
      <c r="K2933">
        <v>10</v>
      </c>
      <c r="L2933" s="7">
        <f t="shared" si="136"/>
        <v>3135.72</v>
      </c>
      <c r="M2933" s="7"/>
      <c r="O2933">
        <f t="shared" si="137"/>
        <v>4</v>
      </c>
      <c r="Q2933" t="s">
        <v>65</v>
      </c>
    </row>
    <row r="2934" spans="1:17" x14ac:dyDescent="0.3">
      <c r="A2934" t="s">
        <v>4034</v>
      </c>
      <c r="B2934" s="6">
        <v>45206</v>
      </c>
      <c r="C2934" s="6" t="str">
        <f t="shared" si="135"/>
        <v>Oct</v>
      </c>
      <c r="D2934" t="s">
        <v>1605</v>
      </c>
      <c r="E2934" t="s">
        <v>26</v>
      </c>
      <c r="F2934" t="s">
        <v>944</v>
      </c>
      <c r="G2934">
        <v>8</v>
      </c>
      <c r="H2934" s="7">
        <v>252.16</v>
      </c>
      <c r="I2934" t="s">
        <v>103</v>
      </c>
      <c r="J2934" t="s">
        <v>28</v>
      </c>
      <c r="K2934">
        <v>15</v>
      </c>
      <c r="L2934" s="7">
        <f t="shared" si="136"/>
        <v>2017.28</v>
      </c>
      <c r="M2934" s="7"/>
      <c r="O2934">
        <f t="shared" si="137"/>
        <v>2</v>
      </c>
      <c r="Q2934" t="s">
        <v>104</v>
      </c>
    </row>
    <row r="2935" spans="1:17" x14ac:dyDescent="0.3">
      <c r="A2935" t="s">
        <v>4035</v>
      </c>
      <c r="B2935" s="6">
        <v>44965</v>
      </c>
      <c r="C2935" s="6" t="str">
        <f t="shared" si="135"/>
        <v>Feb</v>
      </c>
      <c r="D2935" t="s">
        <v>203</v>
      </c>
      <c r="E2935" t="s">
        <v>40</v>
      </c>
      <c r="F2935" t="s">
        <v>389</v>
      </c>
      <c r="G2935">
        <v>7</v>
      </c>
      <c r="H2935" s="7">
        <v>177.56</v>
      </c>
      <c r="I2935" t="s">
        <v>103</v>
      </c>
      <c r="J2935" t="s">
        <v>22</v>
      </c>
      <c r="K2935">
        <v>10</v>
      </c>
      <c r="L2935" s="7">
        <f t="shared" si="136"/>
        <v>1242.92</v>
      </c>
      <c r="M2935" s="7"/>
      <c r="O2935">
        <f t="shared" si="137"/>
        <v>2</v>
      </c>
      <c r="Q2935" t="s">
        <v>104</v>
      </c>
    </row>
    <row r="2936" spans="1:17" x14ac:dyDescent="0.3">
      <c r="A2936" t="s">
        <v>4036</v>
      </c>
      <c r="B2936" s="6">
        <v>45052</v>
      </c>
      <c r="C2936" s="6" t="str">
        <f t="shared" si="135"/>
        <v>May</v>
      </c>
      <c r="D2936" t="s">
        <v>1062</v>
      </c>
      <c r="E2936" t="s">
        <v>26</v>
      </c>
      <c r="F2936" t="s">
        <v>406</v>
      </c>
      <c r="G2936">
        <v>6</v>
      </c>
      <c r="H2936" s="7">
        <v>362.29</v>
      </c>
      <c r="I2936" t="s">
        <v>32</v>
      </c>
      <c r="J2936" t="s">
        <v>22</v>
      </c>
      <c r="K2936">
        <v>5</v>
      </c>
      <c r="L2936" s="7">
        <f t="shared" si="136"/>
        <v>2173.7400000000002</v>
      </c>
      <c r="M2936" s="7"/>
      <c r="O2936">
        <f t="shared" si="137"/>
        <v>2</v>
      </c>
      <c r="Q2936" t="s">
        <v>33</v>
      </c>
    </row>
    <row r="2937" spans="1:17" x14ac:dyDescent="0.3">
      <c r="A2937" t="s">
        <v>4037</v>
      </c>
      <c r="B2937" s="6">
        <v>45183</v>
      </c>
      <c r="C2937" s="6" t="str">
        <f t="shared" si="135"/>
        <v>Sep</v>
      </c>
      <c r="D2937" t="s">
        <v>1444</v>
      </c>
      <c r="E2937" t="s">
        <v>19</v>
      </c>
      <c r="F2937" t="s">
        <v>432</v>
      </c>
      <c r="G2937">
        <v>7</v>
      </c>
      <c r="H2937" s="7">
        <v>44.64</v>
      </c>
      <c r="I2937" t="s">
        <v>64</v>
      </c>
      <c r="J2937" t="s">
        <v>87</v>
      </c>
      <c r="K2937">
        <v>20</v>
      </c>
      <c r="L2937" s="7">
        <f t="shared" si="136"/>
        <v>312.48</v>
      </c>
      <c r="M2937" s="7"/>
      <c r="O2937">
        <f t="shared" si="137"/>
        <v>2</v>
      </c>
      <c r="Q2937" t="s">
        <v>65</v>
      </c>
    </row>
    <row r="2938" spans="1:17" x14ac:dyDescent="0.3">
      <c r="A2938" t="s">
        <v>4038</v>
      </c>
      <c r="B2938" s="6">
        <v>45049</v>
      </c>
      <c r="C2938" s="6" t="str">
        <f t="shared" si="135"/>
        <v>May</v>
      </c>
      <c r="D2938" t="s">
        <v>77</v>
      </c>
      <c r="E2938" t="s">
        <v>19</v>
      </c>
      <c r="F2938" t="s">
        <v>1023</v>
      </c>
      <c r="G2938">
        <v>5</v>
      </c>
      <c r="H2938" s="7">
        <v>95.67</v>
      </c>
      <c r="I2938" t="s">
        <v>103</v>
      </c>
      <c r="J2938" t="s">
        <v>22</v>
      </c>
      <c r="K2938">
        <v>0</v>
      </c>
      <c r="L2938" s="7">
        <f t="shared" si="136"/>
        <v>478.35</v>
      </c>
      <c r="M2938" s="7"/>
      <c r="O2938">
        <f t="shared" si="137"/>
        <v>2</v>
      </c>
      <c r="Q2938" t="s">
        <v>104</v>
      </c>
    </row>
    <row r="2939" spans="1:17" x14ac:dyDescent="0.3">
      <c r="A2939" t="s">
        <v>4039</v>
      </c>
      <c r="B2939" s="6">
        <v>45001</v>
      </c>
      <c r="C2939" s="6" t="str">
        <f t="shared" si="135"/>
        <v>Mar</v>
      </c>
      <c r="D2939" t="s">
        <v>873</v>
      </c>
      <c r="E2939" t="s">
        <v>19</v>
      </c>
      <c r="F2939" t="s">
        <v>131</v>
      </c>
      <c r="G2939">
        <v>7</v>
      </c>
      <c r="H2939" s="7">
        <v>296.7</v>
      </c>
      <c r="I2939" t="s">
        <v>46</v>
      </c>
      <c r="J2939" t="s">
        <v>87</v>
      </c>
      <c r="K2939">
        <v>20</v>
      </c>
      <c r="L2939" s="7">
        <f t="shared" si="136"/>
        <v>2076.9</v>
      </c>
      <c r="M2939" s="7"/>
      <c r="O2939">
        <f t="shared" si="137"/>
        <v>2</v>
      </c>
      <c r="Q2939" t="s">
        <v>47</v>
      </c>
    </row>
    <row r="2940" spans="1:17" x14ac:dyDescent="0.3">
      <c r="A2940" t="s">
        <v>4040</v>
      </c>
      <c r="B2940" s="6">
        <v>45086</v>
      </c>
      <c r="C2940" s="6" t="str">
        <f t="shared" si="135"/>
        <v>Jun</v>
      </c>
      <c r="D2940" t="s">
        <v>49</v>
      </c>
      <c r="E2940" t="s">
        <v>19</v>
      </c>
      <c r="F2940" t="s">
        <v>944</v>
      </c>
      <c r="G2940">
        <v>1</v>
      </c>
      <c r="H2940" s="7">
        <v>252.16</v>
      </c>
      <c r="I2940" t="s">
        <v>103</v>
      </c>
      <c r="J2940" t="s">
        <v>87</v>
      </c>
      <c r="K2940">
        <v>15</v>
      </c>
      <c r="L2940" s="7">
        <f t="shared" si="136"/>
        <v>252.16</v>
      </c>
      <c r="M2940" s="7"/>
      <c r="O2940">
        <f t="shared" si="137"/>
        <v>2</v>
      </c>
      <c r="Q2940" t="s">
        <v>104</v>
      </c>
    </row>
    <row r="2941" spans="1:17" x14ac:dyDescent="0.3">
      <c r="A2941" t="s">
        <v>4041</v>
      </c>
      <c r="B2941" s="6">
        <v>44987</v>
      </c>
      <c r="C2941" s="6" t="str">
        <f t="shared" si="135"/>
        <v>Mar</v>
      </c>
      <c r="D2941" t="s">
        <v>18</v>
      </c>
      <c r="E2941" t="s">
        <v>19</v>
      </c>
      <c r="F2941" t="s">
        <v>116</v>
      </c>
      <c r="G2941">
        <v>1</v>
      </c>
      <c r="H2941" s="7">
        <v>252.16</v>
      </c>
      <c r="I2941" t="s">
        <v>19</v>
      </c>
      <c r="J2941" t="s">
        <v>19</v>
      </c>
      <c r="K2941">
        <v>10</v>
      </c>
      <c r="L2941" s="7">
        <f t="shared" si="136"/>
        <v>252.16</v>
      </c>
      <c r="M2941" s="7"/>
      <c r="O2941">
        <f t="shared" si="137"/>
        <v>2</v>
      </c>
      <c r="Q2941" t="s">
        <v>19</v>
      </c>
    </row>
    <row r="2942" spans="1:17" x14ac:dyDescent="0.3">
      <c r="A2942" t="s">
        <v>4042</v>
      </c>
      <c r="B2942" s="6">
        <v>45117</v>
      </c>
      <c r="C2942" s="6" t="str">
        <f t="shared" si="135"/>
        <v>Jul</v>
      </c>
      <c r="D2942" t="s">
        <v>1006</v>
      </c>
      <c r="E2942" t="s">
        <v>62</v>
      </c>
      <c r="F2942" t="s">
        <v>807</v>
      </c>
      <c r="G2942">
        <v>9</v>
      </c>
      <c r="H2942" s="7">
        <v>407.24</v>
      </c>
      <c r="I2942" t="s">
        <v>64</v>
      </c>
      <c r="J2942" t="s">
        <v>28</v>
      </c>
      <c r="K2942">
        <v>15</v>
      </c>
      <c r="L2942" s="7">
        <f t="shared" si="136"/>
        <v>3665.16</v>
      </c>
      <c r="M2942" s="7"/>
      <c r="O2942">
        <f t="shared" si="137"/>
        <v>5</v>
      </c>
      <c r="Q2942" t="s">
        <v>65</v>
      </c>
    </row>
    <row r="2943" spans="1:17" x14ac:dyDescent="0.3">
      <c r="A2943" t="s">
        <v>4043</v>
      </c>
      <c r="B2943" s="6">
        <v>44964</v>
      </c>
      <c r="C2943" s="6" t="str">
        <f t="shared" si="135"/>
        <v>Feb</v>
      </c>
      <c r="D2943" t="s">
        <v>4044</v>
      </c>
      <c r="E2943" t="s">
        <v>40</v>
      </c>
      <c r="F2943" t="s">
        <v>375</v>
      </c>
      <c r="G2943">
        <v>5</v>
      </c>
      <c r="H2943" s="7">
        <v>68.650000000000006</v>
      </c>
      <c r="I2943" t="s">
        <v>64</v>
      </c>
      <c r="J2943" t="s">
        <v>28</v>
      </c>
      <c r="K2943">
        <v>20</v>
      </c>
      <c r="L2943" s="7">
        <f t="shared" si="136"/>
        <v>343.25</v>
      </c>
      <c r="M2943" s="7"/>
      <c r="O2943">
        <f t="shared" si="137"/>
        <v>2</v>
      </c>
      <c r="Q2943" t="s">
        <v>65</v>
      </c>
    </row>
    <row r="2944" spans="1:17" x14ac:dyDescent="0.3">
      <c r="A2944" t="s">
        <v>4045</v>
      </c>
      <c r="B2944" s="6">
        <v>45097</v>
      </c>
      <c r="C2944" s="6" t="str">
        <f t="shared" si="135"/>
        <v>Jun</v>
      </c>
      <c r="D2944" t="s">
        <v>2684</v>
      </c>
      <c r="E2944" t="s">
        <v>19</v>
      </c>
      <c r="F2944" t="s">
        <v>289</v>
      </c>
      <c r="G2944">
        <v>5</v>
      </c>
      <c r="H2944" s="7">
        <v>14.1</v>
      </c>
      <c r="I2944" t="s">
        <v>21</v>
      </c>
      <c r="J2944" t="s">
        <v>87</v>
      </c>
      <c r="K2944">
        <v>20</v>
      </c>
      <c r="L2944" s="7">
        <f t="shared" si="136"/>
        <v>70.5</v>
      </c>
      <c r="M2944" s="7"/>
      <c r="O2944">
        <f t="shared" si="137"/>
        <v>2</v>
      </c>
      <c r="Q2944" t="s">
        <v>23</v>
      </c>
    </row>
    <row r="2945" spans="1:17" x14ac:dyDescent="0.3">
      <c r="A2945" t="s">
        <v>4046</v>
      </c>
      <c r="B2945" s="6">
        <v>45026</v>
      </c>
      <c r="C2945" s="6" t="str">
        <f t="shared" si="135"/>
        <v>Apr</v>
      </c>
      <c r="D2945" t="s">
        <v>1212</v>
      </c>
      <c r="E2945" t="s">
        <v>31</v>
      </c>
      <c r="F2945" t="s">
        <v>334</v>
      </c>
      <c r="G2945">
        <v>3</v>
      </c>
      <c r="H2945" s="7">
        <v>346.37</v>
      </c>
      <c r="I2945" t="s">
        <v>19</v>
      </c>
      <c r="J2945" t="s">
        <v>28</v>
      </c>
      <c r="K2945">
        <v>10</v>
      </c>
      <c r="L2945" s="7">
        <f t="shared" si="136"/>
        <v>1039.1100000000001</v>
      </c>
      <c r="M2945" s="7"/>
      <c r="O2945">
        <f t="shared" si="137"/>
        <v>2</v>
      </c>
      <c r="Q2945" t="s">
        <v>19</v>
      </c>
    </row>
    <row r="2946" spans="1:17" x14ac:dyDescent="0.3">
      <c r="A2946" t="s">
        <v>4047</v>
      </c>
      <c r="B2946" s="6">
        <v>44942</v>
      </c>
      <c r="C2946" s="6" t="str">
        <f t="shared" si="135"/>
        <v>Jan</v>
      </c>
      <c r="D2946" t="s">
        <v>4048</v>
      </c>
      <c r="E2946" t="s">
        <v>62</v>
      </c>
      <c r="F2946" t="s">
        <v>331</v>
      </c>
      <c r="G2946">
        <v>5</v>
      </c>
      <c r="H2946" s="7">
        <v>154.19</v>
      </c>
      <c r="I2946" t="s">
        <v>64</v>
      </c>
      <c r="J2946" t="s">
        <v>72</v>
      </c>
      <c r="K2946">
        <v>15</v>
      </c>
      <c r="L2946" s="7">
        <f t="shared" si="136"/>
        <v>770.95</v>
      </c>
      <c r="M2946" s="7"/>
      <c r="O2946">
        <f t="shared" si="137"/>
        <v>2</v>
      </c>
      <c r="Q2946" t="s">
        <v>65</v>
      </c>
    </row>
    <row r="2947" spans="1:17" x14ac:dyDescent="0.3">
      <c r="A2947" t="s">
        <v>4049</v>
      </c>
      <c r="B2947" s="6">
        <v>45027</v>
      </c>
      <c r="C2947" s="6" t="str">
        <f t="shared" ref="C2947:C3010" si="138">TEXT(B2947,"MMM")</f>
        <v>Apr</v>
      </c>
      <c r="D2947" t="s">
        <v>797</v>
      </c>
      <c r="E2947" t="s">
        <v>19</v>
      </c>
      <c r="F2947" t="s">
        <v>51</v>
      </c>
      <c r="G2947">
        <v>3</v>
      </c>
      <c r="H2947" s="7">
        <v>314.86</v>
      </c>
      <c r="I2947" t="s">
        <v>32</v>
      </c>
      <c r="J2947" t="s">
        <v>72</v>
      </c>
      <c r="K2947">
        <v>15</v>
      </c>
      <c r="L2947" s="7">
        <f t="shared" ref="L2947:L3010" si="139">G2947*H2947</f>
        <v>944.58</v>
      </c>
      <c r="M2947" s="7"/>
      <c r="O2947">
        <f t="shared" si="137"/>
        <v>2</v>
      </c>
      <c r="Q2947" t="s">
        <v>33</v>
      </c>
    </row>
    <row r="2948" spans="1:17" x14ac:dyDescent="0.3">
      <c r="A2948" t="s">
        <v>4050</v>
      </c>
      <c r="B2948" s="6">
        <v>45273</v>
      </c>
      <c r="C2948" s="6" t="str">
        <f t="shared" si="138"/>
        <v>Dec</v>
      </c>
      <c r="D2948" t="s">
        <v>2094</v>
      </c>
      <c r="E2948" t="s">
        <v>26</v>
      </c>
      <c r="F2948" t="s">
        <v>51</v>
      </c>
      <c r="G2948">
        <v>9</v>
      </c>
      <c r="H2948" s="7">
        <v>79.52</v>
      </c>
      <c r="I2948" t="s">
        <v>46</v>
      </c>
      <c r="J2948" t="s">
        <v>87</v>
      </c>
      <c r="K2948">
        <v>15</v>
      </c>
      <c r="L2948" s="7">
        <f t="shared" si="139"/>
        <v>715.68</v>
      </c>
      <c r="M2948" s="7"/>
      <c r="O2948">
        <f t="shared" ref="O2948:O3011" si="140">IF(L2948&gt;3500,5,IF(L2948&gt;3000,4,IF(L2948&gt;2500,3,IF(L2948&gt;2000,2,IF(L2948&gt;1000,2,2)))))</f>
        <v>2</v>
      </c>
      <c r="Q2948" t="s">
        <v>47</v>
      </c>
    </row>
    <row r="2949" spans="1:17" x14ac:dyDescent="0.3">
      <c r="A2949" t="s">
        <v>4051</v>
      </c>
      <c r="B2949" s="6">
        <v>44949</v>
      </c>
      <c r="C2949" s="6" t="str">
        <f t="shared" si="138"/>
        <v>Jan</v>
      </c>
      <c r="D2949" t="s">
        <v>411</v>
      </c>
      <c r="E2949" t="s">
        <v>19</v>
      </c>
      <c r="F2949" t="s">
        <v>208</v>
      </c>
      <c r="G2949">
        <v>9</v>
      </c>
      <c r="H2949" s="7">
        <v>237.17</v>
      </c>
      <c r="I2949" t="s">
        <v>103</v>
      </c>
      <c r="J2949" t="s">
        <v>22</v>
      </c>
      <c r="K2949">
        <v>0</v>
      </c>
      <c r="L2949" s="7">
        <f t="shared" si="139"/>
        <v>2134.5299999999997</v>
      </c>
      <c r="M2949" s="7"/>
      <c r="O2949">
        <f t="shared" si="140"/>
        <v>2</v>
      </c>
      <c r="Q2949" t="s">
        <v>104</v>
      </c>
    </row>
    <row r="2950" spans="1:17" x14ac:dyDescent="0.3">
      <c r="A2950" t="s">
        <v>4052</v>
      </c>
      <c r="B2950" s="6">
        <v>44930</v>
      </c>
      <c r="C2950" s="6" t="str">
        <f t="shared" si="138"/>
        <v>Jan</v>
      </c>
      <c r="D2950" t="s">
        <v>1846</v>
      </c>
      <c r="E2950" t="s">
        <v>26</v>
      </c>
      <c r="F2950" t="s">
        <v>313</v>
      </c>
      <c r="G2950">
        <v>6</v>
      </c>
      <c r="H2950" s="7">
        <v>254.69</v>
      </c>
      <c r="I2950" t="s">
        <v>103</v>
      </c>
      <c r="J2950" t="s">
        <v>42</v>
      </c>
      <c r="K2950">
        <v>20</v>
      </c>
      <c r="L2950" s="7">
        <f t="shared" si="139"/>
        <v>1528.1399999999999</v>
      </c>
      <c r="M2950" s="7"/>
      <c r="O2950">
        <f t="shared" si="140"/>
        <v>2</v>
      </c>
      <c r="Q2950" t="s">
        <v>104</v>
      </c>
    </row>
    <row r="2951" spans="1:17" x14ac:dyDescent="0.3">
      <c r="A2951" t="s">
        <v>4053</v>
      </c>
      <c r="B2951" s="6">
        <v>44992</v>
      </c>
      <c r="C2951" s="6" t="str">
        <f t="shared" si="138"/>
        <v>Mar</v>
      </c>
      <c r="D2951" t="s">
        <v>1558</v>
      </c>
      <c r="E2951" t="s">
        <v>50</v>
      </c>
      <c r="F2951" t="s">
        <v>81</v>
      </c>
      <c r="G2951">
        <v>1</v>
      </c>
      <c r="H2951" s="7">
        <v>294.61</v>
      </c>
      <c r="I2951" t="s">
        <v>103</v>
      </c>
      <c r="J2951" t="s">
        <v>19</v>
      </c>
      <c r="K2951">
        <v>5</v>
      </c>
      <c r="L2951" s="7">
        <f t="shared" si="139"/>
        <v>294.61</v>
      </c>
      <c r="M2951" s="7"/>
      <c r="O2951">
        <f t="shared" si="140"/>
        <v>2</v>
      </c>
      <c r="Q2951" t="s">
        <v>104</v>
      </c>
    </row>
    <row r="2952" spans="1:17" x14ac:dyDescent="0.3">
      <c r="A2952" t="s">
        <v>4054</v>
      </c>
      <c r="B2952" s="6">
        <v>45244</v>
      </c>
      <c r="C2952" s="6" t="str">
        <f t="shared" si="138"/>
        <v>Nov</v>
      </c>
      <c r="D2952" t="s">
        <v>2634</v>
      </c>
      <c r="E2952" t="s">
        <v>40</v>
      </c>
      <c r="F2952" t="s">
        <v>932</v>
      </c>
      <c r="G2952">
        <v>7</v>
      </c>
      <c r="H2952" s="7">
        <v>259.02</v>
      </c>
      <c r="I2952" t="s">
        <v>103</v>
      </c>
      <c r="J2952" t="s">
        <v>72</v>
      </c>
      <c r="K2952">
        <v>0</v>
      </c>
      <c r="L2952" s="7">
        <f t="shared" si="139"/>
        <v>1813.1399999999999</v>
      </c>
      <c r="M2952" s="7"/>
      <c r="O2952">
        <f t="shared" si="140"/>
        <v>2</v>
      </c>
      <c r="Q2952" t="s">
        <v>104</v>
      </c>
    </row>
    <row r="2953" spans="1:17" x14ac:dyDescent="0.3">
      <c r="A2953" t="s">
        <v>4055</v>
      </c>
      <c r="B2953" s="6">
        <v>45197</v>
      </c>
      <c r="C2953" s="6" t="str">
        <f t="shared" si="138"/>
        <v>Sep</v>
      </c>
      <c r="D2953" t="s">
        <v>230</v>
      </c>
      <c r="E2953" t="s">
        <v>19</v>
      </c>
      <c r="F2953" t="s">
        <v>295</v>
      </c>
      <c r="G2953">
        <v>7</v>
      </c>
      <c r="H2953" s="7">
        <v>250.37</v>
      </c>
      <c r="I2953" t="s">
        <v>19</v>
      </c>
      <c r="J2953" t="s">
        <v>28</v>
      </c>
      <c r="K2953">
        <v>0</v>
      </c>
      <c r="L2953" s="7">
        <f t="shared" si="139"/>
        <v>1752.5900000000001</v>
      </c>
      <c r="M2953" s="7"/>
      <c r="O2953">
        <f t="shared" si="140"/>
        <v>2</v>
      </c>
      <c r="Q2953" t="s">
        <v>19</v>
      </c>
    </row>
    <row r="2954" spans="1:17" x14ac:dyDescent="0.3">
      <c r="A2954" t="s">
        <v>4056</v>
      </c>
      <c r="B2954" s="6">
        <v>44984</v>
      </c>
      <c r="C2954" s="6" t="str">
        <f t="shared" si="138"/>
        <v>Feb</v>
      </c>
      <c r="D2954" t="s">
        <v>1562</v>
      </c>
      <c r="E2954" t="s">
        <v>62</v>
      </c>
      <c r="F2954" t="s">
        <v>148</v>
      </c>
      <c r="G2954">
        <v>4</v>
      </c>
      <c r="H2954" s="7">
        <v>169.7</v>
      </c>
      <c r="I2954" t="s">
        <v>64</v>
      </c>
      <c r="J2954" t="s">
        <v>19</v>
      </c>
      <c r="K2954">
        <v>0</v>
      </c>
      <c r="L2954" s="7">
        <f t="shared" si="139"/>
        <v>678.8</v>
      </c>
      <c r="M2954" s="7"/>
      <c r="O2954">
        <f t="shared" si="140"/>
        <v>2</v>
      </c>
      <c r="Q2954" t="s">
        <v>65</v>
      </c>
    </row>
    <row r="2955" spans="1:17" x14ac:dyDescent="0.3">
      <c r="A2955" t="s">
        <v>4057</v>
      </c>
      <c r="B2955" s="6">
        <v>45243</v>
      </c>
      <c r="C2955" s="6" t="str">
        <f t="shared" si="138"/>
        <v>Nov</v>
      </c>
      <c r="D2955" t="s">
        <v>664</v>
      </c>
      <c r="E2955" t="s">
        <v>50</v>
      </c>
      <c r="F2955" t="s">
        <v>684</v>
      </c>
      <c r="G2955">
        <v>8</v>
      </c>
      <c r="H2955" s="7">
        <v>40.229999999999997</v>
      </c>
      <c r="I2955" t="s">
        <v>19</v>
      </c>
      <c r="J2955" t="s">
        <v>87</v>
      </c>
      <c r="K2955">
        <v>10</v>
      </c>
      <c r="L2955" s="7">
        <f t="shared" si="139"/>
        <v>321.83999999999997</v>
      </c>
      <c r="M2955" s="7"/>
      <c r="O2955">
        <f t="shared" si="140"/>
        <v>2</v>
      </c>
      <c r="Q2955" t="s">
        <v>19</v>
      </c>
    </row>
    <row r="2956" spans="1:17" x14ac:dyDescent="0.3">
      <c r="A2956" t="s">
        <v>4058</v>
      </c>
      <c r="B2956" s="6">
        <v>45242</v>
      </c>
      <c r="C2956" s="6" t="str">
        <f t="shared" si="138"/>
        <v>Nov</v>
      </c>
      <c r="D2956" t="s">
        <v>3267</v>
      </c>
      <c r="E2956" t="s">
        <v>19</v>
      </c>
      <c r="F2956" t="s">
        <v>263</v>
      </c>
      <c r="G2956">
        <v>6</v>
      </c>
      <c r="H2956" s="7">
        <v>49.31</v>
      </c>
      <c r="I2956" t="s">
        <v>46</v>
      </c>
      <c r="J2956" t="s">
        <v>42</v>
      </c>
      <c r="K2956">
        <v>5</v>
      </c>
      <c r="L2956" s="7">
        <f t="shared" si="139"/>
        <v>295.86</v>
      </c>
      <c r="M2956" s="7"/>
      <c r="O2956">
        <f t="shared" si="140"/>
        <v>2</v>
      </c>
      <c r="Q2956" t="s">
        <v>47</v>
      </c>
    </row>
    <row r="2957" spans="1:17" x14ac:dyDescent="0.3">
      <c r="A2957" t="s">
        <v>4059</v>
      </c>
      <c r="B2957" s="6">
        <v>45143</v>
      </c>
      <c r="C2957" s="6" t="str">
        <f t="shared" si="138"/>
        <v>Aug</v>
      </c>
      <c r="D2957" t="s">
        <v>1140</v>
      </c>
      <c r="E2957" t="s">
        <v>62</v>
      </c>
      <c r="F2957" t="s">
        <v>165</v>
      </c>
      <c r="G2957">
        <v>4</v>
      </c>
      <c r="H2957" s="7">
        <v>219.72</v>
      </c>
      <c r="I2957" t="s">
        <v>103</v>
      </c>
      <c r="J2957" t="s">
        <v>28</v>
      </c>
      <c r="K2957">
        <v>15</v>
      </c>
      <c r="L2957" s="7">
        <f t="shared" si="139"/>
        <v>878.88</v>
      </c>
      <c r="M2957" s="7"/>
      <c r="O2957">
        <f t="shared" si="140"/>
        <v>2</v>
      </c>
      <c r="Q2957" t="s">
        <v>104</v>
      </c>
    </row>
    <row r="2958" spans="1:17" x14ac:dyDescent="0.3">
      <c r="A2958" t="s">
        <v>4060</v>
      </c>
      <c r="B2958" s="6">
        <v>45208</v>
      </c>
      <c r="C2958" s="6" t="str">
        <f t="shared" si="138"/>
        <v>Oct</v>
      </c>
      <c r="D2958" t="s">
        <v>1963</v>
      </c>
      <c r="E2958" t="s">
        <v>40</v>
      </c>
      <c r="F2958" t="s">
        <v>1063</v>
      </c>
      <c r="G2958">
        <v>4</v>
      </c>
      <c r="H2958" s="7">
        <v>181.12</v>
      </c>
      <c r="I2958" t="s">
        <v>21</v>
      </c>
      <c r="J2958" t="s">
        <v>72</v>
      </c>
      <c r="K2958">
        <v>10</v>
      </c>
      <c r="L2958" s="7">
        <f t="shared" si="139"/>
        <v>724.48</v>
      </c>
      <c r="M2958" s="7"/>
      <c r="O2958">
        <f t="shared" si="140"/>
        <v>2</v>
      </c>
      <c r="Q2958" t="s">
        <v>23</v>
      </c>
    </row>
    <row r="2959" spans="1:17" x14ac:dyDescent="0.3">
      <c r="A2959" t="s">
        <v>4061</v>
      </c>
      <c r="B2959" s="6">
        <v>45050</v>
      </c>
      <c r="C2959" s="6" t="str">
        <f t="shared" si="138"/>
        <v>May</v>
      </c>
      <c r="D2959" t="s">
        <v>1030</v>
      </c>
      <c r="E2959" t="s">
        <v>40</v>
      </c>
      <c r="F2959" t="s">
        <v>619</v>
      </c>
      <c r="G2959">
        <v>2</v>
      </c>
      <c r="H2959" s="7">
        <v>260.49</v>
      </c>
      <c r="I2959" t="s">
        <v>103</v>
      </c>
      <c r="J2959" t="s">
        <v>19</v>
      </c>
      <c r="K2959">
        <v>20</v>
      </c>
      <c r="L2959" s="7">
        <f t="shared" si="139"/>
        <v>520.98</v>
      </c>
      <c r="M2959" s="7"/>
      <c r="O2959">
        <f t="shared" si="140"/>
        <v>2</v>
      </c>
      <c r="Q2959" t="s">
        <v>104</v>
      </c>
    </row>
    <row r="2960" spans="1:17" x14ac:dyDescent="0.3">
      <c r="A2960" t="s">
        <v>4062</v>
      </c>
      <c r="B2960" s="6">
        <v>45270</v>
      </c>
      <c r="C2960" s="6" t="str">
        <f t="shared" si="138"/>
        <v>Dec</v>
      </c>
      <c r="D2960" t="s">
        <v>4063</v>
      </c>
      <c r="E2960" t="s">
        <v>62</v>
      </c>
      <c r="F2960" t="s">
        <v>350</v>
      </c>
      <c r="G2960">
        <v>2</v>
      </c>
      <c r="H2960" s="7">
        <v>155.88999999999999</v>
      </c>
      <c r="I2960" t="s">
        <v>103</v>
      </c>
      <c r="J2960" t="s">
        <v>19</v>
      </c>
      <c r="K2960">
        <v>10</v>
      </c>
      <c r="L2960" s="7">
        <f t="shared" si="139"/>
        <v>311.77999999999997</v>
      </c>
      <c r="M2960" s="7"/>
      <c r="O2960">
        <f t="shared" si="140"/>
        <v>2</v>
      </c>
      <c r="Q2960" t="s">
        <v>104</v>
      </c>
    </row>
    <row r="2961" spans="1:17" x14ac:dyDescent="0.3">
      <c r="A2961" t="s">
        <v>4064</v>
      </c>
      <c r="B2961" s="6">
        <v>45025</v>
      </c>
      <c r="C2961" s="6" t="str">
        <f t="shared" si="138"/>
        <v>Apr</v>
      </c>
      <c r="D2961" t="s">
        <v>2124</v>
      </c>
      <c r="E2961" t="s">
        <v>62</v>
      </c>
      <c r="F2961" t="s">
        <v>549</v>
      </c>
      <c r="G2961">
        <v>4</v>
      </c>
      <c r="H2961" s="7">
        <v>345.52</v>
      </c>
      <c r="I2961" t="s">
        <v>21</v>
      </c>
      <c r="J2961" t="s">
        <v>87</v>
      </c>
      <c r="K2961">
        <v>10</v>
      </c>
      <c r="L2961" s="7">
        <f t="shared" si="139"/>
        <v>1382.08</v>
      </c>
      <c r="M2961" s="7"/>
      <c r="O2961">
        <f t="shared" si="140"/>
        <v>2</v>
      </c>
      <c r="Q2961" t="s">
        <v>23</v>
      </c>
    </row>
    <row r="2962" spans="1:17" x14ac:dyDescent="0.3">
      <c r="A2962" t="s">
        <v>4065</v>
      </c>
      <c r="B2962" s="6">
        <v>45086</v>
      </c>
      <c r="C2962" s="6" t="str">
        <f t="shared" si="138"/>
        <v>Jun</v>
      </c>
      <c r="D2962" t="s">
        <v>1853</v>
      </c>
      <c r="E2962" t="s">
        <v>36</v>
      </c>
      <c r="F2962" t="s">
        <v>1693</v>
      </c>
      <c r="G2962">
        <v>5</v>
      </c>
      <c r="H2962" s="7">
        <v>432.66</v>
      </c>
      <c r="I2962" t="s">
        <v>32</v>
      </c>
      <c r="J2962" t="s">
        <v>87</v>
      </c>
      <c r="K2962">
        <v>10</v>
      </c>
      <c r="L2962" s="7">
        <f t="shared" si="139"/>
        <v>2163.3000000000002</v>
      </c>
      <c r="M2962" s="7"/>
      <c r="O2962">
        <f t="shared" si="140"/>
        <v>2</v>
      </c>
      <c r="Q2962" t="s">
        <v>33</v>
      </c>
    </row>
    <row r="2963" spans="1:17" x14ac:dyDescent="0.3">
      <c r="A2963" t="s">
        <v>4066</v>
      </c>
      <c r="B2963" s="6">
        <v>44938</v>
      </c>
      <c r="C2963" s="6" t="str">
        <f t="shared" si="138"/>
        <v>Jan</v>
      </c>
      <c r="D2963" t="s">
        <v>25</v>
      </c>
      <c r="E2963" t="s">
        <v>50</v>
      </c>
      <c r="F2963" t="s">
        <v>182</v>
      </c>
      <c r="G2963">
        <v>8</v>
      </c>
      <c r="H2963" s="7">
        <v>152.94</v>
      </c>
      <c r="I2963" t="s">
        <v>64</v>
      </c>
      <c r="J2963" t="s">
        <v>19</v>
      </c>
      <c r="K2963">
        <v>20</v>
      </c>
      <c r="L2963" s="7">
        <f t="shared" si="139"/>
        <v>1223.52</v>
      </c>
      <c r="M2963" s="7"/>
      <c r="O2963">
        <f t="shared" si="140"/>
        <v>2</v>
      </c>
      <c r="Q2963" t="s">
        <v>65</v>
      </c>
    </row>
    <row r="2964" spans="1:17" x14ac:dyDescent="0.3">
      <c r="A2964" t="s">
        <v>4067</v>
      </c>
      <c r="B2964" s="6">
        <v>45050</v>
      </c>
      <c r="C2964" s="6" t="str">
        <f t="shared" si="138"/>
        <v>May</v>
      </c>
      <c r="D2964" t="s">
        <v>44</v>
      </c>
      <c r="E2964" t="s">
        <v>31</v>
      </c>
      <c r="F2964" t="s">
        <v>151</v>
      </c>
      <c r="G2964">
        <v>6</v>
      </c>
      <c r="H2964" s="7">
        <v>100.53</v>
      </c>
      <c r="I2964" t="s">
        <v>103</v>
      </c>
      <c r="J2964" t="s">
        <v>22</v>
      </c>
      <c r="K2964">
        <v>5</v>
      </c>
      <c r="L2964" s="7">
        <f t="shared" si="139"/>
        <v>603.18000000000006</v>
      </c>
      <c r="M2964" s="7"/>
      <c r="O2964">
        <f t="shared" si="140"/>
        <v>2</v>
      </c>
      <c r="Q2964" t="s">
        <v>104</v>
      </c>
    </row>
    <row r="2965" spans="1:17" x14ac:dyDescent="0.3">
      <c r="A2965" t="s">
        <v>4068</v>
      </c>
      <c r="B2965" s="6">
        <v>44948</v>
      </c>
      <c r="C2965" s="6" t="str">
        <f t="shared" si="138"/>
        <v>Jan</v>
      </c>
      <c r="D2965" t="s">
        <v>1355</v>
      </c>
      <c r="E2965" t="s">
        <v>19</v>
      </c>
      <c r="F2965" t="s">
        <v>646</v>
      </c>
      <c r="G2965">
        <v>4</v>
      </c>
      <c r="H2965" s="7">
        <v>62.51</v>
      </c>
      <c r="I2965" t="s">
        <v>32</v>
      </c>
      <c r="J2965" t="s">
        <v>42</v>
      </c>
      <c r="K2965">
        <v>10</v>
      </c>
      <c r="L2965" s="7">
        <f t="shared" si="139"/>
        <v>250.04</v>
      </c>
      <c r="M2965" s="7"/>
      <c r="O2965">
        <f t="shared" si="140"/>
        <v>2</v>
      </c>
      <c r="Q2965" t="s">
        <v>33</v>
      </c>
    </row>
    <row r="2966" spans="1:17" x14ac:dyDescent="0.3">
      <c r="A2966" t="s">
        <v>4069</v>
      </c>
      <c r="B2966" s="6">
        <v>45043</v>
      </c>
      <c r="C2966" s="6" t="str">
        <f t="shared" si="138"/>
        <v>Apr</v>
      </c>
      <c r="D2966" t="s">
        <v>2474</v>
      </c>
      <c r="E2966" t="s">
        <v>50</v>
      </c>
      <c r="F2966" t="s">
        <v>201</v>
      </c>
      <c r="G2966">
        <v>7</v>
      </c>
      <c r="H2966" s="7">
        <v>310.05</v>
      </c>
      <c r="I2966" t="s">
        <v>32</v>
      </c>
      <c r="J2966" t="s">
        <v>28</v>
      </c>
      <c r="K2966">
        <v>0</v>
      </c>
      <c r="L2966" s="7">
        <f t="shared" si="139"/>
        <v>2170.35</v>
      </c>
      <c r="M2966" s="7"/>
      <c r="O2966">
        <f t="shared" si="140"/>
        <v>2</v>
      </c>
      <c r="Q2966" t="s">
        <v>33</v>
      </c>
    </row>
    <row r="2967" spans="1:17" x14ac:dyDescent="0.3">
      <c r="A2967" t="s">
        <v>4070</v>
      </c>
      <c r="B2967" s="6">
        <v>45242</v>
      </c>
      <c r="C2967" s="6" t="str">
        <f t="shared" si="138"/>
        <v>Nov</v>
      </c>
      <c r="D2967" t="s">
        <v>710</v>
      </c>
      <c r="E2967" t="s">
        <v>36</v>
      </c>
      <c r="F2967" t="s">
        <v>1023</v>
      </c>
      <c r="G2967">
        <v>5</v>
      </c>
      <c r="H2967" s="7">
        <v>224.71</v>
      </c>
      <c r="I2967" t="s">
        <v>103</v>
      </c>
      <c r="J2967" t="s">
        <v>87</v>
      </c>
      <c r="K2967">
        <v>10</v>
      </c>
      <c r="L2967" s="7">
        <f t="shared" si="139"/>
        <v>1123.55</v>
      </c>
      <c r="M2967" s="7"/>
      <c r="O2967">
        <f t="shared" si="140"/>
        <v>2</v>
      </c>
      <c r="Q2967" t="s">
        <v>104</v>
      </c>
    </row>
    <row r="2968" spans="1:17" x14ac:dyDescent="0.3">
      <c r="A2968" t="s">
        <v>4071</v>
      </c>
      <c r="B2968" s="6">
        <v>45212</v>
      </c>
      <c r="C2968" s="6" t="str">
        <f t="shared" si="138"/>
        <v>Oct</v>
      </c>
      <c r="D2968" t="s">
        <v>1152</v>
      </c>
      <c r="E2968" t="s">
        <v>26</v>
      </c>
      <c r="F2968" t="s">
        <v>308</v>
      </c>
      <c r="G2968">
        <v>2</v>
      </c>
      <c r="H2968" s="7">
        <v>98.07</v>
      </c>
      <c r="I2968" t="s">
        <v>21</v>
      </c>
      <c r="J2968" t="s">
        <v>28</v>
      </c>
      <c r="K2968">
        <v>10</v>
      </c>
      <c r="L2968" s="7">
        <f t="shared" si="139"/>
        <v>196.14</v>
      </c>
      <c r="M2968" s="7"/>
      <c r="O2968">
        <f t="shared" si="140"/>
        <v>2</v>
      </c>
      <c r="Q2968" t="s">
        <v>23</v>
      </c>
    </row>
    <row r="2969" spans="1:17" x14ac:dyDescent="0.3">
      <c r="A2969" t="s">
        <v>4072</v>
      </c>
      <c r="B2969" s="6">
        <v>45155</v>
      </c>
      <c r="C2969" s="6" t="str">
        <f t="shared" si="138"/>
        <v>Aug</v>
      </c>
      <c r="D2969" t="s">
        <v>4073</v>
      </c>
      <c r="E2969" t="s">
        <v>62</v>
      </c>
      <c r="F2969" t="s">
        <v>372</v>
      </c>
      <c r="G2969">
        <v>7</v>
      </c>
      <c r="H2969" s="7">
        <v>328.3</v>
      </c>
      <c r="I2969" t="s">
        <v>46</v>
      </c>
      <c r="J2969" t="s">
        <v>42</v>
      </c>
      <c r="K2969">
        <v>20</v>
      </c>
      <c r="L2969" s="7">
        <f t="shared" si="139"/>
        <v>2298.1</v>
      </c>
      <c r="M2969" s="7"/>
      <c r="O2969">
        <f t="shared" si="140"/>
        <v>2</v>
      </c>
      <c r="Q2969" t="s">
        <v>47</v>
      </c>
    </row>
    <row r="2970" spans="1:17" x14ac:dyDescent="0.3">
      <c r="A2970" t="s">
        <v>4074</v>
      </c>
      <c r="B2970" s="6">
        <v>45078</v>
      </c>
      <c r="C2970" s="6" t="str">
        <f t="shared" si="138"/>
        <v>Jun</v>
      </c>
      <c r="D2970" t="s">
        <v>635</v>
      </c>
      <c r="E2970" t="s">
        <v>62</v>
      </c>
      <c r="F2970" t="s">
        <v>1117</v>
      </c>
      <c r="G2970">
        <v>5</v>
      </c>
      <c r="H2970" s="7">
        <v>78.5</v>
      </c>
      <c r="I2970" t="s">
        <v>32</v>
      </c>
      <c r="J2970" t="s">
        <v>19</v>
      </c>
      <c r="K2970">
        <v>0</v>
      </c>
      <c r="L2970" s="7">
        <f t="shared" si="139"/>
        <v>392.5</v>
      </c>
      <c r="M2970" s="7"/>
      <c r="O2970">
        <f t="shared" si="140"/>
        <v>2</v>
      </c>
      <c r="Q2970" t="s">
        <v>33</v>
      </c>
    </row>
    <row r="2971" spans="1:17" x14ac:dyDescent="0.3">
      <c r="A2971" t="s">
        <v>4075</v>
      </c>
      <c r="B2971" s="6">
        <v>45019</v>
      </c>
      <c r="C2971" s="6" t="str">
        <f t="shared" si="138"/>
        <v>Apr</v>
      </c>
      <c r="D2971" t="s">
        <v>2268</v>
      </c>
      <c r="E2971" t="s">
        <v>26</v>
      </c>
      <c r="F2971" t="s">
        <v>1206</v>
      </c>
      <c r="G2971">
        <v>2</v>
      </c>
      <c r="H2971" s="7">
        <v>279.38</v>
      </c>
      <c r="I2971" t="s">
        <v>46</v>
      </c>
      <c r="J2971" t="s">
        <v>28</v>
      </c>
      <c r="K2971">
        <v>10</v>
      </c>
      <c r="L2971" s="7">
        <f t="shared" si="139"/>
        <v>558.76</v>
      </c>
      <c r="M2971" s="7"/>
      <c r="O2971">
        <f t="shared" si="140"/>
        <v>2</v>
      </c>
      <c r="Q2971" t="s">
        <v>47</v>
      </c>
    </row>
    <row r="2972" spans="1:17" x14ac:dyDescent="0.3">
      <c r="A2972" t="s">
        <v>4076</v>
      </c>
      <c r="B2972" s="6">
        <v>45213</v>
      </c>
      <c r="C2972" s="6" t="str">
        <f t="shared" si="138"/>
        <v>Oct</v>
      </c>
      <c r="D2972" t="s">
        <v>1779</v>
      </c>
      <c r="E2972" t="s">
        <v>36</v>
      </c>
      <c r="F2972" t="s">
        <v>749</v>
      </c>
      <c r="G2972">
        <v>8</v>
      </c>
      <c r="H2972" s="7">
        <v>265.94</v>
      </c>
      <c r="I2972" t="s">
        <v>64</v>
      </c>
      <c r="J2972" t="s">
        <v>22</v>
      </c>
      <c r="K2972">
        <v>20</v>
      </c>
      <c r="L2972" s="7">
        <f t="shared" si="139"/>
        <v>2127.52</v>
      </c>
      <c r="M2972" s="7"/>
      <c r="O2972">
        <f t="shared" si="140"/>
        <v>2</v>
      </c>
      <c r="Q2972" t="s">
        <v>65</v>
      </c>
    </row>
    <row r="2973" spans="1:17" x14ac:dyDescent="0.3">
      <c r="A2973" t="s">
        <v>4077</v>
      </c>
      <c r="B2973" s="6">
        <v>45288</v>
      </c>
      <c r="C2973" s="6" t="str">
        <f t="shared" si="138"/>
        <v>Dec</v>
      </c>
      <c r="D2973" t="s">
        <v>3766</v>
      </c>
      <c r="E2973" t="s">
        <v>19</v>
      </c>
      <c r="F2973" t="s">
        <v>412</v>
      </c>
      <c r="G2973">
        <v>2</v>
      </c>
      <c r="H2973" s="7">
        <v>368.44</v>
      </c>
      <c r="I2973" t="s">
        <v>64</v>
      </c>
      <c r="J2973" t="s">
        <v>42</v>
      </c>
      <c r="K2973">
        <v>5</v>
      </c>
      <c r="L2973" s="7">
        <f t="shared" si="139"/>
        <v>736.88</v>
      </c>
      <c r="M2973" s="7"/>
      <c r="O2973">
        <f t="shared" si="140"/>
        <v>2</v>
      </c>
      <c r="Q2973" t="s">
        <v>65</v>
      </c>
    </row>
    <row r="2974" spans="1:17" x14ac:dyDescent="0.3">
      <c r="A2974" t="s">
        <v>4078</v>
      </c>
      <c r="B2974" s="6">
        <v>45190</v>
      </c>
      <c r="C2974" s="6" t="str">
        <f t="shared" si="138"/>
        <v>Sep</v>
      </c>
      <c r="D2974" t="s">
        <v>3751</v>
      </c>
      <c r="E2974" t="s">
        <v>36</v>
      </c>
      <c r="F2974" t="s">
        <v>474</v>
      </c>
      <c r="G2974">
        <v>9</v>
      </c>
      <c r="H2974" s="7">
        <v>252.16</v>
      </c>
      <c r="I2974" t="s">
        <v>46</v>
      </c>
      <c r="J2974" t="s">
        <v>87</v>
      </c>
      <c r="K2974">
        <v>20</v>
      </c>
      <c r="L2974" s="7">
        <f t="shared" si="139"/>
        <v>2269.44</v>
      </c>
      <c r="M2974" s="7"/>
      <c r="O2974">
        <f t="shared" si="140"/>
        <v>2</v>
      </c>
      <c r="Q2974" t="s">
        <v>47</v>
      </c>
    </row>
    <row r="2975" spans="1:17" x14ac:dyDescent="0.3">
      <c r="A2975" t="s">
        <v>4079</v>
      </c>
      <c r="B2975" s="6">
        <v>44940</v>
      </c>
      <c r="C2975" s="6" t="str">
        <f t="shared" si="138"/>
        <v>Jan</v>
      </c>
      <c r="D2975" t="s">
        <v>1916</v>
      </c>
      <c r="E2975" t="s">
        <v>50</v>
      </c>
      <c r="F2975" t="s">
        <v>99</v>
      </c>
      <c r="G2975">
        <v>1</v>
      </c>
      <c r="H2975" s="7">
        <v>444.5</v>
      </c>
      <c r="I2975" t="s">
        <v>103</v>
      </c>
      <c r="J2975" t="s">
        <v>28</v>
      </c>
      <c r="K2975">
        <v>5</v>
      </c>
      <c r="L2975" s="7">
        <f t="shared" si="139"/>
        <v>444.5</v>
      </c>
      <c r="M2975" s="7"/>
      <c r="O2975">
        <f t="shared" si="140"/>
        <v>2</v>
      </c>
      <c r="Q2975" t="s">
        <v>104</v>
      </c>
    </row>
    <row r="2976" spans="1:17" x14ac:dyDescent="0.3">
      <c r="A2976" t="s">
        <v>4080</v>
      </c>
      <c r="B2976" s="6">
        <v>45108</v>
      </c>
      <c r="C2976" s="6" t="str">
        <f t="shared" si="138"/>
        <v>Jul</v>
      </c>
      <c r="D2976" t="s">
        <v>70</v>
      </c>
      <c r="E2976" t="s">
        <v>62</v>
      </c>
      <c r="F2976" t="s">
        <v>378</v>
      </c>
      <c r="G2976">
        <v>9</v>
      </c>
      <c r="H2976" s="7">
        <v>352.98</v>
      </c>
      <c r="I2976" t="s">
        <v>64</v>
      </c>
      <c r="J2976" t="s">
        <v>72</v>
      </c>
      <c r="K2976">
        <v>0</v>
      </c>
      <c r="L2976" s="7">
        <f t="shared" si="139"/>
        <v>3176.82</v>
      </c>
      <c r="M2976" s="7"/>
      <c r="O2976">
        <f t="shared" si="140"/>
        <v>4</v>
      </c>
      <c r="Q2976" t="s">
        <v>65</v>
      </c>
    </row>
    <row r="2977" spans="1:17" x14ac:dyDescent="0.3">
      <c r="A2977" t="s">
        <v>4081</v>
      </c>
      <c r="B2977" s="6">
        <v>44973</v>
      </c>
      <c r="C2977" s="6" t="str">
        <f t="shared" si="138"/>
        <v>Feb</v>
      </c>
      <c r="D2977" t="s">
        <v>565</v>
      </c>
      <c r="E2977" t="s">
        <v>36</v>
      </c>
      <c r="F2977" t="s">
        <v>54</v>
      </c>
      <c r="G2977">
        <v>1</v>
      </c>
      <c r="H2977" s="7">
        <v>111.98</v>
      </c>
      <c r="I2977" t="s">
        <v>19</v>
      </c>
      <c r="J2977" t="s">
        <v>19</v>
      </c>
      <c r="K2977">
        <v>20</v>
      </c>
      <c r="L2977" s="7">
        <f t="shared" si="139"/>
        <v>111.98</v>
      </c>
      <c r="M2977" s="7"/>
      <c r="O2977">
        <f t="shared" si="140"/>
        <v>2</v>
      </c>
      <c r="Q2977" t="s">
        <v>19</v>
      </c>
    </row>
    <row r="2978" spans="1:17" x14ac:dyDescent="0.3">
      <c r="A2978" t="s">
        <v>4082</v>
      </c>
      <c r="B2978" s="6">
        <v>45166</v>
      </c>
      <c r="C2978" s="6" t="str">
        <f t="shared" si="138"/>
        <v>Aug</v>
      </c>
      <c r="D2978" t="s">
        <v>454</v>
      </c>
      <c r="E2978" t="s">
        <v>26</v>
      </c>
      <c r="F2978" t="s">
        <v>81</v>
      </c>
      <c r="G2978">
        <v>2</v>
      </c>
      <c r="H2978" s="7">
        <v>95.79</v>
      </c>
      <c r="I2978" t="s">
        <v>46</v>
      </c>
      <c r="J2978" t="s">
        <v>42</v>
      </c>
      <c r="K2978">
        <v>15</v>
      </c>
      <c r="L2978" s="7">
        <f t="shared" si="139"/>
        <v>191.58</v>
      </c>
      <c r="M2978" s="7"/>
      <c r="O2978">
        <f t="shared" si="140"/>
        <v>2</v>
      </c>
      <c r="Q2978" t="s">
        <v>47</v>
      </c>
    </row>
    <row r="2979" spans="1:17" x14ac:dyDescent="0.3">
      <c r="A2979" t="s">
        <v>4083</v>
      </c>
      <c r="B2979" s="6">
        <v>45018</v>
      </c>
      <c r="C2979" s="6" t="str">
        <f t="shared" si="138"/>
        <v>Apr</v>
      </c>
      <c r="D2979" t="s">
        <v>1020</v>
      </c>
      <c r="E2979" t="s">
        <v>31</v>
      </c>
      <c r="F2979" t="s">
        <v>415</v>
      </c>
      <c r="G2979">
        <v>6</v>
      </c>
      <c r="H2979" s="7">
        <v>218.67</v>
      </c>
      <c r="I2979" t="s">
        <v>103</v>
      </c>
      <c r="J2979" t="s">
        <v>19</v>
      </c>
      <c r="K2979">
        <v>10</v>
      </c>
      <c r="L2979" s="7">
        <f t="shared" si="139"/>
        <v>1312.02</v>
      </c>
      <c r="M2979" s="7"/>
      <c r="O2979">
        <f t="shared" si="140"/>
        <v>2</v>
      </c>
      <c r="Q2979" t="s">
        <v>104</v>
      </c>
    </row>
    <row r="2980" spans="1:17" x14ac:dyDescent="0.3">
      <c r="A2980" t="s">
        <v>4084</v>
      </c>
      <c r="B2980" s="6">
        <v>45242</v>
      </c>
      <c r="C2980" s="6" t="str">
        <f t="shared" si="138"/>
        <v>Nov</v>
      </c>
      <c r="D2980" t="s">
        <v>1859</v>
      </c>
      <c r="E2980" t="s">
        <v>19</v>
      </c>
      <c r="F2980" t="s">
        <v>1117</v>
      </c>
      <c r="G2980">
        <v>6</v>
      </c>
      <c r="H2980" s="7">
        <v>409.69</v>
      </c>
      <c r="I2980" t="s">
        <v>46</v>
      </c>
      <c r="J2980" t="s">
        <v>42</v>
      </c>
      <c r="K2980">
        <v>15</v>
      </c>
      <c r="L2980" s="7">
        <f t="shared" si="139"/>
        <v>2458.14</v>
      </c>
      <c r="M2980" s="7"/>
      <c r="O2980">
        <f t="shared" si="140"/>
        <v>2</v>
      </c>
      <c r="Q2980" t="s">
        <v>47</v>
      </c>
    </row>
    <row r="2981" spans="1:17" x14ac:dyDescent="0.3">
      <c r="A2981" t="s">
        <v>4085</v>
      </c>
      <c r="B2981" s="6">
        <v>45053</v>
      </c>
      <c r="C2981" s="6" t="str">
        <f t="shared" si="138"/>
        <v>May</v>
      </c>
      <c r="D2981" t="s">
        <v>764</v>
      </c>
      <c r="E2981" t="s">
        <v>19</v>
      </c>
      <c r="F2981" t="s">
        <v>944</v>
      </c>
      <c r="G2981">
        <v>1</v>
      </c>
      <c r="H2981" s="7">
        <v>422.26</v>
      </c>
      <c r="I2981" t="s">
        <v>103</v>
      </c>
      <c r="J2981" t="s">
        <v>42</v>
      </c>
      <c r="K2981">
        <v>15</v>
      </c>
      <c r="L2981" s="7">
        <f t="shared" si="139"/>
        <v>422.26</v>
      </c>
      <c r="M2981" s="7"/>
      <c r="O2981">
        <f t="shared" si="140"/>
        <v>2</v>
      </c>
      <c r="Q2981" t="s">
        <v>104</v>
      </c>
    </row>
    <row r="2982" spans="1:17" x14ac:dyDescent="0.3">
      <c r="A2982" t="s">
        <v>4086</v>
      </c>
      <c r="B2982" s="6">
        <v>45136</v>
      </c>
      <c r="C2982" s="6" t="str">
        <f t="shared" si="138"/>
        <v>Jul</v>
      </c>
      <c r="D2982" t="s">
        <v>817</v>
      </c>
      <c r="E2982" t="s">
        <v>40</v>
      </c>
      <c r="F2982" t="s">
        <v>217</v>
      </c>
      <c r="G2982">
        <v>7</v>
      </c>
      <c r="H2982" s="7">
        <v>262.63</v>
      </c>
      <c r="I2982" t="s">
        <v>19</v>
      </c>
      <c r="J2982" t="s">
        <v>87</v>
      </c>
      <c r="K2982">
        <v>15</v>
      </c>
      <c r="L2982" s="7">
        <f t="shared" si="139"/>
        <v>1838.4099999999999</v>
      </c>
      <c r="M2982" s="7"/>
      <c r="O2982">
        <f t="shared" si="140"/>
        <v>2</v>
      </c>
      <c r="Q2982" t="s">
        <v>19</v>
      </c>
    </row>
    <row r="2983" spans="1:17" x14ac:dyDescent="0.3">
      <c r="A2983" t="s">
        <v>4087</v>
      </c>
      <c r="B2983" s="6">
        <v>45236</v>
      </c>
      <c r="C2983" s="6" t="str">
        <f t="shared" si="138"/>
        <v>Nov</v>
      </c>
      <c r="D2983" t="s">
        <v>600</v>
      </c>
      <c r="E2983" t="s">
        <v>36</v>
      </c>
      <c r="F2983" t="s">
        <v>347</v>
      </c>
      <c r="G2983">
        <v>8</v>
      </c>
      <c r="H2983" s="7">
        <v>431.1</v>
      </c>
      <c r="I2983" t="s">
        <v>32</v>
      </c>
      <c r="J2983" t="s">
        <v>72</v>
      </c>
      <c r="K2983">
        <v>10</v>
      </c>
      <c r="L2983" s="7">
        <f t="shared" si="139"/>
        <v>3448.8</v>
      </c>
      <c r="M2983" s="7"/>
      <c r="O2983">
        <f t="shared" si="140"/>
        <v>4</v>
      </c>
      <c r="Q2983" t="s">
        <v>33</v>
      </c>
    </row>
    <row r="2984" spans="1:17" x14ac:dyDescent="0.3">
      <c r="A2984" t="s">
        <v>4088</v>
      </c>
      <c r="B2984" s="6">
        <v>45268</v>
      </c>
      <c r="C2984" s="6" t="str">
        <f t="shared" si="138"/>
        <v>Dec</v>
      </c>
      <c r="D2984" t="s">
        <v>555</v>
      </c>
      <c r="E2984" t="s">
        <v>26</v>
      </c>
      <c r="F2984" t="s">
        <v>208</v>
      </c>
      <c r="G2984">
        <v>2</v>
      </c>
      <c r="H2984" s="7">
        <v>7.69</v>
      </c>
      <c r="I2984" t="s">
        <v>19</v>
      </c>
      <c r="J2984" t="s">
        <v>87</v>
      </c>
      <c r="K2984">
        <v>15</v>
      </c>
      <c r="L2984" s="7">
        <f t="shared" si="139"/>
        <v>15.38</v>
      </c>
      <c r="M2984" s="7"/>
      <c r="O2984">
        <f t="shared" si="140"/>
        <v>2</v>
      </c>
      <c r="Q2984" t="s">
        <v>19</v>
      </c>
    </row>
    <row r="2985" spans="1:17" x14ac:dyDescent="0.3">
      <c r="A2985" t="s">
        <v>4089</v>
      </c>
      <c r="B2985" s="6">
        <v>45280</v>
      </c>
      <c r="C2985" s="6" t="str">
        <f t="shared" si="138"/>
        <v>Dec</v>
      </c>
      <c r="D2985" t="s">
        <v>213</v>
      </c>
      <c r="E2985" t="s">
        <v>19</v>
      </c>
      <c r="F2985" t="s">
        <v>81</v>
      </c>
      <c r="G2985">
        <v>8</v>
      </c>
      <c r="H2985" s="7">
        <v>22.41</v>
      </c>
      <c r="I2985" t="s">
        <v>21</v>
      </c>
      <c r="J2985" t="s">
        <v>19</v>
      </c>
      <c r="K2985">
        <v>5</v>
      </c>
      <c r="L2985" s="7">
        <f t="shared" si="139"/>
        <v>179.28</v>
      </c>
      <c r="M2985" s="7"/>
      <c r="O2985">
        <f t="shared" si="140"/>
        <v>2</v>
      </c>
      <c r="Q2985" t="s">
        <v>23</v>
      </c>
    </row>
    <row r="2986" spans="1:17" x14ac:dyDescent="0.3">
      <c r="A2986" t="s">
        <v>4090</v>
      </c>
      <c r="B2986" s="6">
        <v>44986</v>
      </c>
      <c r="C2986" s="6" t="str">
        <f t="shared" si="138"/>
        <v>Mar</v>
      </c>
      <c r="D2986" t="s">
        <v>2057</v>
      </c>
      <c r="E2986" t="s">
        <v>36</v>
      </c>
      <c r="F2986" t="s">
        <v>1325</v>
      </c>
      <c r="G2986">
        <v>9</v>
      </c>
      <c r="H2986" s="7">
        <v>456.35</v>
      </c>
      <c r="I2986" t="s">
        <v>64</v>
      </c>
      <c r="J2986" t="s">
        <v>87</v>
      </c>
      <c r="K2986">
        <v>20</v>
      </c>
      <c r="L2986" s="7">
        <f t="shared" si="139"/>
        <v>4107.1500000000005</v>
      </c>
      <c r="M2986" s="7"/>
      <c r="O2986">
        <f t="shared" si="140"/>
        <v>5</v>
      </c>
      <c r="Q2986" t="s">
        <v>65</v>
      </c>
    </row>
    <row r="2987" spans="1:17" x14ac:dyDescent="0.3">
      <c r="A2987" t="s">
        <v>4091</v>
      </c>
      <c r="B2987" s="6">
        <v>44964</v>
      </c>
      <c r="C2987" s="6" t="str">
        <f t="shared" si="138"/>
        <v>Feb</v>
      </c>
      <c r="D2987" t="s">
        <v>830</v>
      </c>
      <c r="E2987" t="s">
        <v>36</v>
      </c>
      <c r="F2987" t="s">
        <v>1282</v>
      </c>
      <c r="G2987">
        <v>6</v>
      </c>
      <c r="H2987" s="7">
        <v>388.79</v>
      </c>
      <c r="I2987" t="s">
        <v>103</v>
      </c>
      <c r="J2987" t="s">
        <v>42</v>
      </c>
      <c r="K2987">
        <v>0</v>
      </c>
      <c r="L2987" s="7">
        <f t="shared" si="139"/>
        <v>2332.7400000000002</v>
      </c>
      <c r="M2987" s="7"/>
      <c r="O2987">
        <f t="shared" si="140"/>
        <v>2</v>
      </c>
      <c r="Q2987" t="s">
        <v>104</v>
      </c>
    </row>
    <row r="2988" spans="1:17" x14ac:dyDescent="0.3">
      <c r="A2988" t="s">
        <v>4092</v>
      </c>
      <c r="B2988" s="6">
        <v>45092</v>
      </c>
      <c r="C2988" s="6" t="str">
        <f t="shared" si="138"/>
        <v>Jun</v>
      </c>
      <c r="D2988" t="s">
        <v>1630</v>
      </c>
      <c r="E2988" t="s">
        <v>40</v>
      </c>
      <c r="F2988" t="s">
        <v>378</v>
      </c>
      <c r="G2988">
        <v>5</v>
      </c>
      <c r="H2988" s="7">
        <v>228.1</v>
      </c>
      <c r="I2988" t="s">
        <v>103</v>
      </c>
      <c r="J2988" t="s">
        <v>22</v>
      </c>
      <c r="K2988">
        <v>15</v>
      </c>
      <c r="L2988" s="7">
        <f t="shared" si="139"/>
        <v>1140.5</v>
      </c>
      <c r="M2988" s="7"/>
      <c r="O2988">
        <f t="shared" si="140"/>
        <v>2</v>
      </c>
      <c r="Q2988" t="s">
        <v>104</v>
      </c>
    </row>
    <row r="2989" spans="1:17" x14ac:dyDescent="0.3">
      <c r="A2989" t="s">
        <v>4093</v>
      </c>
      <c r="B2989" s="6">
        <v>45183</v>
      </c>
      <c r="C2989" s="6" t="str">
        <f t="shared" si="138"/>
        <v>Sep</v>
      </c>
      <c r="D2989" t="s">
        <v>2577</v>
      </c>
      <c r="E2989" t="s">
        <v>26</v>
      </c>
      <c r="F2989" t="s">
        <v>20</v>
      </c>
      <c r="G2989">
        <v>9</v>
      </c>
      <c r="H2989" s="7">
        <v>378.04</v>
      </c>
      <c r="I2989" t="s">
        <v>21</v>
      </c>
      <c r="J2989" t="s">
        <v>28</v>
      </c>
      <c r="K2989">
        <v>15</v>
      </c>
      <c r="L2989" s="7">
        <f t="shared" si="139"/>
        <v>3402.36</v>
      </c>
      <c r="M2989" s="7"/>
      <c r="O2989">
        <f t="shared" si="140"/>
        <v>4</v>
      </c>
      <c r="Q2989" t="s">
        <v>23</v>
      </c>
    </row>
    <row r="2990" spans="1:17" x14ac:dyDescent="0.3">
      <c r="A2990" t="s">
        <v>4094</v>
      </c>
      <c r="B2990" s="6">
        <v>45004</v>
      </c>
      <c r="C2990" s="6" t="str">
        <f t="shared" si="138"/>
        <v>Mar</v>
      </c>
      <c r="D2990" t="s">
        <v>1396</v>
      </c>
      <c r="E2990" t="s">
        <v>26</v>
      </c>
      <c r="F2990" t="s">
        <v>807</v>
      </c>
      <c r="G2990">
        <v>9</v>
      </c>
      <c r="H2990" s="7">
        <v>478.04</v>
      </c>
      <c r="I2990" t="s">
        <v>32</v>
      </c>
      <c r="J2990" t="s">
        <v>19</v>
      </c>
      <c r="K2990">
        <v>0</v>
      </c>
      <c r="L2990" s="7">
        <f t="shared" si="139"/>
        <v>4302.3600000000006</v>
      </c>
      <c r="M2990" s="7"/>
      <c r="O2990">
        <f t="shared" si="140"/>
        <v>5</v>
      </c>
      <c r="Q2990" t="s">
        <v>33</v>
      </c>
    </row>
    <row r="2991" spans="1:17" x14ac:dyDescent="0.3">
      <c r="A2991" t="s">
        <v>4095</v>
      </c>
      <c r="B2991" s="6">
        <v>45255</v>
      </c>
      <c r="C2991" s="6" t="str">
        <f t="shared" si="138"/>
        <v>Nov</v>
      </c>
      <c r="D2991" t="s">
        <v>2277</v>
      </c>
      <c r="E2991" t="s">
        <v>26</v>
      </c>
      <c r="F2991" t="s">
        <v>359</v>
      </c>
      <c r="G2991">
        <v>5</v>
      </c>
      <c r="H2991" s="7">
        <v>387.18</v>
      </c>
      <c r="I2991" t="s">
        <v>19</v>
      </c>
      <c r="J2991" t="s">
        <v>42</v>
      </c>
      <c r="K2991">
        <v>0</v>
      </c>
      <c r="L2991" s="7">
        <f t="shared" si="139"/>
        <v>1935.9</v>
      </c>
      <c r="M2991" s="7"/>
      <c r="O2991">
        <f t="shared" si="140"/>
        <v>2</v>
      </c>
      <c r="Q2991" t="s">
        <v>19</v>
      </c>
    </row>
    <row r="2992" spans="1:17" x14ac:dyDescent="0.3">
      <c r="A2992" t="s">
        <v>4096</v>
      </c>
      <c r="B2992" s="6">
        <v>45114</v>
      </c>
      <c r="C2992" s="6" t="str">
        <f t="shared" si="138"/>
        <v>Jul</v>
      </c>
      <c r="D2992" t="s">
        <v>2012</v>
      </c>
      <c r="E2992" t="s">
        <v>19</v>
      </c>
      <c r="F2992" t="s">
        <v>369</v>
      </c>
      <c r="G2992">
        <v>3</v>
      </c>
      <c r="H2992" s="7">
        <v>421.97</v>
      </c>
      <c r="I2992" t="s">
        <v>64</v>
      </c>
      <c r="J2992" t="s">
        <v>19</v>
      </c>
      <c r="K2992">
        <v>15</v>
      </c>
      <c r="L2992" s="7">
        <f t="shared" si="139"/>
        <v>1265.9100000000001</v>
      </c>
      <c r="M2992" s="7"/>
      <c r="O2992">
        <f t="shared" si="140"/>
        <v>2</v>
      </c>
      <c r="Q2992" t="s">
        <v>65</v>
      </c>
    </row>
    <row r="2993" spans="1:17" x14ac:dyDescent="0.3">
      <c r="A2993" t="s">
        <v>4097</v>
      </c>
      <c r="B2993" s="6">
        <v>45061</v>
      </c>
      <c r="C2993" s="6" t="str">
        <f t="shared" si="138"/>
        <v>May</v>
      </c>
      <c r="D2993" t="s">
        <v>863</v>
      </c>
      <c r="E2993" t="s">
        <v>19</v>
      </c>
      <c r="F2993" t="s">
        <v>224</v>
      </c>
      <c r="G2993">
        <v>9</v>
      </c>
      <c r="H2993" s="7">
        <v>381.5</v>
      </c>
      <c r="I2993" t="s">
        <v>32</v>
      </c>
      <c r="J2993" t="s">
        <v>22</v>
      </c>
      <c r="K2993">
        <v>5</v>
      </c>
      <c r="L2993" s="7">
        <f t="shared" si="139"/>
        <v>3433.5</v>
      </c>
      <c r="M2993" s="7"/>
      <c r="O2993">
        <f t="shared" si="140"/>
        <v>4</v>
      </c>
      <c r="Q2993" t="s">
        <v>33</v>
      </c>
    </row>
    <row r="2994" spans="1:17" x14ac:dyDescent="0.3">
      <c r="A2994" t="s">
        <v>4098</v>
      </c>
      <c r="B2994" s="6">
        <v>45285</v>
      </c>
      <c r="C2994" s="6" t="str">
        <f t="shared" si="138"/>
        <v>Dec</v>
      </c>
      <c r="D2994" t="s">
        <v>2746</v>
      </c>
      <c r="E2994" t="s">
        <v>36</v>
      </c>
      <c r="F2994" t="s">
        <v>722</v>
      </c>
      <c r="G2994">
        <v>2</v>
      </c>
      <c r="H2994" s="7">
        <v>88.26</v>
      </c>
      <c r="I2994" t="s">
        <v>32</v>
      </c>
      <c r="J2994" t="s">
        <v>19</v>
      </c>
      <c r="K2994">
        <v>0</v>
      </c>
      <c r="L2994" s="7">
        <f t="shared" si="139"/>
        <v>176.52</v>
      </c>
      <c r="M2994" s="7"/>
      <c r="O2994">
        <f t="shared" si="140"/>
        <v>2</v>
      </c>
      <c r="Q2994" t="s">
        <v>33</v>
      </c>
    </row>
    <row r="2995" spans="1:17" x14ac:dyDescent="0.3">
      <c r="A2995" t="s">
        <v>4099</v>
      </c>
      <c r="B2995" s="6">
        <v>44971</v>
      </c>
      <c r="C2995" s="6" t="str">
        <f t="shared" si="138"/>
        <v>Feb</v>
      </c>
      <c r="D2995" t="s">
        <v>1444</v>
      </c>
      <c r="E2995" t="s">
        <v>62</v>
      </c>
      <c r="F2995" t="s">
        <v>71</v>
      </c>
      <c r="G2995">
        <v>4</v>
      </c>
      <c r="H2995" s="7">
        <v>417.62</v>
      </c>
      <c r="I2995" t="s">
        <v>32</v>
      </c>
      <c r="J2995" t="s">
        <v>72</v>
      </c>
      <c r="K2995">
        <v>20</v>
      </c>
      <c r="L2995" s="7">
        <f t="shared" si="139"/>
        <v>1670.48</v>
      </c>
      <c r="M2995" s="7"/>
      <c r="O2995">
        <f t="shared" si="140"/>
        <v>2</v>
      </c>
      <c r="Q2995" t="s">
        <v>33</v>
      </c>
    </row>
    <row r="2996" spans="1:17" x14ac:dyDescent="0.3">
      <c r="A2996" t="s">
        <v>4100</v>
      </c>
      <c r="B2996" s="6">
        <v>45001</v>
      </c>
      <c r="C2996" s="6" t="str">
        <f t="shared" si="138"/>
        <v>Mar</v>
      </c>
      <c r="D2996" t="s">
        <v>1630</v>
      </c>
      <c r="E2996" t="s">
        <v>36</v>
      </c>
      <c r="F2996" t="s">
        <v>145</v>
      </c>
      <c r="G2996">
        <v>4</v>
      </c>
      <c r="H2996" s="7">
        <v>101.58</v>
      </c>
      <c r="I2996" t="s">
        <v>64</v>
      </c>
      <c r="J2996" t="s">
        <v>42</v>
      </c>
      <c r="K2996">
        <v>20</v>
      </c>
      <c r="L2996" s="7">
        <f t="shared" si="139"/>
        <v>406.32</v>
      </c>
      <c r="M2996" s="7"/>
      <c r="O2996">
        <f t="shared" si="140"/>
        <v>2</v>
      </c>
      <c r="Q2996" t="s">
        <v>65</v>
      </c>
    </row>
    <row r="2997" spans="1:17" x14ac:dyDescent="0.3">
      <c r="A2997" t="s">
        <v>4101</v>
      </c>
      <c r="B2997" s="6">
        <v>45113</v>
      </c>
      <c r="C2997" s="6" t="str">
        <f t="shared" si="138"/>
        <v>Jul</v>
      </c>
      <c r="D2997" t="s">
        <v>783</v>
      </c>
      <c r="E2997" t="s">
        <v>19</v>
      </c>
      <c r="F2997" t="s">
        <v>684</v>
      </c>
      <c r="G2997">
        <v>2</v>
      </c>
      <c r="H2997" s="7">
        <v>446.84</v>
      </c>
      <c r="I2997" t="s">
        <v>21</v>
      </c>
      <c r="J2997" t="s">
        <v>72</v>
      </c>
      <c r="K2997">
        <v>5</v>
      </c>
      <c r="L2997" s="7">
        <f t="shared" si="139"/>
        <v>893.68</v>
      </c>
      <c r="M2997" s="7"/>
      <c r="O2997">
        <f t="shared" si="140"/>
        <v>2</v>
      </c>
      <c r="Q2997" t="s">
        <v>23</v>
      </c>
    </row>
    <row r="2998" spans="1:17" x14ac:dyDescent="0.3">
      <c r="A2998" t="s">
        <v>4102</v>
      </c>
      <c r="B2998" s="6">
        <v>45242</v>
      </c>
      <c r="C2998" s="6" t="str">
        <f t="shared" si="138"/>
        <v>Nov</v>
      </c>
      <c r="D2998" t="s">
        <v>753</v>
      </c>
      <c r="E2998" t="s">
        <v>19</v>
      </c>
      <c r="F2998" t="s">
        <v>251</v>
      </c>
      <c r="G2998">
        <v>3</v>
      </c>
      <c r="H2998" s="7">
        <v>232.03</v>
      </c>
      <c r="I2998" t="s">
        <v>64</v>
      </c>
      <c r="J2998" t="s">
        <v>72</v>
      </c>
      <c r="K2998">
        <v>10</v>
      </c>
      <c r="L2998" s="7">
        <f t="shared" si="139"/>
        <v>696.09</v>
      </c>
      <c r="M2998" s="7"/>
      <c r="O2998">
        <f t="shared" si="140"/>
        <v>2</v>
      </c>
      <c r="Q2998" t="s">
        <v>65</v>
      </c>
    </row>
    <row r="2999" spans="1:17" x14ac:dyDescent="0.3">
      <c r="A2999" t="s">
        <v>4103</v>
      </c>
      <c r="B2999" s="6">
        <v>45110</v>
      </c>
      <c r="C2999" s="6" t="str">
        <f t="shared" si="138"/>
        <v>Jul</v>
      </c>
      <c r="D2999" t="s">
        <v>2079</v>
      </c>
      <c r="E2999" t="s">
        <v>31</v>
      </c>
      <c r="F2999" t="s">
        <v>308</v>
      </c>
      <c r="G2999">
        <v>3</v>
      </c>
      <c r="H2999" s="7">
        <v>340.1</v>
      </c>
      <c r="I2999" t="s">
        <v>21</v>
      </c>
      <c r="J2999" t="s">
        <v>72</v>
      </c>
      <c r="K2999">
        <v>10</v>
      </c>
      <c r="L2999" s="7">
        <f t="shared" si="139"/>
        <v>1020.3000000000001</v>
      </c>
      <c r="M2999" s="7"/>
      <c r="O2999">
        <f t="shared" si="140"/>
        <v>2</v>
      </c>
      <c r="Q2999" t="s">
        <v>23</v>
      </c>
    </row>
    <row r="3000" spans="1:17" x14ac:dyDescent="0.3">
      <c r="A3000" t="s">
        <v>4104</v>
      </c>
      <c r="B3000" s="6">
        <v>44999</v>
      </c>
      <c r="C3000" s="6" t="str">
        <f t="shared" si="138"/>
        <v>Mar</v>
      </c>
      <c r="D3000" t="s">
        <v>178</v>
      </c>
      <c r="E3000" t="s">
        <v>26</v>
      </c>
      <c r="F3000" t="s">
        <v>913</v>
      </c>
      <c r="G3000">
        <v>1</v>
      </c>
      <c r="H3000" s="7">
        <v>251.13</v>
      </c>
      <c r="I3000" t="s">
        <v>46</v>
      </c>
      <c r="J3000" t="s">
        <v>72</v>
      </c>
      <c r="K3000">
        <v>5</v>
      </c>
      <c r="L3000" s="7">
        <f t="shared" si="139"/>
        <v>251.13</v>
      </c>
      <c r="M3000" s="7"/>
      <c r="O3000">
        <f t="shared" si="140"/>
        <v>2</v>
      </c>
      <c r="Q3000" t="s">
        <v>47</v>
      </c>
    </row>
    <row r="3001" spans="1:17" x14ac:dyDescent="0.3">
      <c r="A3001" t="s">
        <v>4105</v>
      </c>
      <c r="B3001" s="6">
        <v>45290</v>
      </c>
      <c r="C3001" s="6" t="str">
        <f t="shared" si="138"/>
        <v>Dec</v>
      </c>
      <c r="D3001" t="s">
        <v>1110</v>
      </c>
      <c r="E3001" t="s">
        <v>26</v>
      </c>
      <c r="F3001" t="s">
        <v>1063</v>
      </c>
      <c r="G3001">
        <v>6</v>
      </c>
      <c r="H3001" s="7">
        <v>51.53</v>
      </c>
      <c r="I3001" t="s">
        <v>32</v>
      </c>
      <c r="J3001" t="s">
        <v>42</v>
      </c>
      <c r="K3001">
        <v>15</v>
      </c>
      <c r="L3001" s="7">
        <f t="shared" si="139"/>
        <v>309.18</v>
      </c>
      <c r="M3001" s="7"/>
      <c r="O3001">
        <f t="shared" si="140"/>
        <v>2</v>
      </c>
      <c r="Q3001" t="s">
        <v>33</v>
      </c>
    </row>
    <row r="3002" spans="1:17" x14ac:dyDescent="0.3">
      <c r="A3002" t="s">
        <v>4106</v>
      </c>
      <c r="B3002" s="6">
        <v>44937</v>
      </c>
      <c r="C3002" s="6" t="str">
        <f t="shared" si="138"/>
        <v>Jan</v>
      </c>
      <c r="D3002" t="s">
        <v>1980</v>
      </c>
      <c r="E3002" t="s">
        <v>26</v>
      </c>
      <c r="F3002" t="s">
        <v>423</v>
      </c>
      <c r="G3002">
        <v>8</v>
      </c>
      <c r="H3002" s="7">
        <v>148.91</v>
      </c>
      <c r="I3002" t="s">
        <v>64</v>
      </c>
      <c r="J3002" t="s">
        <v>72</v>
      </c>
      <c r="K3002">
        <v>10</v>
      </c>
      <c r="L3002" s="7">
        <f t="shared" si="139"/>
        <v>1191.28</v>
      </c>
      <c r="M3002" s="7"/>
      <c r="O3002">
        <f t="shared" si="140"/>
        <v>2</v>
      </c>
      <c r="Q3002" t="s">
        <v>65</v>
      </c>
    </row>
    <row r="3003" spans="1:17" x14ac:dyDescent="0.3">
      <c r="A3003" t="s">
        <v>4107</v>
      </c>
      <c r="B3003" s="6">
        <v>45157</v>
      </c>
      <c r="C3003" s="6" t="str">
        <f t="shared" si="138"/>
        <v>Aug</v>
      </c>
      <c r="D3003" t="s">
        <v>1922</v>
      </c>
      <c r="E3003" t="s">
        <v>26</v>
      </c>
      <c r="F3003" t="s">
        <v>642</v>
      </c>
      <c r="G3003">
        <v>3</v>
      </c>
      <c r="H3003" s="7">
        <v>491.95</v>
      </c>
      <c r="I3003" t="s">
        <v>64</v>
      </c>
      <c r="J3003" t="s">
        <v>42</v>
      </c>
      <c r="K3003">
        <v>15</v>
      </c>
      <c r="L3003" s="7">
        <f t="shared" si="139"/>
        <v>1475.85</v>
      </c>
      <c r="M3003" s="7"/>
      <c r="O3003">
        <f t="shared" si="140"/>
        <v>2</v>
      </c>
      <c r="Q3003" t="s">
        <v>65</v>
      </c>
    </row>
    <row r="3004" spans="1:17" x14ac:dyDescent="0.3">
      <c r="A3004" t="s">
        <v>4108</v>
      </c>
      <c r="B3004" s="6">
        <v>45053</v>
      </c>
      <c r="C3004" s="6" t="str">
        <f t="shared" si="138"/>
        <v>May</v>
      </c>
      <c r="D3004" t="s">
        <v>555</v>
      </c>
      <c r="E3004" t="s">
        <v>50</v>
      </c>
      <c r="F3004" t="s">
        <v>1302</v>
      </c>
      <c r="G3004">
        <v>5</v>
      </c>
      <c r="H3004" s="7">
        <v>480.55</v>
      </c>
      <c r="I3004" t="s">
        <v>32</v>
      </c>
      <c r="J3004" t="s">
        <v>28</v>
      </c>
      <c r="K3004">
        <v>20</v>
      </c>
      <c r="L3004" s="7">
        <f t="shared" si="139"/>
        <v>2402.75</v>
      </c>
      <c r="M3004" s="7"/>
      <c r="O3004">
        <f t="shared" si="140"/>
        <v>2</v>
      </c>
      <c r="Q3004" t="s">
        <v>33</v>
      </c>
    </row>
    <row r="3005" spans="1:17" x14ac:dyDescent="0.3">
      <c r="A3005" t="s">
        <v>4109</v>
      </c>
      <c r="B3005" s="6">
        <v>45015</v>
      </c>
      <c r="C3005" s="6" t="str">
        <f t="shared" si="138"/>
        <v>Mar</v>
      </c>
      <c r="D3005" t="s">
        <v>1101</v>
      </c>
      <c r="E3005" t="s">
        <v>19</v>
      </c>
      <c r="F3005" t="s">
        <v>423</v>
      </c>
      <c r="G3005">
        <v>1</v>
      </c>
      <c r="H3005" s="7">
        <v>163.63999999999999</v>
      </c>
      <c r="I3005" t="s">
        <v>103</v>
      </c>
      <c r="J3005" t="s">
        <v>72</v>
      </c>
      <c r="K3005">
        <v>0</v>
      </c>
      <c r="L3005" s="7">
        <f t="shared" si="139"/>
        <v>163.63999999999999</v>
      </c>
      <c r="M3005" s="7"/>
      <c r="O3005">
        <f t="shared" si="140"/>
        <v>2</v>
      </c>
      <c r="Q3005" t="s">
        <v>104</v>
      </c>
    </row>
    <row r="3006" spans="1:17" x14ac:dyDescent="0.3">
      <c r="A3006" t="s">
        <v>4110</v>
      </c>
      <c r="B3006" s="6">
        <v>45084</v>
      </c>
      <c r="C3006" s="6" t="str">
        <f t="shared" si="138"/>
        <v>Jun</v>
      </c>
      <c r="D3006" t="s">
        <v>982</v>
      </c>
      <c r="E3006" t="s">
        <v>50</v>
      </c>
      <c r="F3006" t="s">
        <v>347</v>
      </c>
      <c r="G3006">
        <v>7</v>
      </c>
      <c r="H3006" s="7">
        <v>498.17</v>
      </c>
      <c r="I3006" t="s">
        <v>46</v>
      </c>
      <c r="J3006" t="s">
        <v>87</v>
      </c>
      <c r="K3006">
        <v>15</v>
      </c>
      <c r="L3006" s="7">
        <f t="shared" si="139"/>
        <v>3487.19</v>
      </c>
      <c r="M3006" s="7"/>
      <c r="O3006">
        <f t="shared" si="140"/>
        <v>4</v>
      </c>
      <c r="Q3006" t="s">
        <v>47</v>
      </c>
    </row>
    <row r="3007" spans="1:17" x14ac:dyDescent="0.3">
      <c r="A3007" t="s">
        <v>4111</v>
      </c>
      <c r="B3007" s="6">
        <v>45256</v>
      </c>
      <c r="C3007" s="6" t="str">
        <f t="shared" si="138"/>
        <v>Nov</v>
      </c>
      <c r="D3007" t="s">
        <v>352</v>
      </c>
      <c r="E3007" t="s">
        <v>31</v>
      </c>
      <c r="F3007" t="s">
        <v>1693</v>
      </c>
      <c r="G3007">
        <v>1</v>
      </c>
      <c r="H3007" s="7">
        <v>423.55</v>
      </c>
      <c r="I3007" t="s">
        <v>64</v>
      </c>
      <c r="J3007" t="s">
        <v>28</v>
      </c>
      <c r="K3007">
        <v>20</v>
      </c>
      <c r="L3007" s="7">
        <f t="shared" si="139"/>
        <v>423.55</v>
      </c>
      <c r="M3007" s="7"/>
      <c r="O3007">
        <f t="shared" si="140"/>
        <v>2</v>
      </c>
      <c r="Q3007" t="s">
        <v>65</v>
      </c>
    </row>
    <row r="3008" spans="1:17" x14ac:dyDescent="0.3">
      <c r="A3008" t="s">
        <v>4112</v>
      </c>
      <c r="B3008" s="6">
        <v>45130</v>
      </c>
      <c r="C3008" s="6" t="str">
        <f t="shared" si="138"/>
        <v>Jul</v>
      </c>
      <c r="D3008" t="s">
        <v>705</v>
      </c>
      <c r="E3008" t="s">
        <v>26</v>
      </c>
      <c r="F3008" t="s">
        <v>142</v>
      </c>
      <c r="G3008">
        <v>9</v>
      </c>
      <c r="H3008" s="7">
        <v>307.42</v>
      </c>
      <c r="I3008" t="s">
        <v>103</v>
      </c>
      <c r="J3008" t="s">
        <v>19</v>
      </c>
      <c r="K3008">
        <v>5</v>
      </c>
      <c r="L3008" s="7">
        <f t="shared" si="139"/>
        <v>2766.78</v>
      </c>
      <c r="M3008" s="7"/>
      <c r="O3008">
        <f t="shared" si="140"/>
        <v>3</v>
      </c>
      <c r="Q3008" t="s">
        <v>104</v>
      </c>
    </row>
    <row r="3009" spans="1:17" x14ac:dyDescent="0.3">
      <c r="A3009" t="s">
        <v>4113</v>
      </c>
      <c r="B3009" s="6">
        <v>44982</v>
      </c>
      <c r="C3009" s="6" t="str">
        <f t="shared" si="138"/>
        <v>Feb</v>
      </c>
      <c r="D3009" t="s">
        <v>159</v>
      </c>
      <c r="E3009" t="s">
        <v>19</v>
      </c>
      <c r="F3009" t="s">
        <v>208</v>
      </c>
      <c r="G3009">
        <v>8</v>
      </c>
      <c r="H3009" s="7">
        <v>24.86</v>
      </c>
      <c r="I3009" t="s">
        <v>46</v>
      </c>
      <c r="J3009" t="s">
        <v>42</v>
      </c>
      <c r="K3009">
        <v>15</v>
      </c>
      <c r="L3009" s="7">
        <f t="shared" si="139"/>
        <v>198.88</v>
      </c>
      <c r="M3009" s="7"/>
      <c r="O3009">
        <f t="shared" si="140"/>
        <v>2</v>
      </c>
      <c r="Q3009" t="s">
        <v>47</v>
      </c>
    </row>
    <row r="3010" spans="1:17" x14ac:dyDescent="0.3">
      <c r="A3010" t="s">
        <v>4114</v>
      </c>
      <c r="B3010" s="6">
        <v>45210</v>
      </c>
      <c r="C3010" s="6" t="str">
        <f t="shared" si="138"/>
        <v>Oct</v>
      </c>
      <c r="D3010" t="s">
        <v>616</v>
      </c>
      <c r="E3010" t="s">
        <v>36</v>
      </c>
      <c r="F3010" t="s">
        <v>406</v>
      </c>
      <c r="G3010">
        <v>7</v>
      </c>
      <c r="H3010" s="7">
        <v>451.22</v>
      </c>
      <c r="I3010" t="s">
        <v>19</v>
      </c>
      <c r="J3010" t="s">
        <v>22</v>
      </c>
      <c r="K3010">
        <v>20</v>
      </c>
      <c r="L3010" s="7">
        <f t="shared" si="139"/>
        <v>3158.54</v>
      </c>
      <c r="M3010" s="7"/>
      <c r="O3010">
        <f t="shared" si="140"/>
        <v>4</v>
      </c>
      <c r="Q3010" t="s">
        <v>19</v>
      </c>
    </row>
    <row r="3011" spans="1:17" x14ac:dyDescent="0.3">
      <c r="A3011" t="s">
        <v>4115</v>
      </c>
      <c r="B3011" s="6">
        <v>44954</v>
      </c>
      <c r="C3011" s="6" t="str">
        <f t="shared" ref="C3011:C3074" si="141">TEXT(B3011,"MMM")</f>
        <v>Jan</v>
      </c>
      <c r="D3011" t="s">
        <v>3045</v>
      </c>
      <c r="E3011" t="s">
        <v>31</v>
      </c>
      <c r="F3011" t="s">
        <v>975</v>
      </c>
      <c r="G3011">
        <v>7</v>
      </c>
      <c r="H3011" s="7">
        <v>280.93</v>
      </c>
      <c r="I3011" t="s">
        <v>64</v>
      </c>
      <c r="J3011" t="s">
        <v>19</v>
      </c>
      <c r="K3011">
        <v>0</v>
      </c>
      <c r="L3011" s="7">
        <f t="shared" ref="L3011:L3074" si="142">G3011*H3011</f>
        <v>1966.51</v>
      </c>
      <c r="M3011" s="7"/>
      <c r="O3011">
        <f t="shared" si="140"/>
        <v>2</v>
      </c>
      <c r="Q3011" t="s">
        <v>65</v>
      </c>
    </row>
    <row r="3012" spans="1:17" x14ac:dyDescent="0.3">
      <c r="A3012" t="s">
        <v>4116</v>
      </c>
      <c r="B3012" s="6">
        <v>44964</v>
      </c>
      <c r="C3012" s="6" t="str">
        <f t="shared" si="141"/>
        <v>Feb</v>
      </c>
      <c r="D3012" t="s">
        <v>3009</v>
      </c>
      <c r="E3012" t="s">
        <v>26</v>
      </c>
      <c r="F3012" t="s">
        <v>75</v>
      </c>
      <c r="G3012">
        <v>5</v>
      </c>
      <c r="H3012" s="7">
        <v>434.9</v>
      </c>
      <c r="I3012" t="s">
        <v>21</v>
      </c>
      <c r="J3012" t="s">
        <v>72</v>
      </c>
      <c r="K3012">
        <v>15</v>
      </c>
      <c r="L3012" s="7">
        <f t="shared" si="142"/>
        <v>2174.5</v>
      </c>
      <c r="M3012" s="7"/>
      <c r="O3012">
        <f t="shared" ref="O3012:O3075" si="143">IF(L3012&gt;3500,5,IF(L3012&gt;3000,4,IF(L3012&gt;2500,3,IF(L3012&gt;2000,2,IF(L3012&gt;1000,2,2)))))</f>
        <v>2</v>
      </c>
      <c r="Q3012" t="s">
        <v>23</v>
      </c>
    </row>
    <row r="3013" spans="1:17" x14ac:dyDescent="0.3">
      <c r="A3013" t="s">
        <v>4117</v>
      </c>
      <c r="B3013" s="6">
        <v>45116</v>
      </c>
      <c r="C3013" s="6" t="str">
        <f t="shared" si="141"/>
        <v>Jul</v>
      </c>
      <c r="D3013" t="s">
        <v>1406</v>
      </c>
      <c r="E3013" t="s">
        <v>19</v>
      </c>
      <c r="F3013" t="s">
        <v>41</v>
      </c>
      <c r="G3013">
        <v>5</v>
      </c>
      <c r="H3013" s="7">
        <v>418.04</v>
      </c>
      <c r="I3013" t="s">
        <v>46</v>
      </c>
      <c r="J3013" t="s">
        <v>72</v>
      </c>
      <c r="K3013">
        <v>10</v>
      </c>
      <c r="L3013" s="7">
        <f t="shared" si="142"/>
        <v>2090.2000000000003</v>
      </c>
      <c r="M3013" s="7"/>
      <c r="O3013">
        <f t="shared" si="143"/>
        <v>2</v>
      </c>
      <c r="Q3013" t="s">
        <v>47</v>
      </c>
    </row>
    <row r="3014" spans="1:17" x14ac:dyDescent="0.3">
      <c r="A3014" t="s">
        <v>4118</v>
      </c>
      <c r="B3014" s="6">
        <v>45038</v>
      </c>
      <c r="C3014" s="6" t="str">
        <f t="shared" si="141"/>
        <v>Apr</v>
      </c>
      <c r="D3014" t="s">
        <v>1104</v>
      </c>
      <c r="E3014" t="s">
        <v>26</v>
      </c>
      <c r="F3014" t="s">
        <v>822</v>
      </c>
      <c r="G3014">
        <v>5</v>
      </c>
      <c r="H3014" s="7">
        <v>417.34</v>
      </c>
      <c r="I3014" t="s">
        <v>32</v>
      </c>
      <c r="J3014" t="s">
        <v>42</v>
      </c>
      <c r="K3014">
        <v>20</v>
      </c>
      <c r="L3014" s="7">
        <f t="shared" si="142"/>
        <v>2086.6999999999998</v>
      </c>
      <c r="M3014" s="7"/>
      <c r="O3014">
        <f t="shared" si="143"/>
        <v>2</v>
      </c>
      <c r="Q3014" t="s">
        <v>33</v>
      </c>
    </row>
    <row r="3015" spans="1:17" x14ac:dyDescent="0.3">
      <c r="A3015" t="s">
        <v>4119</v>
      </c>
      <c r="B3015" s="6">
        <v>44979</v>
      </c>
      <c r="C3015" s="6" t="str">
        <f t="shared" si="141"/>
        <v>Feb</v>
      </c>
      <c r="D3015" t="s">
        <v>1582</v>
      </c>
      <c r="E3015" t="s">
        <v>62</v>
      </c>
      <c r="F3015" t="s">
        <v>273</v>
      </c>
      <c r="G3015">
        <v>1</v>
      </c>
      <c r="H3015" s="7">
        <v>350.6</v>
      </c>
      <c r="I3015" t="s">
        <v>19</v>
      </c>
      <c r="J3015" t="s">
        <v>22</v>
      </c>
      <c r="K3015">
        <v>15</v>
      </c>
      <c r="L3015" s="7">
        <f t="shared" si="142"/>
        <v>350.6</v>
      </c>
      <c r="M3015" s="7"/>
      <c r="O3015">
        <f t="shared" si="143"/>
        <v>2</v>
      </c>
      <c r="Q3015" t="s">
        <v>19</v>
      </c>
    </row>
    <row r="3016" spans="1:17" x14ac:dyDescent="0.3">
      <c r="A3016" t="s">
        <v>4120</v>
      </c>
      <c r="B3016" s="6">
        <v>44945</v>
      </c>
      <c r="C3016" s="6" t="str">
        <f t="shared" si="141"/>
        <v>Jan</v>
      </c>
      <c r="D3016" t="s">
        <v>2173</v>
      </c>
      <c r="E3016" t="s">
        <v>36</v>
      </c>
      <c r="F3016" t="s">
        <v>313</v>
      </c>
      <c r="G3016">
        <v>8</v>
      </c>
      <c r="H3016" s="7">
        <v>149.25</v>
      </c>
      <c r="I3016" t="s">
        <v>46</v>
      </c>
      <c r="J3016" t="s">
        <v>28</v>
      </c>
      <c r="K3016">
        <v>0</v>
      </c>
      <c r="L3016" s="7">
        <f t="shared" si="142"/>
        <v>1194</v>
      </c>
      <c r="M3016" s="7"/>
      <c r="O3016">
        <f t="shared" si="143"/>
        <v>2</v>
      </c>
      <c r="Q3016" t="s">
        <v>47</v>
      </c>
    </row>
    <row r="3017" spans="1:17" x14ac:dyDescent="0.3">
      <c r="A3017" t="s">
        <v>4121</v>
      </c>
      <c r="B3017" s="6">
        <v>45170</v>
      </c>
      <c r="C3017" s="6" t="str">
        <f t="shared" si="141"/>
        <v>Sep</v>
      </c>
      <c r="D3017" t="s">
        <v>233</v>
      </c>
      <c r="E3017" t="s">
        <v>40</v>
      </c>
      <c r="F3017" t="s">
        <v>372</v>
      </c>
      <c r="G3017">
        <v>1</v>
      </c>
      <c r="H3017" s="7">
        <v>171.4</v>
      </c>
      <c r="I3017" t="s">
        <v>32</v>
      </c>
      <c r="J3017" t="s">
        <v>28</v>
      </c>
      <c r="K3017">
        <v>15</v>
      </c>
      <c r="L3017" s="7">
        <f t="shared" si="142"/>
        <v>171.4</v>
      </c>
      <c r="M3017" s="7"/>
      <c r="O3017">
        <f t="shared" si="143"/>
        <v>2</v>
      </c>
      <c r="Q3017" t="s">
        <v>33</v>
      </c>
    </row>
    <row r="3018" spans="1:17" x14ac:dyDescent="0.3">
      <c r="A3018" t="s">
        <v>4122</v>
      </c>
      <c r="B3018" s="6">
        <v>44978</v>
      </c>
      <c r="C3018" s="6" t="str">
        <f t="shared" si="141"/>
        <v>Feb</v>
      </c>
      <c r="D3018" t="s">
        <v>156</v>
      </c>
      <c r="E3018" t="s">
        <v>40</v>
      </c>
      <c r="F3018" t="s">
        <v>2185</v>
      </c>
      <c r="G3018">
        <v>4</v>
      </c>
      <c r="H3018" s="7">
        <v>157.69</v>
      </c>
      <c r="I3018" t="s">
        <v>21</v>
      </c>
      <c r="J3018" t="s">
        <v>28</v>
      </c>
      <c r="K3018">
        <v>15</v>
      </c>
      <c r="L3018" s="7">
        <f t="shared" si="142"/>
        <v>630.76</v>
      </c>
      <c r="M3018" s="7"/>
      <c r="O3018">
        <f t="shared" si="143"/>
        <v>2</v>
      </c>
      <c r="Q3018" t="s">
        <v>23</v>
      </c>
    </row>
    <row r="3019" spans="1:17" x14ac:dyDescent="0.3">
      <c r="A3019" t="s">
        <v>4123</v>
      </c>
      <c r="B3019" s="6">
        <v>45134</v>
      </c>
      <c r="C3019" s="6" t="str">
        <f t="shared" si="141"/>
        <v>Jul</v>
      </c>
      <c r="D3019" t="s">
        <v>4011</v>
      </c>
      <c r="E3019" t="s">
        <v>19</v>
      </c>
      <c r="F3019" t="s">
        <v>193</v>
      </c>
      <c r="G3019">
        <v>9</v>
      </c>
      <c r="H3019" s="7">
        <v>14.92</v>
      </c>
      <c r="I3019" t="s">
        <v>64</v>
      </c>
      <c r="J3019" t="s">
        <v>28</v>
      </c>
      <c r="K3019">
        <v>10</v>
      </c>
      <c r="L3019" s="7">
        <f t="shared" si="142"/>
        <v>134.28</v>
      </c>
      <c r="M3019" s="7"/>
      <c r="O3019">
        <f t="shared" si="143"/>
        <v>2</v>
      </c>
      <c r="Q3019" t="s">
        <v>65</v>
      </c>
    </row>
    <row r="3020" spans="1:17" x14ac:dyDescent="0.3">
      <c r="A3020" t="s">
        <v>4124</v>
      </c>
      <c r="B3020" s="6">
        <v>45171</v>
      </c>
      <c r="C3020" s="6" t="str">
        <f t="shared" si="141"/>
        <v>Sep</v>
      </c>
      <c r="D3020" t="s">
        <v>537</v>
      </c>
      <c r="E3020" t="s">
        <v>50</v>
      </c>
      <c r="F3020" t="s">
        <v>366</v>
      </c>
      <c r="G3020">
        <v>9</v>
      </c>
      <c r="H3020" s="7">
        <v>293.37</v>
      </c>
      <c r="I3020" t="s">
        <v>19</v>
      </c>
      <c r="J3020" t="s">
        <v>72</v>
      </c>
      <c r="K3020">
        <v>20</v>
      </c>
      <c r="L3020" s="7">
        <f t="shared" si="142"/>
        <v>2640.33</v>
      </c>
      <c r="M3020" s="7"/>
      <c r="O3020">
        <f t="shared" si="143"/>
        <v>3</v>
      </c>
      <c r="Q3020" t="s">
        <v>19</v>
      </c>
    </row>
    <row r="3021" spans="1:17" x14ac:dyDescent="0.3">
      <c r="A3021" t="s">
        <v>4125</v>
      </c>
      <c r="B3021" s="6">
        <v>45150</v>
      </c>
      <c r="C3021" s="6" t="str">
        <f t="shared" si="141"/>
        <v>Aug</v>
      </c>
      <c r="D3021" t="s">
        <v>3259</v>
      </c>
      <c r="E3021" t="s">
        <v>36</v>
      </c>
      <c r="F3021" t="s">
        <v>642</v>
      </c>
      <c r="G3021">
        <v>5</v>
      </c>
      <c r="H3021" s="7">
        <v>350.92</v>
      </c>
      <c r="I3021" t="s">
        <v>32</v>
      </c>
      <c r="J3021" t="s">
        <v>72</v>
      </c>
      <c r="K3021">
        <v>10</v>
      </c>
      <c r="L3021" s="7">
        <f t="shared" si="142"/>
        <v>1754.6000000000001</v>
      </c>
      <c r="M3021" s="7"/>
      <c r="O3021">
        <f t="shared" si="143"/>
        <v>2</v>
      </c>
      <c r="Q3021" t="s">
        <v>33</v>
      </c>
    </row>
    <row r="3022" spans="1:17" x14ac:dyDescent="0.3">
      <c r="A3022" t="s">
        <v>4126</v>
      </c>
      <c r="B3022" s="6">
        <v>45116</v>
      </c>
      <c r="C3022" s="6" t="str">
        <f t="shared" si="141"/>
        <v>Jul</v>
      </c>
      <c r="D3022" t="s">
        <v>346</v>
      </c>
      <c r="E3022" t="s">
        <v>62</v>
      </c>
      <c r="F3022" t="s">
        <v>1085</v>
      </c>
      <c r="G3022">
        <v>4</v>
      </c>
      <c r="H3022" s="7">
        <v>427.66</v>
      </c>
      <c r="I3022" t="s">
        <v>19</v>
      </c>
      <c r="J3022" t="s">
        <v>87</v>
      </c>
      <c r="K3022">
        <v>15</v>
      </c>
      <c r="L3022" s="7">
        <f t="shared" si="142"/>
        <v>1710.64</v>
      </c>
      <c r="M3022" s="7"/>
      <c r="O3022">
        <f t="shared" si="143"/>
        <v>2</v>
      </c>
      <c r="Q3022" t="s">
        <v>19</v>
      </c>
    </row>
    <row r="3023" spans="1:17" x14ac:dyDescent="0.3">
      <c r="A3023" t="s">
        <v>4127</v>
      </c>
      <c r="B3023" s="6">
        <v>45087</v>
      </c>
      <c r="C3023" s="6" t="str">
        <f t="shared" si="141"/>
        <v>Jun</v>
      </c>
      <c r="D3023" t="s">
        <v>346</v>
      </c>
      <c r="E3023" t="s">
        <v>50</v>
      </c>
      <c r="F3023" t="s">
        <v>170</v>
      </c>
      <c r="G3023">
        <v>3</v>
      </c>
      <c r="H3023" s="7">
        <v>74.38</v>
      </c>
      <c r="I3023" t="s">
        <v>21</v>
      </c>
      <c r="J3023" t="s">
        <v>19</v>
      </c>
      <c r="K3023">
        <v>10</v>
      </c>
      <c r="L3023" s="7">
        <f t="shared" si="142"/>
        <v>223.14</v>
      </c>
      <c r="M3023" s="7"/>
      <c r="O3023">
        <f t="shared" si="143"/>
        <v>2</v>
      </c>
      <c r="Q3023" t="s">
        <v>23</v>
      </c>
    </row>
    <row r="3024" spans="1:17" x14ac:dyDescent="0.3">
      <c r="A3024" t="s">
        <v>4128</v>
      </c>
      <c r="B3024" s="6">
        <v>44964</v>
      </c>
      <c r="C3024" s="6" t="str">
        <f t="shared" si="141"/>
        <v>Feb</v>
      </c>
      <c r="D3024" t="s">
        <v>2012</v>
      </c>
      <c r="E3024" t="s">
        <v>36</v>
      </c>
      <c r="F3024" t="s">
        <v>749</v>
      </c>
      <c r="G3024">
        <v>3</v>
      </c>
      <c r="H3024" s="7">
        <v>274.37</v>
      </c>
      <c r="I3024" t="s">
        <v>19</v>
      </c>
      <c r="J3024" t="s">
        <v>87</v>
      </c>
      <c r="K3024">
        <v>5</v>
      </c>
      <c r="L3024" s="7">
        <f t="shared" si="142"/>
        <v>823.11</v>
      </c>
      <c r="M3024" s="7"/>
      <c r="O3024">
        <f t="shared" si="143"/>
        <v>2</v>
      </c>
      <c r="Q3024" t="s">
        <v>19</v>
      </c>
    </row>
    <row r="3025" spans="1:17" x14ac:dyDescent="0.3">
      <c r="A3025" t="s">
        <v>4129</v>
      </c>
      <c r="B3025" s="6">
        <v>45042</v>
      </c>
      <c r="C3025" s="6" t="str">
        <f t="shared" si="141"/>
        <v>Apr</v>
      </c>
      <c r="D3025" t="s">
        <v>1097</v>
      </c>
      <c r="E3025" t="s">
        <v>36</v>
      </c>
      <c r="F3025" t="s">
        <v>246</v>
      </c>
      <c r="G3025">
        <v>5</v>
      </c>
      <c r="H3025" s="7">
        <v>8.9600000000000009</v>
      </c>
      <c r="I3025" t="s">
        <v>21</v>
      </c>
      <c r="J3025" t="s">
        <v>42</v>
      </c>
      <c r="K3025">
        <v>15</v>
      </c>
      <c r="L3025" s="7">
        <f t="shared" si="142"/>
        <v>44.800000000000004</v>
      </c>
      <c r="M3025" s="7"/>
      <c r="O3025">
        <f t="shared" si="143"/>
        <v>2</v>
      </c>
      <c r="Q3025" t="s">
        <v>23</v>
      </c>
    </row>
    <row r="3026" spans="1:17" x14ac:dyDescent="0.3">
      <c r="A3026" t="s">
        <v>4130</v>
      </c>
      <c r="B3026" s="6">
        <v>45015</v>
      </c>
      <c r="C3026" s="6" t="str">
        <f t="shared" si="141"/>
        <v>Mar</v>
      </c>
      <c r="D3026" t="s">
        <v>3567</v>
      </c>
      <c r="E3026" t="s">
        <v>36</v>
      </c>
      <c r="F3026" t="s">
        <v>789</v>
      </c>
      <c r="G3026">
        <v>1</v>
      </c>
      <c r="H3026" s="7">
        <v>252.16</v>
      </c>
      <c r="I3026" t="s">
        <v>21</v>
      </c>
      <c r="J3026" t="s">
        <v>19</v>
      </c>
      <c r="K3026">
        <v>10</v>
      </c>
      <c r="L3026" s="7">
        <f t="shared" si="142"/>
        <v>252.16</v>
      </c>
      <c r="M3026" s="7"/>
      <c r="O3026">
        <f t="shared" si="143"/>
        <v>2</v>
      </c>
      <c r="Q3026" t="s">
        <v>23</v>
      </c>
    </row>
    <row r="3027" spans="1:17" x14ac:dyDescent="0.3">
      <c r="A3027" t="s">
        <v>4131</v>
      </c>
      <c r="B3027" s="6">
        <v>45150</v>
      </c>
      <c r="C3027" s="6" t="str">
        <f t="shared" si="141"/>
        <v>Aug</v>
      </c>
      <c r="D3027" t="s">
        <v>1035</v>
      </c>
      <c r="E3027" t="s">
        <v>26</v>
      </c>
      <c r="F3027" t="s">
        <v>486</v>
      </c>
      <c r="G3027">
        <v>5</v>
      </c>
      <c r="H3027" s="7">
        <v>31.83</v>
      </c>
      <c r="I3027" t="s">
        <v>19</v>
      </c>
      <c r="J3027" t="s">
        <v>22</v>
      </c>
      <c r="K3027">
        <v>5</v>
      </c>
      <c r="L3027" s="7">
        <f t="shared" si="142"/>
        <v>159.14999999999998</v>
      </c>
      <c r="M3027" s="7"/>
      <c r="O3027">
        <f t="shared" si="143"/>
        <v>2</v>
      </c>
      <c r="Q3027" t="s">
        <v>19</v>
      </c>
    </row>
    <row r="3028" spans="1:17" x14ac:dyDescent="0.3">
      <c r="A3028" t="s">
        <v>4132</v>
      </c>
      <c r="B3028" s="6">
        <v>45227</v>
      </c>
      <c r="C3028" s="6" t="str">
        <f t="shared" si="141"/>
        <v>Oct</v>
      </c>
      <c r="D3028" t="s">
        <v>3732</v>
      </c>
      <c r="E3028" t="s">
        <v>36</v>
      </c>
      <c r="F3028" t="s">
        <v>932</v>
      </c>
      <c r="G3028">
        <v>6</v>
      </c>
      <c r="H3028" s="7">
        <v>364.11</v>
      </c>
      <c r="I3028" t="s">
        <v>64</v>
      </c>
      <c r="J3028" t="s">
        <v>72</v>
      </c>
      <c r="K3028">
        <v>10</v>
      </c>
      <c r="L3028" s="7">
        <f t="shared" si="142"/>
        <v>2184.66</v>
      </c>
      <c r="M3028" s="7"/>
      <c r="O3028">
        <f t="shared" si="143"/>
        <v>2</v>
      </c>
      <c r="Q3028" t="s">
        <v>65</v>
      </c>
    </row>
    <row r="3029" spans="1:17" x14ac:dyDescent="0.3">
      <c r="A3029" t="s">
        <v>4133</v>
      </c>
      <c r="B3029" s="6">
        <v>45035</v>
      </c>
      <c r="C3029" s="6" t="str">
        <f t="shared" si="141"/>
        <v>Apr</v>
      </c>
      <c r="D3029" t="s">
        <v>768</v>
      </c>
      <c r="E3029" t="s">
        <v>31</v>
      </c>
      <c r="F3029" t="s">
        <v>1146</v>
      </c>
      <c r="G3029">
        <v>7</v>
      </c>
      <c r="H3029" s="7">
        <v>45.12</v>
      </c>
      <c r="I3029" t="s">
        <v>32</v>
      </c>
      <c r="J3029" t="s">
        <v>72</v>
      </c>
      <c r="K3029">
        <v>20</v>
      </c>
      <c r="L3029" s="7">
        <f t="shared" si="142"/>
        <v>315.83999999999997</v>
      </c>
      <c r="M3029" s="7"/>
      <c r="O3029">
        <f t="shared" si="143"/>
        <v>2</v>
      </c>
      <c r="Q3029" t="s">
        <v>33</v>
      </c>
    </row>
    <row r="3030" spans="1:17" x14ac:dyDescent="0.3">
      <c r="A3030" t="s">
        <v>4134</v>
      </c>
      <c r="B3030" s="6">
        <v>45024</v>
      </c>
      <c r="C3030" s="6" t="str">
        <f t="shared" si="141"/>
        <v>Apr</v>
      </c>
      <c r="D3030" t="s">
        <v>162</v>
      </c>
      <c r="E3030" t="s">
        <v>36</v>
      </c>
      <c r="F3030" t="s">
        <v>78</v>
      </c>
      <c r="G3030">
        <v>9</v>
      </c>
      <c r="H3030" s="7">
        <v>359.64</v>
      </c>
      <c r="I3030" t="s">
        <v>46</v>
      </c>
      <c r="J3030" t="s">
        <v>19</v>
      </c>
      <c r="K3030">
        <v>15</v>
      </c>
      <c r="L3030" s="7">
        <f t="shared" si="142"/>
        <v>3236.7599999999998</v>
      </c>
      <c r="M3030" s="7"/>
      <c r="O3030">
        <f t="shared" si="143"/>
        <v>4</v>
      </c>
      <c r="Q3030" t="s">
        <v>47</v>
      </c>
    </row>
    <row r="3031" spans="1:17" x14ac:dyDescent="0.3">
      <c r="A3031" t="s">
        <v>4135</v>
      </c>
      <c r="B3031" s="6">
        <v>45105</v>
      </c>
      <c r="C3031" s="6" t="str">
        <f t="shared" si="141"/>
        <v>Jun</v>
      </c>
      <c r="D3031" t="s">
        <v>1846</v>
      </c>
      <c r="E3031" t="s">
        <v>19</v>
      </c>
      <c r="F3031" t="s">
        <v>359</v>
      </c>
      <c r="G3031">
        <v>3</v>
      </c>
      <c r="H3031" s="7">
        <v>128.56</v>
      </c>
      <c r="I3031" t="s">
        <v>32</v>
      </c>
      <c r="J3031" t="s">
        <v>28</v>
      </c>
      <c r="K3031">
        <v>20</v>
      </c>
      <c r="L3031" s="7">
        <f t="shared" si="142"/>
        <v>385.68</v>
      </c>
      <c r="M3031" s="7"/>
      <c r="O3031">
        <f t="shared" si="143"/>
        <v>2</v>
      </c>
      <c r="Q3031" t="s">
        <v>33</v>
      </c>
    </row>
    <row r="3032" spans="1:17" x14ac:dyDescent="0.3">
      <c r="A3032" t="s">
        <v>4136</v>
      </c>
      <c r="B3032" s="6">
        <v>44964</v>
      </c>
      <c r="C3032" s="6" t="str">
        <f t="shared" si="141"/>
        <v>Feb</v>
      </c>
      <c r="D3032" t="s">
        <v>682</v>
      </c>
      <c r="E3032" t="s">
        <v>40</v>
      </c>
      <c r="F3032" t="s">
        <v>188</v>
      </c>
      <c r="G3032">
        <v>2</v>
      </c>
      <c r="H3032" s="7">
        <v>439.47</v>
      </c>
      <c r="I3032" t="s">
        <v>64</v>
      </c>
      <c r="J3032" t="s">
        <v>87</v>
      </c>
      <c r="K3032">
        <v>5</v>
      </c>
      <c r="L3032" s="7">
        <f t="shared" si="142"/>
        <v>878.94</v>
      </c>
      <c r="M3032" s="7"/>
      <c r="O3032">
        <f t="shared" si="143"/>
        <v>2</v>
      </c>
      <c r="Q3032" t="s">
        <v>65</v>
      </c>
    </row>
    <row r="3033" spans="1:17" x14ac:dyDescent="0.3">
      <c r="A3033" t="s">
        <v>4137</v>
      </c>
      <c r="B3033" s="6">
        <v>45010</v>
      </c>
      <c r="C3033" s="6" t="str">
        <f t="shared" si="141"/>
        <v>Mar</v>
      </c>
      <c r="D3033" t="s">
        <v>1089</v>
      </c>
      <c r="E3033" t="s">
        <v>50</v>
      </c>
      <c r="F3033" t="s">
        <v>81</v>
      </c>
      <c r="G3033">
        <v>3</v>
      </c>
      <c r="H3033" s="7">
        <v>407.51</v>
      </c>
      <c r="I3033" t="s">
        <v>19</v>
      </c>
      <c r="J3033" t="s">
        <v>87</v>
      </c>
      <c r="K3033">
        <v>20</v>
      </c>
      <c r="L3033" s="7">
        <f t="shared" si="142"/>
        <v>1222.53</v>
      </c>
      <c r="M3033" s="7"/>
      <c r="O3033">
        <f t="shared" si="143"/>
        <v>2</v>
      </c>
      <c r="Q3033" t="s">
        <v>19</v>
      </c>
    </row>
    <row r="3034" spans="1:17" x14ac:dyDescent="0.3">
      <c r="A3034" t="s">
        <v>4138</v>
      </c>
      <c r="B3034" s="6">
        <v>45221</v>
      </c>
      <c r="C3034" s="6" t="str">
        <f t="shared" si="141"/>
        <v>Oct</v>
      </c>
      <c r="D3034" t="s">
        <v>4139</v>
      </c>
      <c r="E3034" t="s">
        <v>50</v>
      </c>
      <c r="F3034" t="s">
        <v>119</v>
      </c>
      <c r="G3034">
        <v>9</v>
      </c>
      <c r="H3034" s="7">
        <v>479.13</v>
      </c>
      <c r="I3034" t="s">
        <v>32</v>
      </c>
      <c r="J3034" t="s">
        <v>72</v>
      </c>
      <c r="K3034">
        <v>20</v>
      </c>
      <c r="L3034" s="7">
        <f t="shared" si="142"/>
        <v>4312.17</v>
      </c>
      <c r="M3034" s="7"/>
      <c r="O3034">
        <f t="shared" si="143"/>
        <v>5</v>
      </c>
      <c r="Q3034" t="s">
        <v>33</v>
      </c>
    </row>
    <row r="3035" spans="1:17" x14ac:dyDescent="0.3">
      <c r="A3035" t="s">
        <v>4140</v>
      </c>
      <c r="B3035" s="6">
        <v>45208</v>
      </c>
      <c r="C3035" s="6" t="str">
        <f t="shared" si="141"/>
        <v>Oct</v>
      </c>
      <c r="D3035" t="s">
        <v>431</v>
      </c>
      <c r="E3035" t="s">
        <v>26</v>
      </c>
      <c r="F3035" t="s">
        <v>1117</v>
      </c>
      <c r="G3035">
        <v>7</v>
      </c>
      <c r="H3035" s="7">
        <v>442.46</v>
      </c>
      <c r="I3035" t="s">
        <v>46</v>
      </c>
      <c r="J3035" t="s">
        <v>28</v>
      </c>
      <c r="K3035">
        <v>0</v>
      </c>
      <c r="L3035" s="7">
        <f t="shared" si="142"/>
        <v>3097.22</v>
      </c>
      <c r="M3035" s="7"/>
      <c r="O3035">
        <f t="shared" si="143"/>
        <v>4</v>
      </c>
      <c r="Q3035" t="s">
        <v>47</v>
      </c>
    </row>
    <row r="3036" spans="1:17" x14ac:dyDescent="0.3">
      <c r="A3036" t="s">
        <v>4141</v>
      </c>
      <c r="B3036" s="6">
        <v>45053</v>
      </c>
      <c r="C3036" s="6" t="str">
        <f t="shared" si="141"/>
        <v>May</v>
      </c>
      <c r="D3036" t="s">
        <v>1071</v>
      </c>
      <c r="E3036" t="s">
        <v>50</v>
      </c>
      <c r="F3036" t="s">
        <v>861</v>
      </c>
      <c r="G3036">
        <v>9</v>
      </c>
      <c r="H3036" s="7">
        <v>467</v>
      </c>
      <c r="I3036" t="s">
        <v>32</v>
      </c>
      <c r="J3036" t="s">
        <v>28</v>
      </c>
      <c r="K3036">
        <v>5</v>
      </c>
      <c r="L3036" s="7">
        <f t="shared" si="142"/>
        <v>4203</v>
      </c>
      <c r="M3036" s="7"/>
      <c r="O3036">
        <f t="shared" si="143"/>
        <v>5</v>
      </c>
      <c r="Q3036" t="s">
        <v>33</v>
      </c>
    </row>
    <row r="3037" spans="1:17" x14ac:dyDescent="0.3">
      <c r="A3037" t="s">
        <v>4142</v>
      </c>
      <c r="B3037" s="6">
        <v>44934</v>
      </c>
      <c r="C3037" s="6" t="str">
        <f t="shared" si="141"/>
        <v>Jan</v>
      </c>
      <c r="D3037" t="s">
        <v>1809</v>
      </c>
      <c r="E3037" t="s">
        <v>36</v>
      </c>
      <c r="F3037" t="s">
        <v>128</v>
      </c>
      <c r="G3037">
        <v>2</v>
      </c>
      <c r="H3037" s="7">
        <v>430.08</v>
      </c>
      <c r="I3037" t="s">
        <v>46</v>
      </c>
      <c r="J3037" t="s">
        <v>19</v>
      </c>
      <c r="K3037">
        <v>20</v>
      </c>
      <c r="L3037" s="7">
        <f t="shared" si="142"/>
        <v>860.16</v>
      </c>
      <c r="M3037" s="7"/>
      <c r="O3037">
        <f t="shared" si="143"/>
        <v>2</v>
      </c>
      <c r="Q3037" t="s">
        <v>47</v>
      </c>
    </row>
    <row r="3038" spans="1:17" x14ac:dyDescent="0.3">
      <c r="A3038" t="s">
        <v>4143</v>
      </c>
      <c r="B3038" s="6">
        <v>45245</v>
      </c>
      <c r="C3038" s="6" t="str">
        <f t="shared" si="141"/>
        <v>Nov</v>
      </c>
      <c r="D3038" t="s">
        <v>343</v>
      </c>
      <c r="E3038" t="s">
        <v>19</v>
      </c>
      <c r="F3038" t="s">
        <v>713</v>
      </c>
      <c r="G3038">
        <v>5</v>
      </c>
      <c r="H3038" s="7">
        <v>348.22</v>
      </c>
      <c r="I3038" t="s">
        <v>103</v>
      </c>
      <c r="J3038" t="s">
        <v>72</v>
      </c>
      <c r="K3038">
        <v>10</v>
      </c>
      <c r="L3038" s="7">
        <f t="shared" si="142"/>
        <v>1741.1000000000001</v>
      </c>
      <c r="M3038" s="7"/>
      <c r="O3038">
        <f t="shared" si="143"/>
        <v>2</v>
      </c>
      <c r="Q3038" t="s">
        <v>104</v>
      </c>
    </row>
    <row r="3039" spans="1:17" x14ac:dyDescent="0.3">
      <c r="A3039" t="s">
        <v>4144</v>
      </c>
      <c r="B3039" s="6">
        <v>44964</v>
      </c>
      <c r="C3039" s="6" t="str">
        <f t="shared" si="141"/>
        <v>Feb</v>
      </c>
      <c r="D3039" t="s">
        <v>2134</v>
      </c>
      <c r="E3039" t="s">
        <v>36</v>
      </c>
      <c r="F3039" t="s">
        <v>145</v>
      </c>
      <c r="G3039">
        <v>4</v>
      </c>
      <c r="H3039" s="7">
        <v>89.28</v>
      </c>
      <c r="I3039" t="s">
        <v>46</v>
      </c>
      <c r="J3039" t="s">
        <v>19</v>
      </c>
      <c r="K3039">
        <v>5</v>
      </c>
      <c r="L3039" s="7">
        <f t="shared" si="142"/>
        <v>357.12</v>
      </c>
      <c r="M3039" s="7"/>
      <c r="O3039">
        <f t="shared" si="143"/>
        <v>2</v>
      </c>
      <c r="Q3039" t="s">
        <v>47</v>
      </c>
    </row>
    <row r="3040" spans="1:17" x14ac:dyDescent="0.3">
      <c r="A3040" t="s">
        <v>4145</v>
      </c>
      <c r="B3040" s="6">
        <v>45130</v>
      </c>
      <c r="C3040" s="6" t="str">
        <f t="shared" si="141"/>
        <v>Jul</v>
      </c>
      <c r="D3040" t="s">
        <v>980</v>
      </c>
      <c r="E3040" t="s">
        <v>31</v>
      </c>
      <c r="F3040" t="s">
        <v>434</v>
      </c>
      <c r="G3040">
        <v>5</v>
      </c>
      <c r="H3040" s="7">
        <v>139.5</v>
      </c>
      <c r="I3040" t="s">
        <v>21</v>
      </c>
      <c r="J3040" t="s">
        <v>72</v>
      </c>
      <c r="K3040">
        <v>0</v>
      </c>
      <c r="L3040" s="7">
        <f t="shared" si="142"/>
        <v>697.5</v>
      </c>
      <c r="M3040" s="7"/>
      <c r="O3040">
        <f t="shared" si="143"/>
        <v>2</v>
      </c>
      <c r="Q3040" t="s">
        <v>23</v>
      </c>
    </row>
    <row r="3041" spans="1:17" x14ac:dyDescent="0.3">
      <c r="A3041" t="s">
        <v>4146</v>
      </c>
      <c r="B3041" s="6">
        <v>45002</v>
      </c>
      <c r="C3041" s="6" t="str">
        <f t="shared" si="141"/>
        <v>Mar</v>
      </c>
      <c r="D3041" t="s">
        <v>2545</v>
      </c>
      <c r="E3041" t="s">
        <v>19</v>
      </c>
      <c r="F3041" t="s">
        <v>208</v>
      </c>
      <c r="G3041">
        <v>9</v>
      </c>
      <c r="H3041" s="7">
        <v>110.3</v>
      </c>
      <c r="I3041" t="s">
        <v>103</v>
      </c>
      <c r="J3041" t="s">
        <v>72</v>
      </c>
      <c r="K3041">
        <v>15</v>
      </c>
      <c r="L3041" s="7">
        <f t="shared" si="142"/>
        <v>992.69999999999993</v>
      </c>
      <c r="M3041" s="7"/>
      <c r="O3041">
        <f t="shared" si="143"/>
        <v>2</v>
      </c>
      <c r="Q3041" t="s">
        <v>104</v>
      </c>
    </row>
    <row r="3042" spans="1:17" x14ac:dyDescent="0.3">
      <c r="A3042" t="s">
        <v>4147</v>
      </c>
      <c r="B3042" s="6">
        <v>45202</v>
      </c>
      <c r="C3042" s="6" t="str">
        <f t="shared" si="141"/>
        <v>Oct</v>
      </c>
      <c r="D3042" t="s">
        <v>4148</v>
      </c>
      <c r="E3042" t="s">
        <v>62</v>
      </c>
      <c r="F3042" t="s">
        <v>1618</v>
      </c>
      <c r="G3042">
        <v>9</v>
      </c>
      <c r="H3042" s="7">
        <v>303.77</v>
      </c>
      <c r="I3042" t="s">
        <v>19</v>
      </c>
      <c r="J3042" t="s">
        <v>28</v>
      </c>
      <c r="K3042">
        <v>10</v>
      </c>
      <c r="L3042" s="7">
        <f t="shared" si="142"/>
        <v>2733.93</v>
      </c>
      <c r="M3042" s="7"/>
      <c r="O3042">
        <f t="shared" si="143"/>
        <v>3</v>
      </c>
      <c r="Q3042" t="s">
        <v>19</v>
      </c>
    </row>
    <row r="3043" spans="1:17" x14ac:dyDescent="0.3">
      <c r="A3043" t="s">
        <v>4149</v>
      </c>
      <c r="B3043" s="6">
        <v>45109</v>
      </c>
      <c r="C3043" s="6" t="str">
        <f t="shared" si="141"/>
        <v>Jul</v>
      </c>
      <c r="D3043" t="s">
        <v>86</v>
      </c>
      <c r="E3043" t="s">
        <v>36</v>
      </c>
      <c r="F3043" t="s">
        <v>944</v>
      </c>
      <c r="G3043">
        <v>6</v>
      </c>
      <c r="H3043" s="7">
        <v>254.29</v>
      </c>
      <c r="I3043" t="s">
        <v>32</v>
      </c>
      <c r="J3043" t="s">
        <v>87</v>
      </c>
      <c r="K3043">
        <v>20</v>
      </c>
      <c r="L3043" s="7">
        <f t="shared" si="142"/>
        <v>1525.74</v>
      </c>
      <c r="M3043" s="7"/>
      <c r="O3043">
        <f t="shared" si="143"/>
        <v>2</v>
      </c>
      <c r="Q3043" t="s">
        <v>33</v>
      </c>
    </row>
    <row r="3044" spans="1:17" x14ac:dyDescent="0.3">
      <c r="A3044" t="s">
        <v>4150</v>
      </c>
      <c r="B3044" s="6">
        <v>45194</v>
      </c>
      <c r="C3044" s="6" t="str">
        <f t="shared" si="141"/>
        <v>Sep</v>
      </c>
      <c r="D3044" t="s">
        <v>623</v>
      </c>
      <c r="E3044" t="s">
        <v>31</v>
      </c>
      <c r="F3044" t="s">
        <v>27</v>
      </c>
      <c r="G3044">
        <v>6</v>
      </c>
      <c r="H3044" s="7">
        <v>434.2</v>
      </c>
      <c r="I3044" t="s">
        <v>19</v>
      </c>
      <c r="J3044" t="s">
        <v>87</v>
      </c>
      <c r="K3044">
        <v>10</v>
      </c>
      <c r="L3044" s="7">
        <f t="shared" si="142"/>
        <v>2605.1999999999998</v>
      </c>
      <c r="M3044" s="7"/>
      <c r="O3044">
        <f t="shared" si="143"/>
        <v>3</v>
      </c>
      <c r="Q3044" t="s">
        <v>19</v>
      </c>
    </row>
    <row r="3045" spans="1:17" x14ac:dyDescent="0.3">
      <c r="A3045" t="s">
        <v>4151</v>
      </c>
      <c r="B3045" s="6">
        <v>45292</v>
      </c>
      <c r="C3045" s="6" t="str">
        <f t="shared" si="141"/>
        <v>Jan</v>
      </c>
      <c r="D3045" t="s">
        <v>2738</v>
      </c>
      <c r="E3045" t="s">
        <v>26</v>
      </c>
      <c r="F3045" t="s">
        <v>122</v>
      </c>
      <c r="G3045">
        <v>8</v>
      </c>
      <c r="H3045" s="7">
        <v>476.57</v>
      </c>
      <c r="I3045" t="s">
        <v>64</v>
      </c>
      <c r="J3045" t="s">
        <v>22</v>
      </c>
      <c r="K3045">
        <v>0</v>
      </c>
      <c r="L3045" s="7">
        <f t="shared" si="142"/>
        <v>3812.56</v>
      </c>
      <c r="M3045" s="7"/>
      <c r="O3045">
        <f t="shared" si="143"/>
        <v>5</v>
      </c>
      <c r="Q3045" t="s">
        <v>65</v>
      </c>
    </row>
    <row r="3046" spans="1:17" x14ac:dyDescent="0.3">
      <c r="A3046" t="s">
        <v>4152</v>
      </c>
      <c r="B3046" s="6">
        <v>44951</v>
      </c>
      <c r="C3046" s="6" t="str">
        <f t="shared" si="141"/>
        <v>Jan</v>
      </c>
      <c r="D3046" t="s">
        <v>219</v>
      </c>
      <c r="E3046" t="s">
        <v>26</v>
      </c>
      <c r="F3046" t="s">
        <v>316</v>
      </c>
      <c r="G3046">
        <v>6</v>
      </c>
      <c r="H3046" s="7">
        <v>205.41</v>
      </c>
      <c r="I3046" t="s">
        <v>103</v>
      </c>
      <c r="J3046" t="s">
        <v>87</v>
      </c>
      <c r="K3046">
        <v>5</v>
      </c>
      <c r="L3046" s="7">
        <f t="shared" si="142"/>
        <v>1232.46</v>
      </c>
      <c r="M3046" s="7"/>
      <c r="O3046">
        <f t="shared" si="143"/>
        <v>2</v>
      </c>
      <c r="Q3046" t="s">
        <v>104</v>
      </c>
    </row>
    <row r="3047" spans="1:17" x14ac:dyDescent="0.3">
      <c r="A3047" t="s">
        <v>4153</v>
      </c>
      <c r="B3047" s="6">
        <v>45255</v>
      </c>
      <c r="C3047" s="6" t="str">
        <f t="shared" si="141"/>
        <v>Nov</v>
      </c>
      <c r="D3047" t="s">
        <v>1630</v>
      </c>
      <c r="E3047" t="s">
        <v>40</v>
      </c>
      <c r="F3047" t="s">
        <v>231</v>
      </c>
      <c r="G3047">
        <v>1</v>
      </c>
      <c r="H3047" s="7">
        <v>255.64</v>
      </c>
      <c r="I3047" t="s">
        <v>19</v>
      </c>
      <c r="J3047" t="s">
        <v>42</v>
      </c>
      <c r="K3047">
        <v>10</v>
      </c>
      <c r="L3047" s="7">
        <f t="shared" si="142"/>
        <v>255.64</v>
      </c>
      <c r="M3047" s="7"/>
      <c r="O3047">
        <f t="shared" si="143"/>
        <v>2</v>
      </c>
      <c r="Q3047" t="s">
        <v>19</v>
      </c>
    </row>
    <row r="3048" spans="1:17" x14ac:dyDescent="0.3">
      <c r="A3048" t="s">
        <v>4154</v>
      </c>
      <c r="B3048" s="6">
        <v>45286</v>
      </c>
      <c r="C3048" s="6" t="str">
        <f t="shared" si="141"/>
        <v>Dec</v>
      </c>
      <c r="D3048" t="s">
        <v>2474</v>
      </c>
      <c r="E3048" t="s">
        <v>36</v>
      </c>
      <c r="F3048" t="s">
        <v>334</v>
      </c>
      <c r="G3048">
        <v>4</v>
      </c>
      <c r="H3048" s="7">
        <v>485.9</v>
      </c>
      <c r="I3048" t="s">
        <v>19</v>
      </c>
      <c r="J3048" t="s">
        <v>42</v>
      </c>
      <c r="K3048">
        <v>10</v>
      </c>
      <c r="L3048" s="7">
        <f t="shared" si="142"/>
        <v>1943.6</v>
      </c>
      <c r="M3048" s="7"/>
      <c r="O3048">
        <f t="shared" si="143"/>
        <v>2</v>
      </c>
      <c r="Q3048" t="s">
        <v>19</v>
      </c>
    </row>
    <row r="3049" spans="1:17" x14ac:dyDescent="0.3">
      <c r="A3049" t="s">
        <v>4155</v>
      </c>
      <c r="B3049" s="6">
        <v>45045</v>
      </c>
      <c r="C3049" s="6" t="str">
        <f t="shared" si="141"/>
        <v>Apr</v>
      </c>
      <c r="D3049" t="s">
        <v>661</v>
      </c>
      <c r="E3049" t="s">
        <v>26</v>
      </c>
      <c r="F3049" t="s">
        <v>1374</v>
      </c>
      <c r="G3049">
        <v>7</v>
      </c>
      <c r="H3049" s="7">
        <v>141.74</v>
      </c>
      <c r="I3049" t="s">
        <v>21</v>
      </c>
      <c r="J3049" t="s">
        <v>72</v>
      </c>
      <c r="K3049">
        <v>20</v>
      </c>
      <c r="L3049" s="7">
        <f t="shared" si="142"/>
        <v>992.18000000000006</v>
      </c>
      <c r="M3049" s="7"/>
      <c r="O3049">
        <f t="shared" si="143"/>
        <v>2</v>
      </c>
      <c r="Q3049" t="s">
        <v>23</v>
      </c>
    </row>
    <row r="3050" spans="1:17" x14ac:dyDescent="0.3">
      <c r="A3050" t="s">
        <v>4156</v>
      </c>
      <c r="B3050" s="6">
        <v>45195</v>
      </c>
      <c r="C3050" s="6" t="str">
        <f t="shared" si="141"/>
        <v>Sep</v>
      </c>
      <c r="D3050" t="s">
        <v>454</v>
      </c>
      <c r="E3050" t="s">
        <v>26</v>
      </c>
      <c r="F3050" t="s">
        <v>94</v>
      </c>
      <c r="G3050">
        <v>2</v>
      </c>
      <c r="H3050" s="7">
        <v>397.23</v>
      </c>
      <c r="I3050" t="s">
        <v>21</v>
      </c>
      <c r="J3050" t="s">
        <v>87</v>
      </c>
      <c r="K3050">
        <v>0</v>
      </c>
      <c r="L3050" s="7">
        <f t="shared" si="142"/>
        <v>794.46</v>
      </c>
      <c r="M3050" s="7"/>
      <c r="O3050">
        <f t="shared" si="143"/>
        <v>2</v>
      </c>
      <c r="Q3050" t="s">
        <v>23</v>
      </c>
    </row>
    <row r="3051" spans="1:17" x14ac:dyDescent="0.3">
      <c r="A3051" t="s">
        <v>4157</v>
      </c>
      <c r="B3051" s="6">
        <v>44953</v>
      </c>
      <c r="C3051" s="6" t="str">
        <f t="shared" si="141"/>
        <v>Jan</v>
      </c>
      <c r="D3051" t="s">
        <v>1225</v>
      </c>
      <c r="E3051" t="s">
        <v>40</v>
      </c>
      <c r="F3051" t="s">
        <v>665</v>
      </c>
      <c r="G3051">
        <v>9</v>
      </c>
      <c r="H3051" s="7">
        <v>116.49</v>
      </c>
      <c r="I3051" t="s">
        <v>21</v>
      </c>
      <c r="J3051" t="s">
        <v>28</v>
      </c>
      <c r="K3051">
        <v>0</v>
      </c>
      <c r="L3051" s="7">
        <f t="shared" si="142"/>
        <v>1048.4099999999999</v>
      </c>
      <c r="M3051" s="7"/>
      <c r="O3051">
        <f t="shared" si="143"/>
        <v>2</v>
      </c>
      <c r="Q3051" t="s">
        <v>23</v>
      </c>
    </row>
    <row r="3052" spans="1:17" x14ac:dyDescent="0.3">
      <c r="A3052" t="s">
        <v>4158</v>
      </c>
      <c r="B3052" s="6">
        <v>45033</v>
      </c>
      <c r="C3052" s="6" t="str">
        <f t="shared" si="141"/>
        <v>Apr</v>
      </c>
      <c r="D3052" t="s">
        <v>1630</v>
      </c>
      <c r="E3052" t="s">
        <v>62</v>
      </c>
      <c r="F3052" t="s">
        <v>450</v>
      </c>
      <c r="G3052">
        <v>8</v>
      </c>
      <c r="H3052" s="7">
        <v>342.32</v>
      </c>
      <c r="I3052" t="s">
        <v>21</v>
      </c>
      <c r="J3052" t="s">
        <v>19</v>
      </c>
      <c r="K3052">
        <v>10</v>
      </c>
      <c r="L3052" s="7">
        <f t="shared" si="142"/>
        <v>2738.56</v>
      </c>
      <c r="M3052" s="7"/>
      <c r="O3052">
        <f t="shared" si="143"/>
        <v>3</v>
      </c>
      <c r="Q3052" t="s">
        <v>23</v>
      </c>
    </row>
    <row r="3053" spans="1:17" x14ac:dyDescent="0.3">
      <c r="A3053" t="s">
        <v>4159</v>
      </c>
      <c r="B3053" s="6">
        <v>45028</v>
      </c>
      <c r="C3053" s="6" t="str">
        <f t="shared" si="141"/>
        <v>Apr</v>
      </c>
      <c r="D3053" t="s">
        <v>492</v>
      </c>
      <c r="E3053" t="s">
        <v>62</v>
      </c>
      <c r="F3053" t="s">
        <v>708</v>
      </c>
      <c r="G3053">
        <v>8</v>
      </c>
      <c r="H3053" s="7">
        <v>130.54</v>
      </c>
      <c r="I3053" t="s">
        <v>19</v>
      </c>
      <c r="J3053" t="s">
        <v>87</v>
      </c>
      <c r="K3053">
        <v>15</v>
      </c>
      <c r="L3053" s="7">
        <f t="shared" si="142"/>
        <v>1044.32</v>
      </c>
      <c r="M3053" s="7"/>
      <c r="O3053">
        <f t="shared" si="143"/>
        <v>2</v>
      </c>
      <c r="Q3053" t="s">
        <v>19</v>
      </c>
    </row>
    <row r="3054" spans="1:17" x14ac:dyDescent="0.3">
      <c r="A3054" t="s">
        <v>4160</v>
      </c>
      <c r="B3054" s="6">
        <v>45015</v>
      </c>
      <c r="C3054" s="6" t="str">
        <f t="shared" si="141"/>
        <v>Mar</v>
      </c>
      <c r="D3054" t="s">
        <v>1480</v>
      </c>
      <c r="E3054" t="s">
        <v>19</v>
      </c>
      <c r="F3054" t="s">
        <v>789</v>
      </c>
      <c r="G3054">
        <v>7</v>
      </c>
      <c r="H3054" s="7">
        <v>442.45</v>
      </c>
      <c r="I3054" t="s">
        <v>64</v>
      </c>
      <c r="J3054" t="s">
        <v>28</v>
      </c>
      <c r="K3054">
        <v>15</v>
      </c>
      <c r="L3054" s="7">
        <f t="shared" si="142"/>
        <v>3097.15</v>
      </c>
      <c r="M3054" s="7"/>
      <c r="O3054">
        <f t="shared" si="143"/>
        <v>4</v>
      </c>
      <c r="Q3054" t="s">
        <v>65</v>
      </c>
    </row>
    <row r="3055" spans="1:17" x14ac:dyDescent="0.3">
      <c r="A3055" t="s">
        <v>4161</v>
      </c>
      <c r="B3055" s="6">
        <v>45290</v>
      </c>
      <c r="C3055" s="6" t="str">
        <f t="shared" si="141"/>
        <v>Dec</v>
      </c>
      <c r="D3055" t="s">
        <v>677</v>
      </c>
      <c r="E3055" t="s">
        <v>62</v>
      </c>
      <c r="F3055" t="s">
        <v>1693</v>
      </c>
      <c r="G3055">
        <v>4</v>
      </c>
      <c r="H3055" s="7">
        <v>282.93</v>
      </c>
      <c r="I3055" t="s">
        <v>19</v>
      </c>
      <c r="J3055" t="s">
        <v>19</v>
      </c>
      <c r="K3055">
        <v>15</v>
      </c>
      <c r="L3055" s="7">
        <f t="shared" si="142"/>
        <v>1131.72</v>
      </c>
      <c r="M3055" s="7"/>
      <c r="O3055">
        <f t="shared" si="143"/>
        <v>2</v>
      </c>
      <c r="Q3055" t="s">
        <v>19</v>
      </c>
    </row>
    <row r="3056" spans="1:17" x14ac:dyDescent="0.3">
      <c r="A3056" t="s">
        <v>4162</v>
      </c>
      <c r="B3056" s="6">
        <v>44944</v>
      </c>
      <c r="C3056" s="6" t="str">
        <f t="shared" si="141"/>
        <v>Jan</v>
      </c>
      <c r="D3056" t="s">
        <v>1287</v>
      </c>
      <c r="E3056" t="s">
        <v>26</v>
      </c>
      <c r="F3056" t="s">
        <v>145</v>
      </c>
      <c r="G3056">
        <v>2</v>
      </c>
      <c r="H3056" s="7">
        <v>97.04</v>
      </c>
      <c r="I3056" t="s">
        <v>46</v>
      </c>
      <c r="J3056" t="s">
        <v>22</v>
      </c>
      <c r="K3056">
        <v>10</v>
      </c>
      <c r="L3056" s="7">
        <f t="shared" si="142"/>
        <v>194.08</v>
      </c>
      <c r="M3056" s="7"/>
      <c r="O3056">
        <f t="shared" si="143"/>
        <v>2</v>
      </c>
      <c r="Q3056" t="s">
        <v>47</v>
      </c>
    </row>
    <row r="3057" spans="1:17" x14ac:dyDescent="0.3">
      <c r="A3057" t="s">
        <v>4163</v>
      </c>
      <c r="B3057" s="6">
        <v>45059</v>
      </c>
      <c r="C3057" s="6" t="str">
        <f t="shared" si="141"/>
        <v>May</v>
      </c>
      <c r="D3057" t="s">
        <v>2779</v>
      </c>
      <c r="E3057" t="s">
        <v>31</v>
      </c>
      <c r="F3057" t="s">
        <v>37</v>
      </c>
      <c r="G3057">
        <v>3</v>
      </c>
      <c r="H3057" s="7">
        <v>116.06</v>
      </c>
      <c r="I3057" t="s">
        <v>21</v>
      </c>
      <c r="J3057" t="s">
        <v>87</v>
      </c>
      <c r="K3057">
        <v>10</v>
      </c>
      <c r="L3057" s="7">
        <f t="shared" si="142"/>
        <v>348.18</v>
      </c>
      <c r="M3057" s="7"/>
      <c r="O3057">
        <f t="shared" si="143"/>
        <v>2</v>
      </c>
      <c r="Q3057" t="s">
        <v>23</v>
      </c>
    </row>
    <row r="3058" spans="1:17" x14ac:dyDescent="0.3">
      <c r="A3058" t="s">
        <v>4164</v>
      </c>
      <c r="B3058" s="6">
        <v>45021</v>
      </c>
      <c r="C3058" s="6" t="str">
        <f t="shared" si="141"/>
        <v>Apr</v>
      </c>
      <c r="D3058" t="s">
        <v>1520</v>
      </c>
      <c r="E3058" t="s">
        <v>31</v>
      </c>
      <c r="F3058" t="s">
        <v>198</v>
      </c>
      <c r="G3058">
        <v>6</v>
      </c>
      <c r="H3058" s="7">
        <v>249.46</v>
      </c>
      <c r="I3058" t="s">
        <v>46</v>
      </c>
      <c r="J3058" t="s">
        <v>72</v>
      </c>
      <c r="K3058">
        <v>5</v>
      </c>
      <c r="L3058" s="7">
        <f t="shared" si="142"/>
        <v>1496.76</v>
      </c>
      <c r="M3058" s="7"/>
      <c r="O3058">
        <f t="shared" si="143"/>
        <v>2</v>
      </c>
      <c r="Q3058" t="s">
        <v>47</v>
      </c>
    </row>
    <row r="3059" spans="1:17" x14ac:dyDescent="0.3">
      <c r="A3059" t="s">
        <v>4165</v>
      </c>
      <c r="B3059" s="6">
        <v>45024</v>
      </c>
      <c r="C3059" s="6" t="str">
        <f t="shared" si="141"/>
        <v>Apr</v>
      </c>
      <c r="D3059" t="s">
        <v>1492</v>
      </c>
      <c r="E3059" t="s">
        <v>19</v>
      </c>
      <c r="F3059" t="s">
        <v>807</v>
      </c>
      <c r="G3059">
        <v>5</v>
      </c>
      <c r="H3059" s="7">
        <v>480.99</v>
      </c>
      <c r="I3059" t="s">
        <v>32</v>
      </c>
      <c r="J3059" t="s">
        <v>19</v>
      </c>
      <c r="K3059">
        <v>10</v>
      </c>
      <c r="L3059" s="7">
        <f t="shared" si="142"/>
        <v>2404.9499999999998</v>
      </c>
      <c r="M3059" s="7"/>
      <c r="O3059">
        <f t="shared" si="143"/>
        <v>2</v>
      </c>
      <c r="Q3059" t="s">
        <v>33</v>
      </c>
    </row>
    <row r="3060" spans="1:17" x14ac:dyDescent="0.3">
      <c r="A3060" t="s">
        <v>4166</v>
      </c>
      <c r="B3060" s="6">
        <v>45179</v>
      </c>
      <c r="C3060" s="6" t="str">
        <f t="shared" si="141"/>
        <v>Sep</v>
      </c>
      <c r="D3060" t="s">
        <v>1886</v>
      </c>
      <c r="E3060" t="s">
        <v>26</v>
      </c>
      <c r="F3060" t="s">
        <v>224</v>
      </c>
      <c r="G3060">
        <v>8</v>
      </c>
      <c r="H3060" s="7">
        <v>385.97</v>
      </c>
      <c r="I3060" t="s">
        <v>19</v>
      </c>
      <c r="J3060" t="s">
        <v>19</v>
      </c>
      <c r="K3060">
        <v>10</v>
      </c>
      <c r="L3060" s="7">
        <f t="shared" si="142"/>
        <v>3087.76</v>
      </c>
      <c r="M3060" s="7"/>
      <c r="O3060">
        <f t="shared" si="143"/>
        <v>4</v>
      </c>
      <c r="Q3060" t="s">
        <v>19</v>
      </c>
    </row>
    <row r="3061" spans="1:17" x14ac:dyDescent="0.3">
      <c r="A3061" t="s">
        <v>4167</v>
      </c>
      <c r="B3061" s="6">
        <v>45089</v>
      </c>
      <c r="C3061" s="6" t="str">
        <f t="shared" si="141"/>
        <v>Jun</v>
      </c>
      <c r="D3061" t="s">
        <v>1160</v>
      </c>
      <c r="E3061" t="s">
        <v>36</v>
      </c>
      <c r="F3061" t="s">
        <v>1325</v>
      </c>
      <c r="G3061">
        <v>6</v>
      </c>
      <c r="H3061" s="7">
        <v>246.71</v>
      </c>
      <c r="I3061" t="s">
        <v>64</v>
      </c>
      <c r="J3061" t="s">
        <v>28</v>
      </c>
      <c r="K3061">
        <v>0</v>
      </c>
      <c r="L3061" s="7">
        <f t="shared" si="142"/>
        <v>1480.26</v>
      </c>
      <c r="M3061" s="7"/>
      <c r="O3061">
        <f t="shared" si="143"/>
        <v>2</v>
      </c>
      <c r="Q3061" t="s">
        <v>65</v>
      </c>
    </row>
    <row r="3062" spans="1:17" x14ac:dyDescent="0.3">
      <c r="A3062" t="s">
        <v>4168</v>
      </c>
      <c r="B3062" s="6">
        <v>44984</v>
      </c>
      <c r="C3062" s="6" t="str">
        <f t="shared" si="141"/>
        <v>Feb</v>
      </c>
      <c r="D3062" t="s">
        <v>1393</v>
      </c>
      <c r="E3062" t="s">
        <v>36</v>
      </c>
      <c r="F3062" t="s">
        <v>511</v>
      </c>
      <c r="G3062">
        <v>6</v>
      </c>
      <c r="H3062" s="7">
        <v>172.17</v>
      </c>
      <c r="I3062" t="s">
        <v>64</v>
      </c>
      <c r="J3062" t="s">
        <v>72</v>
      </c>
      <c r="K3062">
        <v>5</v>
      </c>
      <c r="L3062" s="7">
        <f t="shared" si="142"/>
        <v>1033.02</v>
      </c>
      <c r="M3062" s="7"/>
      <c r="O3062">
        <f t="shared" si="143"/>
        <v>2</v>
      </c>
      <c r="Q3062" t="s">
        <v>65</v>
      </c>
    </row>
    <row r="3063" spans="1:17" x14ac:dyDescent="0.3">
      <c r="A3063" t="s">
        <v>4169</v>
      </c>
      <c r="B3063" s="6">
        <v>44947</v>
      </c>
      <c r="C3063" s="6" t="str">
        <f t="shared" si="141"/>
        <v>Jan</v>
      </c>
      <c r="D3063" t="s">
        <v>2338</v>
      </c>
      <c r="E3063" t="s">
        <v>19</v>
      </c>
      <c r="F3063" t="s">
        <v>292</v>
      </c>
      <c r="G3063">
        <v>1</v>
      </c>
      <c r="H3063" s="7">
        <v>276.89</v>
      </c>
      <c r="I3063" t="s">
        <v>19</v>
      </c>
      <c r="J3063" t="s">
        <v>19</v>
      </c>
      <c r="K3063">
        <v>0</v>
      </c>
      <c r="L3063" s="7">
        <f t="shared" si="142"/>
        <v>276.89</v>
      </c>
      <c r="M3063" s="7"/>
      <c r="O3063">
        <f t="shared" si="143"/>
        <v>2</v>
      </c>
      <c r="Q3063" t="s">
        <v>19</v>
      </c>
    </row>
    <row r="3064" spans="1:17" x14ac:dyDescent="0.3">
      <c r="A3064" t="s">
        <v>4170</v>
      </c>
      <c r="B3064" s="6">
        <v>45243</v>
      </c>
      <c r="C3064" s="6" t="str">
        <f t="shared" si="141"/>
        <v>Nov</v>
      </c>
      <c r="D3064" t="s">
        <v>1144</v>
      </c>
      <c r="E3064" t="s">
        <v>19</v>
      </c>
      <c r="F3064" t="s">
        <v>363</v>
      </c>
      <c r="G3064">
        <v>4</v>
      </c>
      <c r="H3064" s="7">
        <v>375.44</v>
      </c>
      <c r="I3064" t="s">
        <v>46</v>
      </c>
      <c r="J3064" t="s">
        <v>72</v>
      </c>
      <c r="K3064">
        <v>10</v>
      </c>
      <c r="L3064" s="7">
        <f t="shared" si="142"/>
        <v>1501.76</v>
      </c>
      <c r="M3064" s="7"/>
      <c r="O3064">
        <f t="shared" si="143"/>
        <v>2</v>
      </c>
      <c r="Q3064" t="s">
        <v>47</v>
      </c>
    </row>
    <row r="3065" spans="1:17" x14ac:dyDescent="0.3">
      <c r="A3065" t="s">
        <v>4171</v>
      </c>
      <c r="B3065" s="6">
        <v>45131</v>
      </c>
      <c r="C3065" s="6" t="str">
        <f t="shared" si="141"/>
        <v>Jul</v>
      </c>
      <c r="D3065" t="s">
        <v>1444</v>
      </c>
      <c r="E3065" t="s">
        <v>26</v>
      </c>
      <c r="F3065" t="s">
        <v>646</v>
      </c>
      <c r="G3065">
        <v>5</v>
      </c>
      <c r="H3065" s="7">
        <v>393.04</v>
      </c>
      <c r="I3065" t="s">
        <v>64</v>
      </c>
      <c r="J3065" t="s">
        <v>42</v>
      </c>
      <c r="K3065">
        <v>10</v>
      </c>
      <c r="L3065" s="7">
        <f t="shared" si="142"/>
        <v>1965.2</v>
      </c>
      <c r="M3065" s="7"/>
      <c r="O3065">
        <f t="shared" si="143"/>
        <v>2</v>
      </c>
      <c r="Q3065" t="s">
        <v>65</v>
      </c>
    </row>
    <row r="3066" spans="1:17" x14ac:dyDescent="0.3">
      <c r="A3066" t="s">
        <v>4172</v>
      </c>
      <c r="B3066" s="6">
        <v>44976</v>
      </c>
      <c r="C3066" s="6" t="str">
        <f t="shared" si="141"/>
        <v>Feb</v>
      </c>
      <c r="D3066" t="s">
        <v>1219</v>
      </c>
      <c r="E3066" t="s">
        <v>19</v>
      </c>
      <c r="F3066" t="s">
        <v>749</v>
      </c>
      <c r="G3066">
        <v>3</v>
      </c>
      <c r="H3066" s="7">
        <v>165.68</v>
      </c>
      <c r="I3066" t="s">
        <v>32</v>
      </c>
      <c r="J3066" t="s">
        <v>87</v>
      </c>
      <c r="K3066">
        <v>5</v>
      </c>
      <c r="L3066" s="7">
        <f t="shared" si="142"/>
        <v>497.04</v>
      </c>
      <c r="M3066" s="7"/>
      <c r="O3066">
        <f t="shared" si="143"/>
        <v>2</v>
      </c>
      <c r="Q3066" t="s">
        <v>33</v>
      </c>
    </row>
    <row r="3067" spans="1:17" x14ac:dyDescent="0.3">
      <c r="A3067" t="s">
        <v>4173</v>
      </c>
      <c r="B3067" s="6">
        <v>45081</v>
      </c>
      <c r="C3067" s="6" t="str">
        <f t="shared" si="141"/>
        <v>Jun</v>
      </c>
      <c r="D3067" t="s">
        <v>2684</v>
      </c>
      <c r="E3067" t="s">
        <v>40</v>
      </c>
      <c r="F3067" t="s">
        <v>284</v>
      </c>
      <c r="G3067">
        <v>9</v>
      </c>
      <c r="H3067" s="7">
        <v>361.97</v>
      </c>
      <c r="I3067" t="s">
        <v>32</v>
      </c>
      <c r="J3067" t="s">
        <v>19</v>
      </c>
      <c r="K3067">
        <v>5</v>
      </c>
      <c r="L3067" s="7">
        <f t="shared" si="142"/>
        <v>3257.7300000000005</v>
      </c>
      <c r="M3067" s="7"/>
      <c r="O3067">
        <f t="shared" si="143"/>
        <v>4</v>
      </c>
      <c r="Q3067" t="s">
        <v>33</v>
      </c>
    </row>
    <row r="3068" spans="1:17" x14ac:dyDescent="0.3">
      <c r="A3068" t="s">
        <v>4174</v>
      </c>
      <c r="B3068" s="6">
        <v>45175</v>
      </c>
      <c r="C3068" s="6" t="str">
        <f t="shared" si="141"/>
        <v>Sep</v>
      </c>
      <c r="D3068" t="s">
        <v>581</v>
      </c>
      <c r="E3068" t="s">
        <v>19</v>
      </c>
      <c r="F3068" t="s">
        <v>398</v>
      </c>
      <c r="G3068">
        <v>5</v>
      </c>
      <c r="H3068" s="7">
        <v>330.61</v>
      </c>
      <c r="I3068" t="s">
        <v>19</v>
      </c>
      <c r="J3068" t="s">
        <v>22</v>
      </c>
      <c r="K3068">
        <v>10</v>
      </c>
      <c r="L3068" s="7">
        <f t="shared" si="142"/>
        <v>1653.0500000000002</v>
      </c>
      <c r="M3068" s="7"/>
      <c r="O3068">
        <f t="shared" si="143"/>
        <v>2</v>
      </c>
      <c r="Q3068" t="s">
        <v>19</v>
      </c>
    </row>
    <row r="3069" spans="1:17" x14ac:dyDescent="0.3">
      <c r="A3069" t="s">
        <v>4175</v>
      </c>
      <c r="B3069" s="6">
        <v>45040</v>
      </c>
      <c r="C3069" s="6" t="str">
        <f t="shared" si="141"/>
        <v>Apr</v>
      </c>
      <c r="D3069" t="s">
        <v>1216</v>
      </c>
      <c r="E3069" t="s">
        <v>26</v>
      </c>
      <c r="F3069" t="s">
        <v>63</v>
      </c>
      <c r="G3069">
        <v>6</v>
      </c>
      <c r="H3069" s="7">
        <v>479.76</v>
      </c>
      <c r="I3069" t="s">
        <v>103</v>
      </c>
      <c r="J3069" t="s">
        <v>19</v>
      </c>
      <c r="K3069">
        <v>10</v>
      </c>
      <c r="L3069" s="7">
        <f t="shared" si="142"/>
        <v>2878.56</v>
      </c>
      <c r="M3069" s="7"/>
      <c r="O3069">
        <f t="shared" si="143"/>
        <v>3</v>
      </c>
      <c r="Q3069" t="s">
        <v>104</v>
      </c>
    </row>
    <row r="3070" spans="1:17" x14ac:dyDescent="0.3">
      <c r="A3070" t="s">
        <v>4176</v>
      </c>
      <c r="B3070" s="6">
        <v>45266</v>
      </c>
      <c r="C3070" s="6" t="str">
        <f t="shared" si="141"/>
        <v>Dec</v>
      </c>
      <c r="D3070" t="s">
        <v>2619</v>
      </c>
      <c r="E3070" t="s">
        <v>31</v>
      </c>
      <c r="F3070" t="s">
        <v>398</v>
      </c>
      <c r="G3070">
        <v>6</v>
      </c>
      <c r="H3070" s="7">
        <v>465.89</v>
      </c>
      <c r="I3070" t="s">
        <v>64</v>
      </c>
      <c r="J3070" t="s">
        <v>72</v>
      </c>
      <c r="K3070">
        <v>20</v>
      </c>
      <c r="L3070" s="7">
        <f t="shared" si="142"/>
        <v>2795.34</v>
      </c>
      <c r="M3070" s="7"/>
      <c r="O3070">
        <f t="shared" si="143"/>
        <v>3</v>
      </c>
      <c r="Q3070" t="s">
        <v>65</v>
      </c>
    </row>
    <row r="3071" spans="1:17" x14ac:dyDescent="0.3">
      <c r="A3071" t="s">
        <v>4177</v>
      </c>
      <c r="B3071" s="6">
        <v>45182</v>
      </c>
      <c r="C3071" s="6" t="str">
        <f t="shared" si="141"/>
        <v>Sep</v>
      </c>
      <c r="D3071" t="s">
        <v>1321</v>
      </c>
      <c r="E3071" t="s">
        <v>36</v>
      </c>
      <c r="F3071" t="s">
        <v>41</v>
      </c>
      <c r="G3071">
        <v>5</v>
      </c>
      <c r="H3071" s="7">
        <v>395.74</v>
      </c>
      <c r="I3071" t="s">
        <v>32</v>
      </c>
      <c r="J3071" t="s">
        <v>72</v>
      </c>
      <c r="K3071">
        <v>15</v>
      </c>
      <c r="L3071" s="7">
        <f t="shared" si="142"/>
        <v>1978.7</v>
      </c>
      <c r="M3071" s="7"/>
      <c r="O3071">
        <f t="shared" si="143"/>
        <v>2</v>
      </c>
      <c r="Q3071" t="s">
        <v>33</v>
      </c>
    </row>
    <row r="3072" spans="1:17" x14ac:dyDescent="0.3">
      <c r="A3072" t="s">
        <v>4178</v>
      </c>
      <c r="B3072" s="6">
        <v>45276</v>
      </c>
      <c r="C3072" s="6" t="str">
        <f t="shared" si="141"/>
        <v>Dec</v>
      </c>
      <c r="D3072" t="s">
        <v>1122</v>
      </c>
      <c r="E3072" t="s">
        <v>19</v>
      </c>
      <c r="F3072" t="s">
        <v>1328</v>
      </c>
      <c r="G3072">
        <v>5</v>
      </c>
      <c r="H3072" s="7">
        <v>363.08</v>
      </c>
      <c r="I3072" t="s">
        <v>32</v>
      </c>
      <c r="J3072" t="s">
        <v>42</v>
      </c>
      <c r="K3072">
        <v>10</v>
      </c>
      <c r="L3072" s="7">
        <f t="shared" si="142"/>
        <v>1815.3999999999999</v>
      </c>
      <c r="M3072" s="7"/>
      <c r="O3072">
        <f t="shared" si="143"/>
        <v>2</v>
      </c>
      <c r="Q3072" t="s">
        <v>33</v>
      </c>
    </row>
    <row r="3073" spans="1:17" x14ac:dyDescent="0.3">
      <c r="A3073" t="s">
        <v>4179</v>
      </c>
      <c r="B3073" s="6">
        <v>44936</v>
      </c>
      <c r="C3073" s="6" t="str">
        <f t="shared" si="141"/>
        <v>Jan</v>
      </c>
      <c r="D3073" t="s">
        <v>388</v>
      </c>
      <c r="E3073" t="s">
        <v>62</v>
      </c>
      <c r="F3073" t="s">
        <v>344</v>
      </c>
      <c r="G3073">
        <v>5</v>
      </c>
      <c r="H3073" s="7">
        <v>140.65</v>
      </c>
      <c r="I3073" t="s">
        <v>103</v>
      </c>
      <c r="J3073" t="s">
        <v>28</v>
      </c>
      <c r="K3073">
        <v>15</v>
      </c>
      <c r="L3073" s="7">
        <f t="shared" si="142"/>
        <v>703.25</v>
      </c>
      <c r="M3073" s="7"/>
      <c r="O3073">
        <f t="shared" si="143"/>
        <v>2</v>
      </c>
      <c r="Q3073" t="s">
        <v>104</v>
      </c>
    </row>
    <row r="3074" spans="1:17" x14ac:dyDescent="0.3">
      <c r="A3074" t="s">
        <v>4180</v>
      </c>
      <c r="B3074" s="6">
        <v>45213</v>
      </c>
      <c r="C3074" s="6" t="str">
        <f t="shared" si="141"/>
        <v>Oct</v>
      </c>
      <c r="D3074" t="s">
        <v>873</v>
      </c>
      <c r="E3074" t="s">
        <v>26</v>
      </c>
      <c r="F3074" t="s">
        <v>188</v>
      </c>
      <c r="G3074">
        <v>6</v>
      </c>
      <c r="H3074" s="7">
        <v>423.75</v>
      </c>
      <c r="I3074" t="s">
        <v>19</v>
      </c>
      <c r="J3074" t="s">
        <v>87</v>
      </c>
      <c r="K3074">
        <v>10</v>
      </c>
      <c r="L3074" s="7">
        <f t="shared" si="142"/>
        <v>2542.5</v>
      </c>
      <c r="M3074" s="7"/>
      <c r="O3074">
        <f t="shared" si="143"/>
        <v>3</v>
      </c>
      <c r="Q3074" t="s">
        <v>19</v>
      </c>
    </row>
    <row r="3075" spans="1:17" x14ac:dyDescent="0.3">
      <c r="A3075" t="s">
        <v>4181</v>
      </c>
      <c r="B3075" s="6">
        <v>45043</v>
      </c>
      <c r="C3075" s="6" t="str">
        <f t="shared" ref="C3075:C3138" si="144">TEXT(B3075,"MMM")</f>
        <v>Apr</v>
      </c>
      <c r="D3075" t="s">
        <v>1185</v>
      </c>
      <c r="E3075" t="s">
        <v>36</v>
      </c>
      <c r="F3075" t="s">
        <v>409</v>
      </c>
      <c r="G3075">
        <v>8</v>
      </c>
      <c r="H3075" s="7">
        <v>216.62</v>
      </c>
      <c r="I3075" t="s">
        <v>46</v>
      </c>
      <c r="J3075" t="s">
        <v>28</v>
      </c>
      <c r="K3075">
        <v>15</v>
      </c>
      <c r="L3075" s="7">
        <f t="shared" ref="L3075:L3138" si="145">G3075*H3075</f>
        <v>1732.96</v>
      </c>
      <c r="M3075" s="7"/>
      <c r="O3075">
        <f t="shared" si="143"/>
        <v>2</v>
      </c>
      <c r="Q3075" t="s">
        <v>47</v>
      </c>
    </row>
    <row r="3076" spans="1:17" x14ac:dyDescent="0.3">
      <c r="A3076" t="s">
        <v>4182</v>
      </c>
      <c r="B3076" s="6">
        <v>45001</v>
      </c>
      <c r="C3076" s="6" t="str">
        <f t="shared" si="144"/>
        <v>Mar</v>
      </c>
      <c r="D3076" t="s">
        <v>795</v>
      </c>
      <c r="E3076" t="s">
        <v>19</v>
      </c>
      <c r="F3076" t="s">
        <v>909</v>
      </c>
      <c r="G3076">
        <v>2</v>
      </c>
      <c r="H3076" s="7">
        <v>139.76</v>
      </c>
      <c r="I3076" t="s">
        <v>32</v>
      </c>
      <c r="J3076" t="s">
        <v>72</v>
      </c>
      <c r="K3076">
        <v>20</v>
      </c>
      <c r="L3076" s="7">
        <f t="shared" si="145"/>
        <v>279.52</v>
      </c>
      <c r="M3076" s="7"/>
      <c r="O3076">
        <f t="shared" ref="O3076:O3139" si="146">IF(L3076&gt;3500,5,IF(L3076&gt;3000,4,IF(L3076&gt;2500,3,IF(L3076&gt;2000,2,IF(L3076&gt;1000,2,2)))))</f>
        <v>2</v>
      </c>
      <c r="Q3076" t="s">
        <v>33</v>
      </c>
    </row>
    <row r="3077" spans="1:17" x14ac:dyDescent="0.3">
      <c r="A3077" t="s">
        <v>4183</v>
      </c>
      <c r="B3077" s="6">
        <v>45218</v>
      </c>
      <c r="C3077" s="6" t="str">
        <f t="shared" si="144"/>
        <v>Oct</v>
      </c>
      <c r="D3077" t="s">
        <v>2556</v>
      </c>
      <c r="E3077" t="s">
        <v>40</v>
      </c>
      <c r="F3077" t="s">
        <v>1693</v>
      </c>
      <c r="G3077">
        <v>6</v>
      </c>
      <c r="H3077" s="7">
        <v>195.16</v>
      </c>
      <c r="I3077" t="s">
        <v>21</v>
      </c>
      <c r="J3077" t="s">
        <v>87</v>
      </c>
      <c r="K3077">
        <v>20</v>
      </c>
      <c r="L3077" s="7">
        <f t="shared" si="145"/>
        <v>1170.96</v>
      </c>
      <c r="M3077" s="7"/>
      <c r="O3077">
        <f t="shared" si="146"/>
        <v>2</v>
      </c>
      <c r="Q3077" t="s">
        <v>23</v>
      </c>
    </row>
    <row r="3078" spans="1:17" x14ac:dyDescent="0.3">
      <c r="A3078" t="s">
        <v>4184</v>
      </c>
      <c r="B3078" s="6">
        <v>45186</v>
      </c>
      <c r="C3078" s="6" t="str">
        <f t="shared" si="144"/>
        <v>Sep</v>
      </c>
      <c r="D3078" t="s">
        <v>2134</v>
      </c>
      <c r="E3078" t="s">
        <v>19</v>
      </c>
      <c r="F3078" t="s">
        <v>619</v>
      </c>
      <c r="G3078">
        <v>1</v>
      </c>
      <c r="H3078" s="7">
        <v>418.79</v>
      </c>
      <c r="I3078" t="s">
        <v>32</v>
      </c>
      <c r="J3078" t="s">
        <v>19</v>
      </c>
      <c r="K3078">
        <v>0</v>
      </c>
      <c r="L3078" s="7">
        <f t="shared" si="145"/>
        <v>418.79</v>
      </c>
      <c r="M3078" s="7"/>
      <c r="O3078">
        <f t="shared" si="146"/>
        <v>2</v>
      </c>
      <c r="Q3078" t="s">
        <v>33</v>
      </c>
    </row>
    <row r="3079" spans="1:17" x14ac:dyDescent="0.3">
      <c r="A3079" t="s">
        <v>4185</v>
      </c>
      <c r="B3079" s="6">
        <v>45113</v>
      </c>
      <c r="C3079" s="6" t="str">
        <f t="shared" si="144"/>
        <v>Jul</v>
      </c>
      <c r="D3079" t="s">
        <v>112</v>
      </c>
      <c r="E3079" t="s">
        <v>19</v>
      </c>
      <c r="F3079" t="s">
        <v>372</v>
      </c>
      <c r="G3079">
        <v>4</v>
      </c>
      <c r="H3079" s="7">
        <v>78.569999999999993</v>
      </c>
      <c r="I3079" t="s">
        <v>19</v>
      </c>
      <c r="J3079" t="s">
        <v>42</v>
      </c>
      <c r="K3079">
        <v>5</v>
      </c>
      <c r="L3079" s="7">
        <f t="shared" si="145"/>
        <v>314.27999999999997</v>
      </c>
      <c r="M3079" s="7"/>
      <c r="O3079">
        <f t="shared" si="146"/>
        <v>2</v>
      </c>
      <c r="Q3079" t="s">
        <v>19</v>
      </c>
    </row>
    <row r="3080" spans="1:17" x14ac:dyDescent="0.3">
      <c r="A3080" t="s">
        <v>4186</v>
      </c>
      <c r="B3080" s="6">
        <v>45286</v>
      </c>
      <c r="C3080" s="6" t="str">
        <f t="shared" si="144"/>
        <v>Dec</v>
      </c>
      <c r="D3080" t="s">
        <v>1483</v>
      </c>
      <c r="E3080" t="s">
        <v>26</v>
      </c>
      <c r="F3080" t="s">
        <v>325</v>
      </c>
      <c r="G3080">
        <v>3</v>
      </c>
      <c r="H3080" s="7">
        <v>230.8</v>
      </c>
      <c r="I3080" t="s">
        <v>21</v>
      </c>
      <c r="J3080" t="s">
        <v>42</v>
      </c>
      <c r="K3080">
        <v>15</v>
      </c>
      <c r="L3080" s="7">
        <f t="shared" si="145"/>
        <v>692.40000000000009</v>
      </c>
      <c r="M3080" s="7"/>
      <c r="O3080">
        <f t="shared" si="146"/>
        <v>2</v>
      </c>
      <c r="Q3080" t="s">
        <v>23</v>
      </c>
    </row>
    <row r="3081" spans="1:17" x14ac:dyDescent="0.3">
      <c r="A3081" t="s">
        <v>4187</v>
      </c>
      <c r="B3081" s="6">
        <v>45142</v>
      </c>
      <c r="C3081" s="6" t="str">
        <f t="shared" si="144"/>
        <v>Aug</v>
      </c>
      <c r="D3081" t="s">
        <v>3913</v>
      </c>
      <c r="E3081" t="s">
        <v>50</v>
      </c>
      <c r="F3081" t="s">
        <v>409</v>
      </c>
      <c r="G3081">
        <v>9</v>
      </c>
      <c r="H3081" s="7">
        <v>248.72</v>
      </c>
      <c r="I3081" t="s">
        <v>103</v>
      </c>
      <c r="J3081" t="s">
        <v>28</v>
      </c>
      <c r="K3081">
        <v>20</v>
      </c>
      <c r="L3081" s="7">
        <f t="shared" si="145"/>
        <v>2238.48</v>
      </c>
      <c r="M3081" s="7"/>
      <c r="O3081">
        <f t="shared" si="146"/>
        <v>2</v>
      </c>
      <c r="Q3081" t="s">
        <v>104</v>
      </c>
    </row>
    <row r="3082" spans="1:17" x14ac:dyDescent="0.3">
      <c r="A3082" t="s">
        <v>4188</v>
      </c>
      <c r="B3082" s="6">
        <v>45056</v>
      </c>
      <c r="C3082" s="6" t="str">
        <f t="shared" si="144"/>
        <v>May</v>
      </c>
      <c r="D3082" t="s">
        <v>618</v>
      </c>
      <c r="E3082" t="s">
        <v>36</v>
      </c>
      <c r="F3082" t="s">
        <v>749</v>
      </c>
      <c r="G3082">
        <v>3</v>
      </c>
      <c r="H3082" s="7">
        <v>23.13</v>
      </c>
      <c r="I3082" t="s">
        <v>64</v>
      </c>
      <c r="J3082" t="s">
        <v>22</v>
      </c>
      <c r="K3082">
        <v>5</v>
      </c>
      <c r="L3082" s="7">
        <f t="shared" si="145"/>
        <v>69.39</v>
      </c>
      <c r="M3082" s="7"/>
      <c r="O3082">
        <f t="shared" si="146"/>
        <v>2</v>
      </c>
      <c r="Q3082" t="s">
        <v>65</v>
      </c>
    </row>
    <row r="3083" spans="1:17" x14ac:dyDescent="0.3">
      <c r="A3083" t="s">
        <v>4189</v>
      </c>
      <c r="B3083" s="6">
        <v>45241</v>
      </c>
      <c r="C3083" s="6" t="str">
        <f t="shared" si="144"/>
        <v>Nov</v>
      </c>
      <c r="D3083" t="s">
        <v>1935</v>
      </c>
      <c r="E3083" t="s">
        <v>50</v>
      </c>
      <c r="F3083" t="s">
        <v>975</v>
      </c>
      <c r="G3083">
        <v>6</v>
      </c>
      <c r="H3083" s="7">
        <v>101.89</v>
      </c>
      <c r="I3083" t="s">
        <v>19</v>
      </c>
      <c r="J3083" t="s">
        <v>72</v>
      </c>
      <c r="K3083">
        <v>5</v>
      </c>
      <c r="L3083" s="7">
        <f t="shared" si="145"/>
        <v>611.34</v>
      </c>
      <c r="M3083" s="7"/>
      <c r="O3083">
        <f t="shared" si="146"/>
        <v>2</v>
      </c>
      <c r="Q3083" t="s">
        <v>19</v>
      </c>
    </row>
    <row r="3084" spans="1:17" x14ac:dyDescent="0.3">
      <c r="A3084" t="s">
        <v>4190</v>
      </c>
      <c r="B3084" s="6">
        <v>45083</v>
      </c>
      <c r="C3084" s="6" t="str">
        <f t="shared" si="144"/>
        <v>Jun</v>
      </c>
      <c r="D3084" t="s">
        <v>4191</v>
      </c>
      <c r="E3084" t="s">
        <v>26</v>
      </c>
      <c r="F3084" t="s">
        <v>646</v>
      </c>
      <c r="G3084">
        <v>1</v>
      </c>
      <c r="H3084" s="7">
        <v>414.24</v>
      </c>
      <c r="I3084" t="s">
        <v>19</v>
      </c>
      <c r="J3084" t="s">
        <v>19</v>
      </c>
      <c r="K3084">
        <v>0</v>
      </c>
      <c r="L3084" s="7">
        <f t="shared" si="145"/>
        <v>414.24</v>
      </c>
      <c r="M3084" s="7"/>
      <c r="O3084">
        <f t="shared" si="146"/>
        <v>2</v>
      </c>
      <c r="Q3084" t="s">
        <v>19</v>
      </c>
    </row>
    <row r="3085" spans="1:17" x14ac:dyDescent="0.3">
      <c r="A3085" t="s">
        <v>4192</v>
      </c>
      <c r="B3085" s="6">
        <v>45026</v>
      </c>
      <c r="C3085" s="6" t="str">
        <f t="shared" si="144"/>
        <v>Apr</v>
      </c>
      <c r="D3085" t="s">
        <v>4193</v>
      </c>
      <c r="E3085" t="s">
        <v>31</v>
      </c>
      <c r="F3085" t="s">
        <v>148</v>
      </c>
      <c r="G3085">
        <v>6</v>
      </c>
      <c r="H3085" s="7">
        <v>416.23</v>
      </c>
      <c r="I3085" t="s">
        <v>64</v>
      </c>
      <c r="J3085" t="s">
        <v>19</v>
      </c>
      <c r="K3085">
        <v>5</v>
      </c>
      <c r="L3085" s="7">
        <f t="shared" si="145"/>
        <v>2497.38</v>
      </c>
      <c r="M3085" s="7"/>
      <c r="O3085">
        <f t="shared" si="146"/>
        <v>2</v>
      </c>
      <c r="Q3085" t="s">
        <v>65</v>
      </c>
    </row>
    <row r="3086" spans="1:17" x14ac:dyDescent="0.3">
      <c r="A3086" t="s">
        <v>4194</v>
      </c>
      <c r="B3086" s="6">
        <v>45172</v>
      </c>
      <c r="C3086" s="6" t="str">
        <f t="shared" si="144"/>
        <v>Sep</v>
      </c>
      <c r="D3086" t="s">
        <v>1030</v>
      </c>
      <c r="E3086" t="s">
        <v>19</v>
      </c>
      <c r="F3086" t="s">
        <v>116</v>
      </c>
      <c r="G3086">
        <v>4</v>
      </c>
      <c r="H3086" s="7">
        <v>149.75</v>
      </c>
      <c r="I3086" t="s">
        <v>21</v>
      </c>
      <c r="J3086" t="s">
        <v>87</v>
      </c>
      <c r="K3086">
        <v>5</v>
      </c>
      <c r="L3086" s="7">
        <f t="shared" si="145"/>
        <v>599</v>
      </c>
      <c r="M3086" s="7"/>
      <c r="O3086">
        <f t="shared" si="146"/>
        <v>2</v>
      </c>
      <c r="Q3086" t="s">
        <v>23</v>
      </c>
    </row>
    <row r="3087" spans="1:17" x14ac:dyDescent="0.3">
      <c r="A3087" t="s">
        <v>4195</v>
      </c>
      <c r="B3087" s="6">
        <v>45104</v>
      </c>
      <c r="C3087" s="6" t="str">
        <f t="shared" si="144"/>
        <v>Jun</v>
      </c>
      <c r="D3087" t="s">
        <v>1980</v>
      </c>
      <c r="E3087" t="s">
        <v>19</v>
      </c>
      <c r="F3087" t="s">
        <v>284</v>
      </c>
      <c r="G3087">
        <v>8</v>
      </c>
      <c r="H3087" s="7">
        <v>438.07</v>
      </c>
      <c r="I3087" t="s">
        <v>21</v>
      </c>
      <c r="J3087" t="s">
        <v>22</v>
      </c>
      <c r="K3087">
        <v>10</v>
      </c>
      <c r="L3087" s="7">
        <f t="shared" si="145"/>
        <v>3504.56</v>
      </c>
      <c r="M3087" s="7"/>
      <c r="O3087">
        <f t="shared" si="146"/>
        <v>5</v>
      </c>
      <c r="Q3087" t="s">
        <v>23</v>
      </c>
    </row>
    <row r="3088" spans="1:17" x14ac:dyDescent="0.3">
      <c r="A3088" t="s">
        <v>4196</v>
      </c>
      <c r="B3088" s="6">
        <v>45050</v>
      </c>
      <c r="C3088" s="6" t="str">
        <f t="shared" si="144"/>
        <v>May</v>
      </c>
      <c r="D3088" t="s">
        <v>402</v>
      </c>
      <c r="E3088" t="s">
        <v>62</v>
      </c>
      <c r="F3088" t="s">
        <v>1085</v>
      </c>
      <c r="G3088">
        <v>9</v>
      </c>
      <c r="H3088" s="7">
        <v>387.03</v>
      </c>
      <c r="I3088" t="s">
        <v>19</v>
      </c>
      <c r="J3088" t="s">
        <v>72</v>
      </c>
      <c r="K3088">
        <v>10</v>
      </c>
      <c r="L3088" s="7">
        <f t="shared" si="145"/>
        <v>3483.2699999999995</v>
      </c>
      <c r="M3088" s="7"/>
      <c r="O3088">
        <f t="shared" si="146"/>
        <v>4</v>
      </c>
      <c r="Q3088" t="s">
        <v>19</v>
      </c>
    </row>
    <row r="3089" spans="1:17" x14ac:dyDescent="0.3">
      <c r="A3089" t="s">
        <v>4197</v>
      </c>
      <c r="B3089" s="6">
        <v>45068</v>
      </c>
      <c r="C3089" s="6" t="str">
        <f t="shared" si="144"/>
        <v>May</v>
      </c>
      <c r="D3089" t="s">
        <v>1169</v>
      </c>
      <c r="E3089" t="s">
        <v>40</v>
      </c>
      <c r="F3089" t="s">
        <v>474</v>
      </c>
      <c r="G3089">
        <v>4</v>
      </c>
      <c r="H3089" s="7">
        <v>211.86</v>
      </c>
      <c r="I3089" t="s">
        <v>46</v>
      </c>
      <c r="J3089" t="s">
        <v>42</v>
      </c>
      <c r="K3089">
        <v>0</v>
      </c>
      <c r="L3089" s="7">
        <f t="shared" si="145"/>
        <v>847.44</v>
      </c>
      <c r="M3089" s="7"/>
      <c r="O3089">
        <f t="shared" si="146"/>
        <v>2</v>
      </c>
      <c r="Q3089" t="s">
        <v>47</v>
      </c>
    </row>
    <row r="3090" spans="1:17" x14ac:dyDescent="0.3">
      <c r="A3090" t="s">
        <v>4198</v>
      </c>
      <c r="B3090" s="6">
        <v>45101</v>
      </c>
      <c r="C3090" s="6" t="str">
        <f t="shared" si="144"/>
        <v>Jun</v>
      </c>
      <c r="D3090" t="s">
        <v>2790</v>
      </c>
      <c r="E3090" t="s">
        <v>26</v>
      </c>
      <c r="F3090" t="s">
        <v>71</v>
      </c>
      <c r="G3090">
        <v>6</v>
      </c>
      <c r="H3090" s="7">
        <v>375.46</v>
      </c>
      <c r="I3090" t="s">
        <v>21</v>
      </c>
      <c r="J3090" t="s">
        <v>87</v>
      </c>
      <c r="K3090">
        <v>0</v>
      </c>
      <c r="L3090" s="7">
        <f t="shared" si="145"/>
        <v>2252.7599999999998</v>
      </c>
      <c r="M3090" s="7"/>
      <c r="O3090">
        <f t="shared" si="146"/>
        <v>2</v>
      </c>
      <c r="Q3090" t="s">
        <v>23</v>
      </c>
    </row>
    <row r="3091" spans="1:17" x14ac:dyDescent="0.3">
      <c r="A3091" t="s">
        <v>4199</v>
      </c>
      <c r="B3091" s="6">
        <v>44998</v>
      </c>
      <c r="C3091" s="6" t="str">
        <f t="shared" si="144"/>
        <v>Mar</v>
      </c>
      <c r="D3091" t="s">
        <v>2474</v>
      </c>
      <c r="E3091" t="s">
        <v>19</v>
      </c>
      <c r="F3091" t="s">
        <v>436</v>
      </c>
      <c r="G3091">
        <v>1</v>
      </c>
      <c r="H3091" s="7">
        <v>480.86</v>
      </c>
      <c r="I3091" t="s">
        <v>32</v>
      </c>
      <c r="J3091" t="s">
        <v>87</v>
      </c>
      <c r="K3091">
        <v>15</v>
      </c>
      <c r="L3091" s="7">
        <f t="shared" si="145"/>
        <v>480.86</v>
      </c>
      <c r="M3091" s="7"/>
      <c r="O3091">
        <f t="shared" si="146"/>
        <v>2</v>
      </c>
      <c r="Q3091" t="s">
        <v>33</v>
      </c>
    </row>
    <row r="3092" spans="1:17" x14ac:dyDescent="0.3">
      <c r="A3092" t="s">
        <v>4200</v>
      </c>
      <c r="B3092" s="6">
        <v>45039</v>
      </c>
      <c r="C3092" s="6" t="str">
        <f t="shared" si="144"/>
        <v>Apr</v>
      </c>
      <c r="D3092" t="s">
        <v>3110</v>
      </c>
      <c r="E3092" t="s">
        <v>50</v>
      </c>
      <c r="F3092" t="s">
        <v>292</v>
      </c>
      <c r="G3092">
        <v>4</v>
      </c>
      <c r="H3092" s="7">
        <v>232.19</v>
      </c>
      <c r="I3092" t="s">
        <v>103</v>
      </c>
      <c r="J3092" t="s">
        <v>28</v>
      </c>
      <c r="K3092">
        <v>5</v>
      </c>
      <c r="L3092" s="7">
        <f t="shared" si="145"/>
        <v>928.76</v>
      </c>
      <c r="M3092" s="7"/>
      <c r="O3092">
        <f t="shared" si="146"/>
        <v>2</v>
      </c>
      <c r="Q3092" t="s">
        <v>104</v>
      </c>
    </row>
    <row r="3093" spans="1:17" x14ac:dyDescent="0.3">
      <c r="A3093" t="s">
        <v>4201</v>
      </c>
      <c r="B3093" s="6">
        <v>45186</v>
      </c>
      <c r="C3093" s="6" t="str">
        <f t="shared" si="144"/>
        <v>Sep</v>
      </c>
      <c r="D3093" t="s">
        <v>2717</v>
      </c>
      <c r="E3093" t="s">
        <v>26</v>
      </c>
      <c r="F3093" t="s">
        <v>662</v>
      </c>
      <c r="G3093">
        <v>5</v>
      </c>
      <c r="H3093" s="7">
        <v>123.02</v>
      </c>
      <c r="I3093" t="s">
        <v>19</v>
      </c>
      <c r="J3093" t="s">
        <v>22</v>
      </c>
      <c r="K3093">
        <v>15</v>
      </c>
      <c r="L3093" s="7">
        <f t="shared" si="145"/>
        <v>615.1</v>
      </c>
      <c r="M3093" s="7"/>
      <c r="O3093">
        <f t="shared" si="146"/>
        <v>2</v>
      </c>
      <c r="Q3093" t="s">
        <v>19</v>
      </c>
    </row>
    <row r="3094" spans="1:17" x14ac:dyDescent="0.3">
      <c r="A3094" t="s">
        <v>4202</v>
      </c>
      <c r="B3094" s="6">
        <v>45190</v>
      </c>
      <c r="C3094" s="6" t="str">
        <f t="shared" si="144"/>
        <v>Sep</v>
      </c>
      <c r="D3094" t="s">
        <v>2691</v>
      </c>
      <c r="E3094" t="s">
        <v>19</v>
      </c>
      <c r="F3094" t="s">
        <v>37</v>
      </c>
      <c r="G3094">
        <v>1</v>
      </c>
      <c r="H3094" s="7">
        <v>471.2</v>
      </c>
      <c r="I3094" t="s">
        <v>64</v>
      </c>
      <c r="J3094" t="s">
        <v>19</v>
      </c>
      <c r="K3094">
        <v>10</v>
      </c>
      <c r="L3094" s="7">
        <f t="shared" si="145"/>
        <v>471.2</v>
      </c>
      <c r="M3094" s="7"/>
      <c r="O3094">
        <f t="shared" si="146"/>
        <v>2</v>
      </c>
      <c r="Q3094" t="s">
        <v>65</v>
      </c>
    </row>
    <row r="3095" spans="1:17" x14ac:dyDescent="0.3">
      <c r="A3095" t="s">
        <v>4203</v>
      </c>
      <c r="B3095" s="6">
        <v>45220</v>
      </c>
      <c r="C3095" s="6" t="str">
        <f t="shared" si="144"/>
        <v>Oct</v>
      </c>
      <c r="D3095" t="s">
        <v>1516</v>
      </c>
      <c r="E3095" t="s">
        <v>62</v>
      </c>
      <c r="F3095" t="s">
        <v>1851</v>
      </c>
      <c r="G3095">
        <v>8</v>
      </c>
      <c r="H3095" s="7">
        <v>303.85000000000002</v>
      </c>
      <c r="I3095" t="s">
        <v>21</v>
      </c>
      <c r="J3095" t="s">
        <v>28</v>
      </c>
      <c r="K3095">
        <v>20</v>
      </c>
      <c r="L3095" s="7">
        <f t="shared" si="145"/>
        <v>2430.8000000000002</v>
      </c>
      <c r="M3095" s="7"/>
      <c r="O3095">
        <f t="shared" si="146"/>
        <v>2</v>
      </c>
      <c r="Q3095" t="s">
        <v>23</v>
      </c>
    </row>
    <row r="3096" spans="1:17" x14ac:dyDescent="0.3">
      <c r="A3096" t="s">
        <v>4204</v>
      </c>
      <c r="B3096" s="6">
        <v>45103</v>
      </c>
      <c r="C3096" s="6" t="str">
        <f t="shared" si="144"/>
        <v>Jun</v>
      </c>
      <c r="D3096" t="s">
        <v>1995</v>
      </c>
      <c r="E3096" t="s">
        <v>62</v>
      </c>
      <c r="F3096" t="s">
        <v>71</v>
      </c>
      <c r="G3096">
        <v>6</v>
      </c>
      <c r="H3096" s="7">
        <v>57.11</v>
      </c>
      <c r="I3096" t="s">
        <v>64</v>
      </c>
      <c r="J3096" t="s">
        <v>22</v>
      </c>
      <c r="K3096">
        <v>5</v>
      </c>
      <c r="L3096" s="7">
        <f t="shared" si="145"/>
        <v>342.65999999999997</v>
      </c>
      <c r="M3096" s="7"/>
      <c r="O3096">
        <f t="shared" si="146"/>
        <v>2</v>
      </c>
      <c r="Q3096" t="s">
        <v>65</v>
      </c>
    </row>
    <row r="3097" spans="1:17" x14ac:dyDescent="0.3">
      <c r="A3097" t="s">
        <v>4205</v>
      </c>
      <c r="B3097" s="6">
        <v>45012</v>
      </c>
      <c r="C3097" s="6" t="str">
        <f t="shared" si="144"/>
        <v>Mar</v>
      </c>
      <c r="D3097" t="s">
        <v>2564</v>
      </c>
      <c r="E3097" t="s">
        <v>26</v>
      </c>
      <c r="F3097" t="s">
        <v>1146</v>
      </c>
      <c r="G3097">
        <v>5</v>
      </c>
      <c r="H3097" s="7">
        <v>288.48</v>
      </c>
      <c r="I3097" t="s">
        <v>19</v>
      </c>
      <c r="J3097" t="s">
        <v>22</v>
      </c>
      <c r="K3097">
        <v>20</v>
      </c>
      <c r="L3097" s="7">
        <f t="shared" si="145"/>
        <v>1442.4</v>
      </c>
      <c r="M3097" s="7"/>
      <c r="O3097">
        <f t="shared" si="146"/>
        <v>2</v>
      </c>
      <c r="Q3097" t="s">
        <v>19</v>
      </c>
    </row>
    <row r="3098" spans="1:17" x14ac:dyDescent="0.3">
      <c r="A3098" t="s">
        <v>4206</v>
      </c>
      <c r="B3098" s="6">
        <v>45087</v>
      </c>
      <c r="C3098" s="6" t="str">
        <f t="shared" si="144"/>
        <v>Jun</v>
      </c>
      <c r="D3098" t="s">
        <v>340</v>
      </c>
      <c r="E3098" t="s">
        <v>31</v>
      </c>
      <c r="F3098" t="s">
        <v>909</v>
      </c>
      <c r="G3098">
        <v>9</v>
      </c>
      <c r="H3098" s="7">
        <v>252.79</v>
      </c>
      <c r="I3098" t="s">
        <v>32</v>
      </c>
      <c r="J3098" t="s">
        <v>72</v>
      </c>
      <c r="K3098">
        <v>10</v>
      </c>
      <c r="L3098" s="7">
        <f t="shared" si="145"/>
        <v>2275.11</v>
      </c>
      <c r="M3098" s="7"/>
      <c r="O3098">
        <f t="shared" si="146"/>
        <v>2</v>
      </c>
      <c r="Q3098" t="s">
        <v>33</v>
      </c>
    </row>
    <row r="3099" spans="1:17" x14ac:dyDescent="0.3">
      <c r="A3099" t="s">
        <v>4207</v>
      </c>
      <c r="B3099" s="6">
        <v>45250</v>
      </c>
      <c r="C3099" s="6" t="str">
        <f t="shared" si="144"/>
        <v>Nov</v>
      </c>
      <c r="D3099" t="s">
        <v>519</v>
      </c>
      <c r="E3099" t="s">
        <v>40</v>
      </c>
      <c r="F3099" t="s">
        <v>139</v>
      </c>
      <c r="G3099">
        <v>2</v>
      </c>
      <c r="H3099" s="7">
        <v>428.52</v>
      </c>
      <c r="I3099" t="s">
        <v>32</v>
      </c>
      <c r="J3099" t="s">
        <v>19</v>
      </c>
      <c r="K3099">
        <v>10</v>
      </c>
      <c r="L3099" s="7">
        <f t="shared" si="145"/>
        <v>857.04</v>
      </c>
      <c r="M3099" s="7"/>
      <c r="O3099">
        <f t="shared" si="146"/>
        <v>2</v>
      </c>
      <c r="Q3099" t="s">
        <v>33</v>
      </c>
    </row>
    <row r="3100" spans="1:17" x14ac:dyDescent="0.3">
      <c r="A3100" t="s">
        <v>4208</v>
      </c>
      <c r="B3100" s="6">
        <v>45023</v>
      </c>
      <c r="C3100" s="6" t="str">
        <f t="shared" si="144"/>
        <v>Apr</v>
      </c>
      <c r="D3100" t="s">
        <v>4209</v>
      </c>
      <c r="E3100" t="s">
        <v>62</v>
      </c>
      <c r="F3100" t="s">
        <v>363</v>
      </c>
      <c r="G3100">
        <v>5</v>
      </c>
      <c r="H3100" s="7">
        <v>267.69</v>
      </c>
      <c r="I3100" t="s">
        <v>103</v>
      </c>
      <c r="J3100" t="s">
        <v>19</v>
      </c>
      <c r="K3100">
        <v>5</v>
      </c>
      <c r="L3100" s="7">
        <f t="shared" si="145"/>
        <v>1338.45</v>
      </c>
      <c r="M3100" s="7"/>
      <c r="O3100">
        <f t="shared" si="146"/>
        <v>2</v>
      </c>
      <c r="Q3100" t="s">
        <v>104</v>
      </c>
    </row>
    <row r="3101" spans="1:17" x14ac:dyDescent="0.3">
      <c r="A3101" t="s">
        <v>4210</v>
      </c>
      <c r="B3101" s="6">
        <v>44965</v>
      </c>
      <c r="C3101" s="6" t="str">
        <f t="shared" si="144"/>
        <v>Feb</v>
      </c>
      <c r="D3101" t="s">
        <v>330</v>
      </c>
      <c r="E3101" t="s">
        <v>40</v>
      </c>
      <c r="F3101" t="s">
        <v>94</v>
      </c>
      <c r="G3101">
        <v>6</v>
      </c>
      <c r="H3101" s="7">
        <v>131.34</v>
      </c>
      <c r="I3101" t="s">
        <v>19</v>
      </c>
      <c r="J3101" t="s">
        <v>28</v>
      </c>
      <c r="K3101">
        <v>15</v>
      </c>
      <c r="L3101" s="7">
        <f t="shared" si="145"/>
        <v>788.04</v>
      </c>
      <c r="M3101" s="7"/>
      <c r="O3101">
        <f t="shared" si="146"/>
        <v>2</v>
      </c>
      <c r="Q3101" t="s">
        <v>19</v>
      </c>
    </row>
    <row r="3102" spans="1:17" x14ac:dyDescent="0.3">
      <c r="A3102" t="s">
        <v>4211</v>
      </c>
      <c r="B3102" s="6">
        <v>45084</v>
      </c>
      <c r="C3102" s="6" t="str">
        <f t="shared" si="144"/>
        <v>Jun</v>
      </c>
      <c r="D3102" t="s">
        <v>641</v>
      </c>
      <c r="E3102" t="s">
        <v>19</v>
      </c>
      <c r="F3102" t="s">
        <v>1085</v>
      </c>
      <c r="G3102">
        <v>7</v>
      </c>
      <c r="H3102" s="7">
        <v>339.44</v>
      </c>
      <c r="I3102" t="s">
        <v>19</v>
      </c>
      <c r="J3102" t="s">
        <v>42</v>
      </c>
      <c r="K3102">
        <v>15</v>
      </c>
      <c r="L3102" s="7">
        <f t="shared" si="145"/>
        <v>2376.08</v>
      </c>
      <c r="M3102" s="7"/>
      <c r="O3102">
        <f t="shared" si="146"/>
        <v>2</v>
      </c>
      <c r="Q3102" t="s">
        <v>19</v>
      </c>
    </row>
    <row r="3103" spans="1:17" x14ac:dyDescent="0.3">
      <c r="A3103" t="s">
        <v>4212</v>
      </c>
      <c r="B3103" s="6">
        <v>45120</v>
      </c>
      <c r="C3103" s="6" t="str">
        <f t="shared" si="144"/>
        <v>Jul</v>
      </c>
      <c r="D3103" t="s">
        <v>1077</v>
      </c>
      <c r="E3103" t="s">
        <v>40</v>
      </c>
      <c r="F3103" t="s">
        <v>856</v>
      </c>
      <c r="G3103">
        <v>5</v>
      </c>
      <c r="H3103" s="7">
        <v>273.57</v>
      </c>
      <c r="I3103" t="s">
        <v>19</v>
      </c>
      <c r="J3103" t="s">
        <v>42</v>
      </c>
      <c r="K3103">
        <v>5</v>
      </c>
      <c r="L3103" s="7">
        <f t="shared" si="145"/>
        <v>1367.85</v>
      </c>
      <c r="M3103" s="7"/>
      <c r="O3103">
        <f t="shared" si="146"/>
        <v>2</v>
      </c>
      <c r="Q3103" t="s">
        <v>19</v>
      </c>
    </row>
    <row r="3104" spans="1:17" x14ac:dyDescent="0.3">
      <c r="A3104" t="s">
        <v>4213</v>
      </c>
      <c r="B3104" s="6">
        <v>45002</v>
      </c>
      <c r="C3104" s="6" t="str">
        <f t="shared" si="144"/>
        <v>Mar</v>
      </c>
      <c r="D3104" t="s">
        <v>408</v>
      </c>
      <c r="E3104" t="s">
        <v>19</v>
      </c>
      <c r="F3104" t="s">
        <v>139</v>
      </c>
      <c r="G3104">
        <v>9</v>
      </c>
      <c r="H3104" s="7">
        <v>120.36</v>
      </c>
      <c r="I3104" t="s">
        <v>103</v>
      </c>
      <c r="J3104" t="s">
        <v>42</v>
      </c>
      <c r="K3104">
        <v>15</v>
      </c>
      <c r="L3104" s="7">
        <f t="shared" si="145"/>
        <v>1083.24</v>
      </c>
      <c r="M3104" s="7"/>
      <c r="O3104">
        <f t="shared" si="146"/>
        <v>2</v>
      </c>
      <c r="Q3104" t="s">
        <v>104</v>
      </c>
    </row>
    <row r="3105" spans="1:17" x14ac:dyDescent="0.3">
      <c r="A3105" t="s">
        <v>4214</v>
      </c>
      <c r="B3105" s="6">
        <v>44932</v>
      </c>
      <c r="C3105" s="6" t="str">
        <f t="shared" si="144"/>
        <v>Jan</v>
      </c>
      <c r="D3105" t="s">
        <v>1060</v>
      </c>
      <c r="E3105" t="s">
        <v>19</v>
      </c>
      <c r="F3105" t="s">
        <v>347</v>
      </c>
      <c r="G3105">
        <v>1</v>
      </c>
      <c r="H3105" s="7">
        <v>288.95</v>
      </c>
      <c r="I3105" t="s">
        <v>21</v>
      </c>
      <c r="J3105" t="s">
        <v>28</v>
      </c>
      <c r="K3105">
        <v>5</v>
      </c>
      <c r="L3105" s="7">
        <f t="shared" si="145"/>
        <v>288.95</v>
      </c>
      <c r="M3105" s="7"/>
      <c r="O3105">
        <f t="shared" si="146"/>
        <v>2</v>
      </c>
      <c r="Q3105" t="s">
        <v>23</v>
      </c>
    </row>
    <row r="3106" spans="1:17" x14ac:dyDescent="0.3">
      <c r="A3106" t="s">
        <v>4215</v>
      </c>
      <c r="B3106" s="6">
        <v>45009</v>
      </c>
      <c r="C3106" s="6" t="str">
        <f t="shared" si="144"/>
        <v>Mar</v>
      </c>
      <c r="D3106" t="s">
        <v>1258</v>
      </c>
      <c r="E3106" t="s">
        <v>40</v>
      </c>
      <c r="F3106" t="s">
        <v>292</v>
      </c>
      <c r="G3106">
        <v>7</v>
      </c>
      <c r="H3106" s="7">
        <v>252.16</v>
      </c>
      <c r="I3106" t="s">
        <v>32</v>
      </c>
      <c r="J3106" t="s">
        <v>19</v>
      </c>
      <c r="K3106">
        <v>0</v>
      </c>
      <c r="L3106" s="7">
        <f t="shared" si="145"/>
        <v>1765.12</v>
      </c>
      <c r="M3106" s="7"/>
      <c r="O3106">
        <f t="shared" si="146"/>
        <v>2</v>
      </c>
      <c r="Q3106" t="s">
        <v>33</v>
      </c>
    </row>
    <row r="3107" spans="1:17" x14ac:dyDescent="0.3">
      <c r="A3107" t="s">
        <v>4216</v>
      </c>
      <c r="B3107" s="6">
        <v>45266</v>
      </c>
      <c r="C3107" s="6" t="str">
        <f t="shared" si="144"/>
        <v>Dec</v>
      </c>
      <c r="D3107" t="s">
        <v>635</v>
      </c>
      <c r="E3107" t="s">
        <v>62</v>
      </c>
      <c r="F3107" t="s">
        <v>706</v>
      </c>
      <c r="G3107">
        <v>5</v>
      </c>
      <c r="H3107" s="7">
        <v>19.14</v>
      </c>
      <c r="I3107" t="s">
        <v>19</v>
      </c>
      <c r="J3107" t="s">
        <v>22</v>
      </c>
      <c r="K3107">
        <v>15</v>
      </c>
      <c r="L3107" s="7">
        <f t="shared" si="145"/>
        <v>95.7</v>
      </c>
      <c r="M3107" s="7"/>
      <c r="O3107">
        <f t="shared" si="146"/>
        <v>2</v>
      </c>
      <c r="Q3107" t="s">
        <v>19</v>
      </c>
    </row>
    <row r="3108" spans="1:17" x14ac:dyDescent="0.3">
      <c r="A3108" t="s">
        <v>4217</v>
      </c>
      <c r="B3108" s="6">
        <v>45109</v>
      </c>
      <c r="C3108" s="6" t="str">
        <f t="shared" si="144"/>
        <v>Jul</v>
      </c>
      <c r="D3108" t="s">
        <v>3468</v>
      </c>
      <c r="E3108" t="s">
        <v>31</v>
      </c>
      <c r="F3108" t="s">
        <v>278</v>
      </c>
      <c r="G3108">
        <v>4</v>
      </c>
      <c r="H3108" s="7">
        <v>317.27</v>
      </c>
      <c r="I3108" t="s">
        <v>21</v>
      </c>
      <c r="J3108" t="s">
        <v>42</v>
      </c>
      <c r="K3108">
        <v>5</v>
      </c>
      <c r="L3108" s="7">
        <f t="shared" si="145"/>
        <v>1269.08</v>
      </c>
      <c r="M3108" s="7"/>
      <c r="O3108">
        <f t="shared" si="146"/>
        <v>2</v>
      </c>
      <c r="Q3108" t="s">
        <v>23</v>
      </c>
    </row>
    <row r="3109" spans="1:17" x14ac:dyDescent="0.3">
      <c r="A3109" t="s">
        <v>4218</v>
      </c>
      <c r="B3109" s="6">
        <v>44957</v>
      </c>
      <c r="C3109" s="6" t="str">
        <f t="shared" si="144"/>
        <v>Jan</v>
      </c>
      <c r="D3109" t="s">
        <v>641</v>
      </c>
      <c r="E3109" t="s">
        <v>19</v>
      </c>
      <c r="F3109" t="s">
        <v>267</v>
      </c>
      <c r="G3109">
        <v>9</v>
      </c>
      <c r="H3109" s="7">
        <v>178.04</v>
      </c>
      <c r="I3109" t="s">
        <v>103</v>
      </c>
      <c r="J3109" t="s">
        <v>87</v>
      </c>
      <c r="K3109">
        <v>5</v>
      </c>
      <c r="L3109" s="7">
        <f t="shared" si="145"/>
        <v>1602.36</v>
      </c>
      <c r="M3109" s="7"/>
      <c r="O3109">
        <f t="shared" si="146"/>
        <v>2</v>
      </c>
      <c r="Q3109" t="s">
        <v>104</v>
      </c>
    </row>
    <row r="3110" spans="1:17" x14ac:dyDescent="0.3">
      <c r="A3110" t="s">
        <v>4219</v>
      </c>
      <c r="B3110" s="6">
        <v>45041</v>
      </c>
      <c r="C3110" s="6" t="str">
        <f t="shared" si="144"/>
        <v>Apr</v>
      </c>
      <c r="D3110" t="s">
        <v>454</v>
      </c>
      <c r="E3110" t="s">
        <v>36</v>
      </c>
      <c r="F3110" t="s">
        <v>188</v>
      </c>
      <c r="G3110">
        <v>5</v>
      </c>
      <c r="H3110" s="7">
        <v>149.87</v>
      </c>
      <c r="I3110" t="s">
        <v>46</v>
      </c>
      <c r="J3110" t="s">
        <v>87</v>
      </c>
      <c r="K3110">
        <v>15</v>
      </c>
      <c r="L3110" s="7">
        <f t="shared" si="145"/>
        <v>749.35</v>
      </c>
      <c r="M3110" s="7"/>
      <c r="O3110">
        <f t="shared" si="146"/>
        <v>2</v>
      </c>
      <c r="Q3110" t="s">
        <v>47</v>
      </c>
    </row>
    <row r="3111" spans="1:17" x14ac:dyDescent="0.3">
      <c r="A3111" t="s">
        <v>4220</v>
      </c>
      <c r="B3111" s="6">
        <v>45280</v>
      </c>
      <c r="C3111" s="6" t="str">
        <f t="shared" si="144"/>
        <v>Dec</v>
      </c>
      <c r="D3111" t="s">
        <v>1792</v>
      </c>
      <c r="E3111" t="s">
        <v>19</v>
      </c>
      <c r="F3111" t="s">
        <v>474</v>
      </c>
      <c r="G3111">
        <v>4</v>
      </c>
      <c r="H3111" s="7">
        <v>199.33</v>
      </c>
      <c r="I3111" t="s">
        <v>19</v>
      </c>
      <c r="J3111" t="s">
        <v>22</v>
      </c>
      <c r="K3111">
        <v>0</v>
      </c>
      <c r="L3111" s="7">
        <f t="shared" si="145"/>
        <v>797.32</v>
      </c>
      <c r="M3111" s="7"/>
      <c r="O3111">
        <f t="shared" si="146"/>
        <v>2</v>
      </c>
      <c r="Q3111" t="s">
        <v>19</v>
      </c>
    </row>
    <row r="3112" spans="1:17" x14ac:dyDescent="0.3">
      <c r="A3112" t="s">
        <v>4221</v>
      </c>
      <c r="B3112" s="6">
        <v>45212</v>
      </c>
      <c r="C3112" s="6" t="str">
        <f t="shared" si="144"/>
        <v>Oct</v>
      </c>
      <c r="D3112" t="s">
        <v>310</v>
      </c>
      <c r="E3112" t="s">
        <v>31</v>
      </c>
      <c r="F3112" t="s">
        <v>722</v>
      </c>
      <c r="G3112">
        <v>7</v>
      </c>
      <c r="H3112" s="7">
        <v>174.3</v>
      </c>
      <c r="I3112" t="s">
        <v>103</v>
      </c>
      <c r="J3112" t="s">
        <v>28</v>
      </c>
      <c r="K3112">
        <v>15</v>
      </c>
      <c r="L3112" s="7">
        <f t="shared" si="145"/>
        <v>1220.1000000000001</v>
      </c>
      <c r="M3112" s="7"/>
      <c r="O3112">
        <f t="shared" si="146"/>
        <v>2</v>
      </c>
      <c r="Q3112" t="s">
        <v>104</v>
      </c>
    </row>
    <row r="3113" spans="1:17" x14ac:dyDescent="0.3">
      <c r="A3113" t="s">
        <v>4222</v>
      </c>
      <c r="B3113" s="6">
        <v>45268</v>
      </c>
      <c r="C3113" s="6" t="str">
        <f t="shared" si="144"/>
        <v>Dec</v>
      </c>
      <c r="D3113" t="s">
        <v>1620</v>
      </c>
      <c r="E3113" t="s">
        <v>26</v>
      </c>
      <c r="F3113" t="s">
        <v>224</v>
      </c>
      <c r="G3113">
        <v>4</v>
      </c>
      <c r="H3113" s="7">
        <v>416.96</v>
      </c>
      <c r="I3113" t="s">
        <v>21</v>
      </c>
      <c r="J3113" t="s">
        <v>22</v>
      </c>
      <c r="K3113">
        <v>5</v>
      </c>
      <c r="L3113" s="7">
        <f t="shared" si="145"/>
        <v>1667.84</v>
      </c>
      <c r="M3113" s="7"/>
      <c r="O3113">
        <f t="shared" si="146"/>
        <v>2</v>
      </c>
      <c r="Q3113" t="s">
        <v>23</v>
      </c>
    </row>
    <row r="3114" spans="1:17" x14ac:dyDescent="0.3">
      <c r="A3114" t="s">
        <v>4223</v>
      </c>
      <c r="B3114" s="6">
        <v>44975</v>
      </c>
      <c r="C3114" s="6" t="str">
        <f t="shared" si="144"/>
        <v>Feb</v>
      </c>
      <c r="D3114" t="s">
        <v>1460</v>
      </c>
      <c r="E3114" t="s">
        <v>26</v>
      </c>
      <c r="F3114" t="s">
        <v>90</v>
      </c>
      <c r="G3114">
        <v>3</v>
      </c>
      <c r="H3114" s="7">
        <v>141.02000000000001</v>
      </c>
      <c r="I3114" t="s">
        <v>19</v>
      </c>
      <c r="J3114" t="s">
        <v>42</v>
      </c>
      <c r="K3114">
        <v>0</v>
      </c>
      <c r="L3114" s="7">
        <f t="shared" si="145"/>
        <v>423.06000000000006</v>
      </c>
      <c r="M3114" s="7"/>
      <c r="O3114">
        <f t="shared" si="146"/>
        <v>2</v>
      </c>
      <c r="Q3114" t="s">
        <v>19</v>
      </c>
    </row>
    <row r="3115" spans="1:17" x14ac:dyDescent="0.3">
      <c r="A3115" t="s">
        <v>4224</v>
      </c>
      <c r="B3115" s="6">
        <v>45100</v>
      </c>
      <c r="C3115" s="6" t="str">
        <f t="shared" si="144"/>
        <v>Jun</v>
      </c>
      <c r="D3115" t="s">
        <v>4063</v>
      </c>
      <c r="E3115" t="s">
        <v>40</v>
      </c>
      <c r="F3115" t="s">
        <v>807</v>
      </c>
      <c r="G3115">
        <v>9</v>
      </c>
      <c r="H3115" s="7">
        <v>367.91</v>
      </c>
      <c r="I3115" t="s">
        <v>21</v>
      </c>
      <c r="J3115" t="s">
        <v>72</v>
      </c>
      <c r="K3115">
        <v>20</v>
      </c>
      <c r="L3115" s="7">
        <f t="shared" si="145"/>
        <v>3311.19</v>
      </c>
      <c r="M3115" s="7"/>
      <c r="O3115">
        <f t="shared" si="146"/>
        <v>4</v>
      </c>
      <c r="Q3115" t="s">
        <v>23</v>
      </c>
    </row>
    <row r="3116" spans="1:17" x14ac:dyDescent="0.3">
      <c r="A3116" t="s">
        <v>4225</v>
      </c>
      <c r="B3116" s="6">
        <v>44978</v>
      </c>
      <c r="C3116" s="6" t="str">
        <f t="shared" si="144"/>
        <v>Feb</v>
      </c>
      <c r="D3116" t="s">
        <v>2158</v>
      </c>
      <c r="E3116" t="s">
        <v>19</v>
      </c>
      <c r="F3116" t="s">
        <v>415</v>
      </c>
      <c r="G3116">
        <v>8</v>
      </c>
      <c r="H3116" s="7">
        <v>51.56</v>
      </c>
      <c r="I3116" t="s">
        <v>32</v>
      </c>
      <c r="J3116" t="s">
        <v>19</v>
      </c>
      <c r="K3116">
        <v>10</v>
      </c>
      <c r="L3116" s="7">
        <f t="shared" si="145"/>
        <v>412.48</v>
      </c>
      <c r="M3116" s="7"/>
      <c r="O3116">
        <f t="shared" si="146"/>
        <v>2</v>
      </c>
      <c r="Q3116" t="s">
        <v>33</v>
      </c>
    </row>
    <row r="3117" spans="1:17" x14ac:dyDescent="0.3">
      <c r="A3117" t="s">
        <v>4226</v>
      </c>
      <c r="B3117" s="6">
        <v>45145</v>
      </c>
      <c r="C3117" s="6" t="str">
        <f t="shared" si="144"/>
        <v>Aug</v>
      </c>
      <c r="D3117" t="s">
        <v>1203</v>
      </c>
      <c r="E3117" t="s">
        <v>50</v>
      </c>
      <c r="F3117" t="s">
        <v>142</v>
      </c>
      <c r="G3117">
        <v>1</v>
      </c>
      <c r="H3117" s="7">
        <v>475.94</v>
      </c>
      <c r="I3117" t="s">
        <v>64</v>
      </c>
      <c r="J3117" t="s">
        <v>72</v>
      </c>
      <c r="K3117">
        <v>15</v>
      </c>
      <c r="L3117" s="7">
        <f t="shared" si="145"/>
        <v>475.94</v>
      </c>
      <c r="M3117" s="7"/>
      <c r="O3117">
        <f t="shared" si="146"/>
        <v>2</v>
      </c>
      <c r="Q3117" t="s">
        <v>65</v>
      </c>
    </row>
    <row r="3118" spans="1:17" x14ac:dyDescent="0.3">
      <c r="A3118" t="s">
        <v>4227</v>
      </c>
      <c r="B3118" s="6">
        <v>44994</v>
      </c>
      <c r="C3118" s="6" t="str">
        <f t="shared" si="144"/>
        <v>Mar</v>
      </c>
      <c r="D3118" t="s">
        <v>1922</v>
      </c>
      <c r="E3118" t="s">
        <v>50</v>
      </c>
      <c r="F3118" t="s">
        <v>267</v>
      </c>
      <c r="G3118">
        <v>7</v>
      </c>
      <c r="H3118" s="7">
        <v>313.05</v>
      </c>
      <c r="I3118" t="s">
        <v>32</v>
      </c>
      <c r="J3118" t="s">
        <v>42</v>
      </c>
      <c r="K3118">
        <v>10</v>
      </c>
      <c r="L3118" s="7">
        <f t="shared" si="145"/>
        <v>2191.35</v>
      </c>
      <c r="M3118" s="7"/>
      <c r="O3118">
        <f t="shared" si="146"/>
        <v>2</v>
      </c>
      <c r="Q3118" t="s">
        <v>33</v>
      </c>
    </row>
    <row r="3119" spans="1:17" x14ac:dyDescent="0.3">
      <c r="A3119" t="s">
        <v>4228</v>
      </c>
      <c r="B3119" s="6">
        <v>45061</v>
      </c>
      <c r="C3119" s="6" t="str">
        <f t="shared" si="144"/>
        <v>May</v>
      </c>
      <c r="D3119" t="s">
        <v>1478</v>
      </c>
      <c r="E3119" t="s">
        <v>19</v>
      </c>
      <c r="F3119" t="s">
        <v>68</v>
      </c>
      <c r="G3119">
        <v>9</v>
      </c>
      <c r="H3119" s="7">
        <v>354.83</v>
      </c>
      <c r="I3119" t="s">
        <v>64</v>
      </c>
      <c r="J3119" t="s">
        <v>19</v>
      </c>
      <c r="K3119">
        <v>5</v>
      </c>
      <c r="L3119" s="7">
        <f t="shared" si="145"/>
        <v>3193.47</v>
      </c>
      <c r="M3119" s="7"/>
      <c r="O3119">
        <f t="shared" si="146"/>
        <v>4</v>
      </c>
      <c r="Q3119" t="s">
        <v>65</v>
      </c>
    </row>
    <row r="3120" spans="1:17" x14ac:dyDescent="0.3">
      <c r="A3120" t="s">
        <v>4229</v>
      </c>
      <c r="B3120" s="6">
        <v>45146</v>
      </c>
      <c r="C3120" s="6" t="str">
        <f t="shared" si="144"/>
        <v>Aug</v>
      </c>
      <c r="D3120" t="s">
        <v>1216</v>
      </c>
      <c r="E3120" t="s">
        <v>40</v>
      </c>
      <c r="F3120" t="s">
        <v>198</v>
      </c>
      <c r="G3120">
        <v>8</v>
      </c>
      <c r="H3120" s="7">
        <v>152.53</v>
      </c>
      <c r="I3120" t="s">
        <v>103</v>
      </c>
      <c r="J3120" t="s">
        <v>42</v>
      </c>
      <c r="K3120">
        <v>0</v>
      </c>
      <c r="L3120" s="7">
        <f t="shared" si="145"/>
        <v>1220.24</v>
      </c>
      <c r="M3120" s="7"/>
      <c r="O3120">
        <f t="shared" si="146"/>
        <v>2</v>
      </c>
      <c r="Q3120" t="s">
        <v>104</v>
      </c>
    </row>
    <row r="3121" spans="1:17" x14ac:dyDescent="0.3">
      <c r="A3121" t="s">
        <v>4230</v>
      </c>
      <c r="B3121" s="6">
        <v>45069</v>
      </c>
      <c r="C3121" s="6" t="str">
        <f t="shared" si="144"/>
        <v>May</v>
      </c>
      <c r="D3121" t="s">
        <v>442</v>
      </c>
      <c r="E3121" t="s">
        <v>19</v>
      </c>
      <c r="F3121" t="s">
        <v>474</v>
      </c>
      <c r="G3121">
        <v>8</v>
      </c>
      <c r="H3121" s="7">
        <v>208.99</v>
      </c>
      <c r="I3121" t="s">
        <v>103</v>
      </c>
      <c r="J3121" t="s">
        <v>19</v>
      </c>
      <c r="K3121">
        <v>0</v>
      </c>
      <c r="L3121" s="7">
        <f t="shared" si="145"/>
        <v>1671.92</v>
      </c>
      <c r="M3121" s="7"/>
      <c r="O3121">
        <f t="shared" si="146"/>
        <v>2</v>
      </c>
      <c r="Q3121" t="s">
        <v>104</v>
      </c>
    </row>
    <row r="3122" spans="1:17" x14ac:dyDescent="0.3">
      <c r="A3122" t="s">
        <v>4231</v>
      </c>
      <c r="B3122" s="6">
        <v>45141</v>
      </c>
      <c r="C3122" s="6" t="str">
        <f t="shared" si="144"/>
        <v>Aug</v>
      </c>
      <c r="D3122" t="s">
        <v>919</v>
      </c>
      <c r="E3122" t="s">
        <v>40</v>
      </c>
      <c r="F3122" t="s">
        <v>119</v>
      </c>
      <c r="G3122">
        <v>5</v>
      </c>
      <c r="H3122" s="7">
        <v>115.77</v>
      </c>
      <c r="I3122" t="s">
        <v>19</v>
      </c>
      <c r="J3122" t="s">
        <v>28</v>
      </c>
      <c r="K3122">
        <v>20</v>
      </c>
      <c r="L3122" s="7">
        <f t="shared" si="145"/>
        <v>578.85</v>
      </c>
      <c r="M3122" s="7"/>
      <c r="O3122">
        <f t="shared" si="146"/>
        <v>2</v>
      </c>
      <c r="Q3122" t="s">
        <v>19</v>
      </c>
    </row>
    <row r="3123" spans="1:17" x14ac:dyDescent="0.3">
      <c r="A3123" t="s">
        <v>4232</v>
      </c>
      <c r="B3123" s="6">
        <v>45174</v>
      </c>
      <c r="C3123" s="6" t="str">
        <f t="shared" si="144"/>
        <v>Sep</v>
      </c>
      <c r="D3123" t="s">
        <v>1242</v>
      </c>
      <c r="E3123" t="s">
        <v>19</v>
      </c>
      <c r="F3123" t="s">
        <v>1461</v>
      </c>
      <c r="G3123">
        <v>4</v>
      </c>
      <c r="H3123" s="7">
        <v>466.61</v>
      </c>
      <c r="I3123" t="s">
        <v>19</v>
      </c>
      <c r="J3123" t="s">
        <v>28</v>
      </c>
      <c r="K3123">
        <v>15</v>
      </c>
      <c r="L3123" s="7">
        <f t="shared" si="145"/>
        <v>1866.44</v>
      </c>
      <c r="M3123" s="7"/>
      <c r="O3123">
        <f t="shared" si="146"/>
        <v>2</v>
      </c>
      <c r="Q3123" t="s">
        <v>19</v>
      </c>
    </row>
    <row r="3124" spans="1:17" x14ac:dyDescent="0.3">
      <c r="A3124" t="s">
        <v>4233</v>
      </c>
      <c r="B3124" s="6">
        <v>45107</v>
      </c>
      <c r="C3124" s="6" t="str">
        <f t="shared" si="144"/>
        <v>Jun</v>
      </c>
      <c r="D3124" t="s">
        <v>2832</v>
      </c>
      <c r="E3124" t="s">
        <v>31</v>
      </c>
      <c r="F3124" t="s">
        <v>198</v>
      </c>
      <c r="G3124">
        <v>8</v>
      </c>
      <c r="H3124" s="7">
        <v>246.61</v>
      </c>
      <c r="I3124" t="s">
        <v>19</v>
      </c>
      <c r="J3124" t="s">
        <v>22</v>
      </c>
      <c r="K3124">
        <v>10</v>
      </c>
      <c r="L3124" s="7">
        <f t="shared" si="145"/>
        <v>1972.88</v>
      </c>
      <c r="M3124" s="7"/>
      <c r="O3124">
        <f t="shared" si="146"/>
        <v>2</v>
      </c>
      <c r="Q3124" t="s">
        <v>19</v>
      </c>
    </row>
    <row r="3125" spans="1:17" x14ac:dyDescent="0.3">
      <c r="A3125" t="s">
        <v>4234</v>
      </c>
      <c r="B3125" s="6">
        <v>44982</v>
      </c>
      <c r="C3125" s="6" t="str">
        <f t="shared" si="144"/>
        <v>Feb</v>
      </c>
      <c r="D3125" t="s">
        <v>3187</v>
      </c>
      <c r="E3125" t="s">
        <v>50</v>
      </c>
      <c r="F3125" t="s">
        <v>538</v>
      </c>
      <c r="G3125">
        <v>3</v>
      </c>
      <c r="H3125" s="7">
        <v>317.07</v>
      </c>
      <c r="I3125" t="s">
        <v>19</v>
      </c>
      <c r="J3125" t="s">
        <v>19</v>
      </c>
      <c r="K3125">
        <v>0</v>
      </c>
      <c r="L3125" s="7">
        <f t="shared" si="145"/>
        <v>951.21</v>
      </c>
      <c r="M3125" s="7"/>
      <c r="O3125">
        <f t="shared" si="146"/>
        <v>2</v>
      </c>
      <c r="Q3125" t="s">
        <v>19</v>
      </c>
    </row>
    <row r="3126" spans="1:17" x14ac:dyDescent="0.3">
      <c r="A3126" t="s">
        <v>4235</v>
      </c>
      <c r="B3126" s="6">
        <v>44954</v>
      </c>
      <c r="C3126" s="6" t="str">
        <f t="shared" si="144"/>
        <v>Jan</v>
      </c>
      <c r="D3126" t="s">
        <v>958</v>
      </c>
      <c r="E3126" t="s">
        <v>19</v>
      </c>
      <c r="F3126" t="s">
        <v>420</v>
      </c>
      <c r="G3126">
        <v>9</v>
      </c>
      <c r="H3126" s="7">
        <v>368.46</v>
      </c>
      <c r="I3126" t="s">
        <v>103</v>
      </c>
      <c r="J3126" t="s">
        <v>42</v>
      </c>
      <c r="K3126">
        <v>20</v>
      </c>
      <c r="L3126" s="7">
        <f t="shared" si="145"/>
        <v>3316.14</v>
      </c>
      <c r="M3126" s="7"/>
      <c r="O3126">
        <f t="shared" si="146"/>
        <v>4</v>
      </c>
      <c r="Q3126" t="s">
        <v>104</v>
      </c>
    </row>
    <row r="3127" spans="1:17" x14ac:dyDescent="0.3">
      <c r="A3127" t="s">
        <v>4236</v>
      </c>
      <c r="B3127" s="6">
        <v>45124</v>
      </c>
      <c r="C3127" s="6" t="str">
        <f t="shared" si="144"/>
        <v>Jul</v>
      </c>
      <c r="D3127" t="s">
        <v>2585</v>
      </c>
      <c r="E3127" t="s">
        <v>19</v>
      </c>
      <c r="F3127" t="s">
        <v>1328</v>
      </c>
      <c r="G3127">
        <v>2</v>
      </c>
      <c r="H3127" s="7">
        <v>188.7</v>
      </c>
      <c r="I3127" t="s">
        <v>46</v>
      </c>
      <c r="J3127" t="s">
        <v>87</v>
      </c>
      <c r="K3127">
        <v>5</v>
      </c>
      <c r="L3127" s="7">
        <f t="shared" si="145"/>
        <v>377.4</v>
      </c>
      <c r="M3127" s="7"/>
      <c r="O3127">
        <f t="shared" si="146"/>
        <v>2</v>
      </c>
      <c r="Q3127" t="s">
        <v>47</v>
      </c>
    </row>
    <row r="3128" spans="1:17" x14ac:dyDescent="0.3">
      <c r="A3128" t="s">
        <v>4237</v>
      </c>
      <c r="B3128" s="6">
        <v>45065</v>
      </c>
      <c r="C3128" s="6" t="str">
        <f t="shared" si="144"/>
        <v>May</v>
      </c>
      <c r="D3128" t="s">
        <v>793</v>
      </c>
      <c r="E3128" t="s">
        <v>31</v>
      </c>
      <c r="F3128" t="s">
        <v>1251</v>
      </c>
      <c r="G3128">
        <v>2</v>
      </c>
      <c r="H3128" s="7">
        <v>361.45</v>
      </c>
      <c r="I3128" t="s">
        <v>21</v>
      </c>
      <c r="J3128" t="s">
        <v>19</v>
      </c>
      <c r="K3128">
        <v>20</v>
      </c>
      <c r="L3128" s="7">
        <f t="shared" si="145"/>
        <v>722.9</v>
      </c>
      <c r="M3128" s="7"/>
      <c r="O3128">
        <f t="shared" si="146"/>
        <v>2</v>
      </c>
      <c r="Q3128" t="s">
        <v>23</v>
      </c>
    </row>
    <row r="3129" spans="1:17" x14ac:dyDescent="0.3">
      <c r="A3129" t="s">
        <v>4238</v>
      </c>
      <c r="B3129" s="6">
        <v>45133</v>
      </c>
      <c r="C3129" s="6" t="str">
        <f t="shared" si="144"/>
        <v>Jul</v>
      </c>
      <c r="D3129" t="s">
        <v>333</v>
      </c>
      <c r="E3129" t="s">
        <v>31</v>
      </c>
      <c r="F3129" t="s">
        <v>188</v>
      </c>
      <c r="G3129">
        <v>7</v>
      </c>
      <c r="H3129" s="7">
        <v>339.62</v>
      </c>
      <c r="I3129" t="s">
        <v>103</v>
      </c>
      <c r="J3129" t="s">
        <v>19</v>
      </c>
      <c r="K3129">
        <v>15</v>
      </c>
      <c r="L3129" s="7">
        <f t="shared" si="145"/>
        <v>2377.34</v>
      </c>
      <c r="M3129" s="7"/>
      <c r="O3129">
        <f t="shared" si="146"/>
        <v>2</v>
      </c>
      <c r="Q3129" t="s">
        <v>104</v>
      </c>
    </row>
    <row r="3130" spans="1:17" x14ac:dyDescent="0.3">
      <c r="A3130" t="s">
        <v>4239</v>
      </c>
      <c r="B3130" s="6">
        <v>45202</v>
      </c>
      <c r="C3130" s="6" t="str">
        <f t="shared" si="144"/>
        <v>Oct</v>
      </c>
      <c r="D3130" t="s">
        <v>167</v>
      </c>
      <c r="E3130" t="s">
        <v>50</v>
      </c>
      <c r="F3130" t="s">
        <v>722</v>
      </c>
      <c r="G3130">
        <v>4</v>
      </c>
      <c r="H3130" s="7">
        <v>354.3</v>
      </c>
      <c r="I3130" t="s">
        <v>103</v>
      </c>
      <c r="J3130" t="s">
        <v>42</v>
      </c>
      <c r="K3130">
        <v>20</v>
      </c>
      <c r="L3130" s="7">
        <f t="shared" si="145"/>
        <v>1417.2</v>
      </c>
      <c r="M3130" s="7"/>
      <c r="O3130">
        <f t="shared" si="146"/>
        <v>2</v>
      </c>
      <c r="Q3130" t="s">
        <v>104</v>
      </c>
    </row>
    <row r="3131" spans="1:17" x14ac:dyDescent="0.3">
      <c r="A3131" t="s">
        <v>4240</v>
      </c>
      <c r="B3131" s="6">
        <v>45213</v>
      </c>
      <c r="C3131" s="6" t="str">
        <f t="shared" si="144"/>
        <v>Oct</v>
      </c>
      <c r="D3131" t="s">
        <v>2022</v>
      </c>
      <c r="E3131" t="s">
        <v>40</v>
      </c>
      <c r="F3131" t="s">
        <v>128</v>
      </c>
      <c r="G3131">
        <v>8</v>
      </c>
      <c r="H3131" s="7">
        <v>247.17</v>
      </c>
      <c r="I3131" t="s">
        <v>103</v>
      </c>
      <c r="J3131" t="s">
        <v>72</v>
      </c>
      <c r="K3131">
        <v>0</v>
      </c>
      <c r="L3131" s="7">
        <f t="shared" si="145"/>
        <v>1977.36</v>
      </c>
      <c r="M3131" s="7"/>
      <c r="O3131">
        <f t="shared" si="146"/>
        <v>2</v>
      </c>
      <c r="Q3131" t="s">
        <v>104</v>
      </c>
    </row>
    <row r="3132" spans="1:17" x14ac:dyDescent="0.3">
      <c r="A3132" t="s">
        <v>4241</v>
      </c>
      <c r="B3132" s="6">
        <v>44935</v>
      </c>
      <c r="C3132" s="6" t="str">
        <f t="shared" si="144"/>
        <v>Jan</v>
      </c>
      <c r="D3132" t="s">
        <v>626</v>
      </c>
      <c r="E3132" t="s">
        <v>26</v>
      </c>
      <c r="F3132" t="s">
        <v>472</v>
      </c>
      <c r="G3132">
        <v>5</v>
      </c>
      <c r="H3132" s="7">
        <v>194.55</v>
      </c>
      <c r="I3132" t="s">
        <v>46</v>
      </c>
      <c r="J3132" t="s">
        <v>19</v>
      </c>
      <c r="K3132">
        <v>0</v>
      </c>
      <c r="L3132" s="7">
        <f t="shared" si="145"/>
        <v>972.75</v>
      </c>
      <c r="M3132" s="7"/>
      <c r="O3132">
        <f t="shared" si="146"/>
        <v>2</v>
      </c>
      <c r="Q3132" t="s">
        <v>47</v>
      </c>
    </row>
    <row r="3133" spans="1:17" x14ac:dyDescent="0.3">
      <c r="A3133" t="s">
        <v>4242</v>
      </c>
      <c r="B3133" s="6">
        <v>45122</v>
      </c>
      <c r="C3133" s="6" t="str">
        <f t="shared" si="144"/>
        <v>Jul</v>
      </c>
      <c r="D3133" t="s">
        <v>2145</v>
      </c>
      <c r="E3133" t="s">
        <v>19</v>
      </c>
      <c r="F3133" t="s">
        <v>119</v>
      </c>
      <c r="G3133">
        <v>5</v>
      </c>
      <c r="H3133" s="7">
        <v>114.93</v>
      </c>
      <c r="I3133" t="s">
        <v>64</v>
      </c>
      <c r="J3133" t="s">
        <v>42</v>
      </c>
      <c r="K3133">
        <v>10</v>
      </c>
      <c r="L3133" s="7">
        <f t="shared" si="145"/>
        <v>574.65000000000009</v>
      </c>
      <c r="M3133" s="7"/>
      <c r="O3133">
        <f t="shared" si="146"/>
        <v>2</v>
      </c>
      <c r="Q3133" t="s">
        <v>65</v>
      </c>
    </row>
    <row r="3134" spans="1:17" x14ac:dyDescent="0.3">
      <c r="A3134" t="s">
        <v>4243</v>
      </c>
      <c r="B3134" s="6">
        <v>45028</v>
      </c>
      <c r="C3134" s="6" t="str">
        <f t="shared" si="144"/>
        <v>Apr</v>
      </c>
      <c r="D3134" t="s">
        <v>2181</v>
      </c>
      <c r="E3134" t="s">
        <v>36</v>
      </c>
      <c r="F3134" t="s">
        <v>54</v>
      </c>
      <c r="G3134">
        <v>5</v>
      </c>
      <c r="H3134" s="7">
        <v>413.19</v>
      </c>
      <c r="I3134" t="s">
        <v>19</v>
      </c>
      <c r="J3134" t="s">
        <v>22</v>
      </c>
      <c r="K3134">
        <v>20</v>
      </c>
      <c r="L3134" s="7">
        <f t="shared" si="145"/>
        <v>2065.9499999999998</v>
      </c>
      <c r="M3134" s="7"/>
      <c r="O3134">
        <f t="shared" si="146"/>
        <v>2</v>
      </c>
      <c r="Q3134" t="s">
        <v>19</v>
      </c>
    </row>
    <row r="3135" spans="1:17" x14ac:dyDescent="0.3">
      <c r="A3135" t="s">
        <v>4244</v>
      </c>
      <c r="B3135" s="6">
        <v>44985</v>
      </c>
      <c r="C3135" s="6" t="str">
        <f t="shared" si="144"/>
        <v>Feb</v>
      </c>
      <c r="D3135" t="s">
        <v>1442</v>
      </c>
      <c r="E3135" t="s">
        <v>19</v>
      </c>
      <c r="F3135" t="s">
        <v>20</v>
      </c>
      <c r="G3135">
        <v>8</v>
      </c>
      <c r="H3135" s="7">
        <v>306.13</v>
      </c>
      <c r="I3135" t="s">
        <v>19</v>
      </c>
      <c r="J3135" t="s">
        <v>72</v>
      </c>
      <c r="K3135">
        <v>5</v>
      </c>
      <c r="L3135" s="7">
        <f t="shared" si="145"/>
        <v>2449.04</v>
      </c>
      <c r="M3135" s="7"/>
      <c r="O3135">
        <f t="shared" si="146"/>
        <v>2</v>
      </c>
      <c r="Q3135" t="s">
        <v>19</v>
      </c>
    </row>
    <row r="3136" spans="1:17" x14ac:dyDescent="0.3">
      <c r="A3136" t="s">
        <v>4245</v>
      </c>
      <c r="B3136" s="6">
        <v>44978</v>
      </c>
      <c r="C3136" s="6" t="str">
        <f t="shared" si="144"/>
        <v>Feb</v>
      </c>
      <c r="D3136" t="s">
        <v>1247</v>
      </c>
      <c r="E3136" t="s">
        <v>50</v>
      </c>
      <c r="F3136" t="s">
        <v>237</v>
      </c>
      <c r="G3136">
        <v>4</v>
      </c>
      <c r="H3136" s="7">
        <v>252.16</v>
      </c>
      <c r="I3136" t="s">
        <v>32</v>
      </c>
      <c r="J3136" t="s">
        <v>42</v>
      </c>
      <c r="K3136">
        <v>10</v>
      </c>
      <c r="L3136" s="7">
        <f t="shared" si="145"/>
        <v>1008.64</v>
      </c>
      <c r="M3136" s="7"/>
      <c r="O3136">
        <f t="shared" si="146"/>
        <v>2</v>
      </c>
      <c r="Q3136" t="s">
        <v>33</v>
      </c>
    </row>
    <row r="3137" spans="1:17" x14ac:dyDescent="0.3">
      <c r="A3137" t="s">
        <v>4246</v>
      </c>
      <c r="B3137" s="6">
        <v>45040</v>
      </c>
      <c r="C3137" s="6" t="str">
        <f t="shared" si="144"/>
        <v>Apr</v>
      </c>
      <c r="D3137" t="s">
        <v>3863</v>
      </c>
      <c r="E3137" t="s">
        <v>40</v>
      </c>
      <c r="F3137" t="s">
        <v>1182</v>
      </c>
      <c r="G3137">
        <v>2</v>
      </c>
      <c r="H3137" s="7">
        <v>472.28</v>
      </c>
      <c r="I3137" t="s">
        <v>21</v>
      </c>
      <c r="J3137" t="s">
        <v>22</v>
      </c>
      <c r="K3137">
        <v>10</v>
      </c>
      <c r="L3137" s="7">
        <f t="shared" si="145"/>
        <v>944.56</v>
      </c>
      <c r="M3137" s="7"/>
      <c r="O3137">
        <f t="shared" si="146"/>
        <v>2</v>
      </c>
      <c r="Q3137" t="s">
        <v>23</v>
      </c>
    </row>
    <row r="3138" spans="1:17" x14ac:dyDescent="0.3">
      <c r="A3138" t="s">
        <v>4247</v>
      </c>
      <c r="B3138" s="6">
        <v>44967</v>
      </c>
      <c r="C3138" s="6" t="str">
        <f t="shared" si="144"/>
        <v>Feb</v>
      </c>
      <c r="D3138" t="s">
        <v>92</v>
      </c>
      <c r="E3138" t="s">
        <v>36</v>
      </c>
      <c r="F3138" t="s">
        <v>41</v>
      </c>
      <c r="G3138">
        <v>6</v>
      </c>
      <c r="H3138" s="7">
        <v>28.68</v>
      </c>
      <c r="I3138" t="s">
        <v>32</v>
      </c>
      <c r="J3138" t="s">
        <v>22</v>
      </c>
      <c r="K3138">
        <v>15</v>
      </c>
      <c r="L3138" s="7">
        <f t="shared" si="145"/>
        <v>172.07999999999998</v>
      </c>
      <c r="M3138" s="7"/>
      <c r="O3138">
        <f t="shared" si="146"/>
        <v>2</v>
      </c>
      <c r="Q3138" t="s">
        <v>33</v>
      </c>
    </row>
    <row r="3139" spans="1:17" x14ac:dyDescent="0.3">
      <c r="A3139" t="s">
        <v>4248</v>
      </c>
      <c r="B3139" s="6">
        <v>45153</v>
      </c>
      <c r="C3139" s="6" t="str">
        <f t="shared" ref="C3139:C3202" si="147">TEXT(B3139,"MMM")</f>
        <v>Aug</v>
      </c>
      <c r="D3139" t="s">
        <v>4249</v>
      </c>
      <c r="E3139" t="s">
        <v>26</v>
      </c>
      <c r="F3139" t="s">
        <v>257</v>
      </c>
      <c r="G3139">
        <v>9</v>
      </c>
      <c r="H3139" s="7">
        <v>425.84</v>
      </c>
      <c r="I3139" t="s">
        <v>64</v>
      </c>
      <c r="J3139" t="s">
        <v>72</v>
      </c>
      <c r="K3139">
        <v>10</v>
      </c>
      <c r="L3139" s="7">
        <f t="shared" ref="L3139:L3202" si="148">G3139*H3139</f>
        <v>3832.56</v>
      </c>
      <c r="M3139" s="7"/>
      <c r="O3139">
        <f t="shared" si="146"/>
        <v>5</v>
      </c>
      <c r="Q3139" t="s">
        <v>65</v>
      </c>
    </row>
    <row r="3140" spans="1:17" x14ac:dyDescent="0.3">
      <c r="A3140" t="s">
        <v>4250</v>
      </c>
      <c r="B3140" s="6">
        <v>45066</v>
      </c>
      <c r="C3140" s="6" t="str">
        <f t="shared" si="147"/>
        <v>May</v>
      </c>
      <c r="D3140" t="s">
        <v>852</v>
      </c>
      <c r="E3140" t="s">
        <v>31</v>
      </c>
      <c r="F3140" t="s">
        <v>687</v>
      </c>
      <c r="G3140">
        <v>1</v>
      </c>
      <c r="H3140" s="7">
        <v>498.8</v>
      </c>
      <c r="I3140" t="s">
        <v>19</v>
      </c>
      <c r="J3140" t="s">
        <v>28</v>
      </c>
      <c r="K3140">
        <v>20</v>
      </c>
      <c r="L3140" s="7">
        <f t="shared" si="148"/>
        <v>498.8</v>
      </c>
      <c r="M3140" s="7"/>
      <c r="O3140">
        <f t="shared" ref="O3140:O3203" si="149">IF(L3140&gt;3500,5,IF(L3140&gt;3000,4,IF(L3140&gt;2500,3,IF(L3140&gt;2000,2,IF(L3140&gt;1000,2,2)))))</f>
        <v>2</v>
      </c>
      <c r="Q3140" t="s">
        <v>19</v>
      </c>
    </row>
    <row r="3141" spans="1:17" x14ac:dyDescent="0.3">
      <c r="A3141" t="s">
        <v>4251</v>
      </c>
      <c r="B3141" s="6">
        <v>45178</v>
      </c>
      <c r="C3141" s="6" t="str">
        <f t="shared" si="147"/>
        <v>Sep</v>
      </c>
      <c r="D3141" t="s">
        <v>2124</v>
      </c>
      <c r="E3141" t="s">
        <v>62</v>
      </c>
      <c r="F3141" t="s">
        <v>665</v>
      </c>
      <c r="G3141">
        <v>7</v>
      </c>
      <c r="H3141" s="7">
        <v>444.04</v>
      </c>
      <c r="I3141" t="s">
        <v>64</v>
      </c>
      <c r="J3141" t="s">
        <v>22</v>
      </c>
      <c r="K3141">
        <v>5</v>
      </c>
      <c r="L3141" s="7">
        <f t="shared" si="148"/>
        <v>3108.28</v>
      </c>
      <c r="M3141" s="7"/>
      <c r="O3141">
        <f t="shared" si="149"/>
        <v>4</v>
      </c>
      <c r="Q3141" t="s">
        <v>65</v>
      </c>
    </row>
    <row r="3142" spans="1:17" x14ac:dyDescent="0.3">
      <c r="A3142" t="s">
        <v>4252</v>
      </c>
      <c r="B3142" s="6">
        <v>45035</v>
      </c>
      <c r="C3142" s="6" t="str">
        <f t="shared" si="147"/>
        <v>Apr</v>
      </c>
      <c r="D3142" t="s">
        <v>1830</v>
      </c>
      <c r="E3142" t="s">
        <v>40</v>
      </c>
      <c r="F3142" t="s">
        <v>284</v>
      </c>
      <c r="G3142">
        <v>9</v>
      </c>
      <c r="H3142" s="7">
        <v>406.17</v>
      </c>
      <c r="I3142" t="s">
        <v>64</v>
      </c>
      <c r="J3142" t="s">
        <v>28</v>
      </c>
      <c r="K3142">
        <v>10</v>
      </c>
      <c r="L3142" s="7">
        <f t="shared" si="148"/>
        <v>3655.53</v>
      </c>
      <c r="M3142" s="7"/>
      <c r="O3142">
        <f t="shared" si="149"/>
        <v>5</v>
      </c>
      <c r="Q3142" t="s">
        <v>65</v>
      </c>
    </row>
    <row r="3143" spans="1:17" x14ac:dyDescent="0.3">
      <c r="A3143" t="s">
        <v>4253</v>
      </c>
      <c r="B3143" s="6">
        <v>45181</v>
      </c>
      <c r="C3143" s="6" t="str">
        <f t="shared" si="147"/>
        <v>Sep</v>
      </c>
      <c r="D3143" t="s">
        <v>1564</v>
      </c>
      <c r="E3143" t="s">
        <v>40</v>
      </c>
      <c r="F3143" t="s">
        <v>71</v>
      </c>
      <c r="G3143">
        <v>9</v>
      </c>
      <c r="H3143" s="7">
        <v>190.28</v>
      </c>
      <c r="I3143" t="s">
        <v>64</v>
      </c>
      <c r="J3143" t="s">
        <v>72</v>
      </c>
      <c r="K3143">
        <v>0</v>
      </c>
      <c r="L3143" s="7">
        <f t="shared" si="148"/>
        <v>1712.52</v>
      </c>
      <c r="M3143" s="7"/>
      <c r="O3143">
        <f t="shared" si="149"/>
        <v>2</v>
      </c>
      <c r="Q3143" t="s">
        <v>65</v>
      </c>
    </row>
    <row r="3144" spans="1:17" x14ac:dyDescent="0.3">
      <c r="A3144" t="s">
        <v>4254</v>
      </c>
      <c r="B3144" s="6">
        <v>45169</v>
      </c>
      <c r="C3144" s="6" t="str">
        <f t="shared" si="147"/>
        <v>Aug</v>
      </c>
      <c r="D3144" t="s">
        <v>2505</v>
      </c>
      <c r="E3144" t="s">
        <v>40</v>
      </c>
      <c r="F3144" t="s">
        <v>1182</v>
      </c>
      <c r="G3144">
        <v>3</v>
      </c>
      <c r="H3144" s="7">
        <v>119.5</v>
      </c>
      <c r="I3144" t="s">
        <v>19</v>
      </c>
      <c r="J3144" t="s">
        <v>22</v>
      </c>
      <c r="K3144">
        <v>15</v>
      </c>
      <c r="L3144" s="7">
        <f t="shared" si="148"/>
        <v>358.5</v>
      </c>
      <c r="M3144" s="7"/>
      <c r="O3144">
        <f t="shared" si="149"/>
        <v>2</v>
      </c>
      <c r="Q3144" t="s">
        <v>19</v>
      </c>
    </row>
    <row r="3145" spans="1:17" x14ac:dyDescent="0.3">
      <c r="A3145" t="s">
        <v>4255</v>
      </c>
      <c r="B3145" s="6">
        <v>44964</v>
      </c>
      <c r="C3145" s="6" t="str">
        <f t="shared" si="147"/>
        <v>Feb</v>
      </c>
      <c r="D3145" t="s">
        <v>772</v>
      </c>
      <c r="E3145" t="s">
        <v>62</v>
      </c>
      <c r="F3145" t="s">
        <v>41</v>
      </c>
      <c r="G3145">
        <v>5</v>
      </c>
      <c r="H3145" s="7">
        <v>368.75</v>
      </c>
      <c r="I3145" t="s">
        <v>32</v>
      </c>
      <c r="J3145" t="s">
        <v>22</v>
      </c>
      <c r="K3145">
        <v>20</v>
      </c>
      <c r="L3145" s="7">
        <f t="shared" si="148"/>
        <v>1843.75</v>
      </c>
      <c r="M3145" s="7"/>
      <c r="O3145">
        <f t="shared" si="149"/>
        <v>2</v>
      </c>
      <c r="Q3145" t="s">
        <v>33</v>
      </c>
    </row>
    <row r="3146" spans="1:17" x14ac:dyDescent="0.3">
      <c r="A3146" t="s">
        <v>4256</v>
      </c>
      <c r="B3146" s="6">
        <v>45291</v>
      </c>
      <c r="C3146" s="6" t="str">
        <f t="shared" si="147"/>
        <v>Dec</v>
      </c>
      <c r="D3146" t="s">
        <v>449</v>
      </c>
      <c r="E3146" t="s">
        <v>40</v>
      </c>
      <c r="F3146" t="s">
        <v>37</v>
      </c>
      <c r="G3146">
        <v>8</v>
      </c>
      <c r="H3146" s="7">
        <v>155.76</v>
      </c>
      <c r="I3146" t="s">
        <v>19</v>
      </c>
      <c r="J3146" t="s">
        <v>22</v>
      </c>
      <c r="K3146">
        <v>10</v>
      </c>
      <c r="L3146" s="7">
        <f t="shared" si="148"/>
        <v>1246.08</v>
      </c>
      <c r="M3146" s="7"/>
      <c r="O3146">
        <f t="shared" si="149"/>
        <v>2</v>
      </c>
      <c r="Q3146" t="s">
        <v>19</v>
      </c>
    </row>
    <row r="3147" spans="1:17" x14ac:dyDescent="0.3">
      <c r="A3147" t="s">
        <v>4257</v>
      </c>
      <c r="B3147" s="6">
        <v>45088</v>
      </c>
      <c r="C3147" s="6" t="str">
        <f t="shared" si="147"/>
        <v>Jun</v>
      </c>
      <c r="D3147" t="s">
        <v>172</v>
      </c>
      <c r="E3147" t="s">
        <v>19</v>
      </c>
      <c r="F3147" t="s">
        <v>20</v>
      </c>
      <c r="G3147">
        <v>5</v>
      </c>
      <c r="H3147" s="7">
        <v>92.14</v>
      </c>
      <c r="I3147" t="s">
        <v>21</v>
      </c>
      <c r="J3147" t="s">
        <v>87</v>
      </c>
      <c r="K3147">
        <v>5</v>
      </c>
      <c r="L3147" s="7">
        <f t="shared" si="148"/>
        <v>460.7</v>
      </c>
      <c r="M3147" s="7"/>
      <c r="O3147">
        <f t="shared" si="149"/>
        <v>2</v>
      </c>
      <c r="Q3147" t="s">
        <v>23</v>
      </c>
    </row>
    <row r="3148" spans="1:17" x14ac:dyDescent="0.3">
      <c r="A3148" t="s">
        <v>4258</v>
      </c>
      <c r="B3148" s="6">
        <v>45066</v>
      </c>
      <c r="C3148" s="6" t="str">
        <f t="shared" si="147"/>
        <v>May</v>
      </c>
      <c r="D3148" t="s">
        <v>3045</v>
      </c>
      <c r="E3148" t="s">
        <v>26</v>
      </c>
      <c r="F3148" t="s">
        <v>642</v>
      </c>
      <c r="G3148">
        <v>4</v>
      </c>
      <c r="H3148" s="7">
        <v>394.33</v>
      </c>
      <c r="I3148" t="s">
        <v>21</v>
      </c>
      <c r="J3148" t="s">
        <v>87</v>
      </c>
      <c r="K3148">
        <v>0</v>
      </c>
      <c r="L3148" s="7">
        <f t="shared" si="148"/>
        <v>1577.32</v>
      </c>
      <c r="M3148" s="7"/>
      <c r="O3148">
        <f t="shared" si="149"/>
        <v>2</v>
      </c>
      <c r="Q3148" t="s">
        <v>23</v>
      </c>
    </row>
    <row r="3149" spans="1:17" x14ac:dyDescent="0.3">
      <c r="A3149" t="s">
        <v>4259</v>
      </c>
      <c r="B3149" s="6">
        <v>45284</v>
      </c>
      <c r="C3149" s="6" t="str">
        <f t="shared" si="147"/>
        <v>Dec</v>
      </c>
      <c r="D3149" t="s">
        <v>1263</v>
      </c>
      <c r="E3149" t="s">
        <v>26</v>
      </c>
      <c r="F3149" t="s">
        <v>308</v>
      </c>
      <c r="G3149">
        <v>1</v>
      </c>
      <c r="H3149" s="7">
        <v>159.71</v>
      </c>
      <c r="I3149" t="s">
        <v>21</v>
      </c>
      <c r="J3149" t="s">
        <v>87</v>
      </c>
      <c r="K3149">
        <v>10</v>
      </c>
      <c r="L3149" s="7">
        <f t="shared" si="148"/>
        <v>159.71</v>
      </c>
      <c r="M3149" s="7"/>
      <c r="O3149">
        <f t="shared" si="149"/>
        <v>2</v>
      </c>
      <c r="Q3149" t="s">
        <v>23</v>
      </c>
    </row>
    <row r="3150" spans="1:17" x14ac:dyDescent="0.3">
      <c r="A3150" t="s">
        <v>4260</v>
      </c>
      <c r="B3150" s="6">
        <v>44928</v>
      </c>
      <c r="C3150" s="6" t="str">
        <f t="shared" si="147"/>
        <v>Jan</v>
      </c>
      <c r="D3150" t="s">
        <v>1160</v>
      </c>
      <c r="E3150" t="s">
        <v>36</v>
      </c>
      <c r="F3150" t="s">
        <v>334</v>
      </c>
      <c r="G3150">
        <v>1</v>
      </c>
      <c r="H3150" s="7">
        <v>457.65</v>
      </c>
      <c r="I3150" t="s">
        <v>32</v>
      </c>
      <c r="J3150" t="s">
        <v>28</v>
      </c>
      <c r="K3150">
        <v>15</v>
      </c>
      <c r="L3150" s="7">
        <f t="shared" si="148"/>
        <v>457.65</v>
      </c>
      <c r="M3150" s="7"/>
      <c r="O3150">
        <f t="shared" si="149"/>
        <v>2</v>
      </c>
      <c r="Q3150" t="s">
        <v>33</v>
      </c>
    </row>
    <row r="3151" spans="1:17" x14ac:dyDescent="0.3">
      <c r="A3151" t="s">
        <v>4261</v>
      </c>
      <c r="B3151" s="6">
        <v>45066</v>
      </c>
      <c r="C3151" s="6" t="str">
        <f t="shared" si="147"/>
        <v>May</v>
      </c>
      <c r="D3151" t="s">
        <v>553</v>
      </c>
      <c r="E3151" t="s">
        <v>36</v>
      </c>
      <c r="F3151" t="s">
        <v>45</v>
      </c>
      <c r="G3151">
        <v>4</v>
      </c>
      <c r="H3151" s="7">
        <v>421.11</v>
      </c>
      <c r="I3151" t="s">
        <v>64</v>
      </c>
      <c r="J3151" t="s">
        <v>22</v>
      </c>
      <c r="K3151">
        <v>10</v>
      </c>
      <c r="L3151" s="7">
        <f t="shared" si="148"/>
        <v>1684.44</v>
      </c>
      <c r="M3151" s="7"/>
      <c r="O3151">
        <f t="shared" si="149"/>
        <v>2</v>
      </c>
      <c r="Q3151" t="s">
        <v>65</v>
      </c>
    </row>
    <row r="3152" spans="1:17" x14ac:dyDescent="0.3">
      <c r="A3152" t="s">
        <v>4262</v>
      </c>
      <c r="B3152" s="6">
        <v>45109</v>
      </c>
      <c r="C3152" s="6" t="str">
        <f t="shared" si="147"/>
        <v>Jul</v>
      </c>
      <c r="D3152" t="s">
        <v>393</v>
      </c>
      <c r="E3152" t="s">
        <v>31</v>
      </c>
      <c r="F3152" t="s">
        <v>1182</v>
      </c>
      <c r="G3152">
        <v>6</v>
      </c>
      <c r="H3152" s="7">
        <v>424.58</v>
      </c>
      <c r="I3152" t="s">
        <v>64</v>
      </c>
      <c r="J3152" t="s">
        <v>22</v>
      </c>
      <c r="K3152">
        <v>10</v>
      </c>
      <c r="L3152" s="7">
        <f t="shared" si="148"/>
        <v>2547.48</v>
      </c>
      <c r="M3152" s="7"/>
      <c r="O3152">
        <f t="shared" si="149"/>
        <v>3</v>
      </c>
      <c r="Q3152" t="s">
        <v>65</v>
      </c>
    </row>
    <row r="3153" spans="1:17" x14ac:dyDescent="0.3">
      <c r="A3153" t="s">
        <v>4263</v>
      </c>
      <c r="B3153" s="6">
        <v>44961</v>
      </c>
      <c r="C3153" s="6" t="str">
        <f t="shared" si="147"/>
        <v>Feb</v>
      </c>
      <c r="D3153" t="s">
        <v>77</v>
      </c>
      <c r="E3153" t="s">
        <v>40</v>
      </c>
      <c r="F3153" t="s">
        <v>331</v>
      </c>
      <c r="G3153">
        <v>8</v>
      </c>
      <c r="H3153" s="7">
        <v>386.93</v>
      </c>
      <c r="I3153" t="s">
        <v>21</v>
      </c>
      <c r="J3153" t="s">
        <v>87</v>
      </c>
      <c r="K3153">
        <v>10</v>
      </c>
      <c r="L3153" s="7">
        <f t="shared" si="148"/>
        <v>3095.44</v>
      </c>
      <c r="M3153" s="7"/>
      <c r="O3153">
        <f t="shared" si="149"/>
        <v>4</v>
      </c>
      <c r="Q3153" t="s">
        <v>23</v>
      </c>
    </row>
    <row r="3154" spans="1:17" x14ac:dyDescent="0.3">
      <c r="A3154" t="s">
        <v>4264</v>
      </c>
      <c r="B3154" s="6">
        <v>45021</v>
      </c>
      <c r="C3154" s="6" t="str">
        <f t="shared" si="147"/>
        <v>Apr</v>
      </c>
      <c r="D3154" t="s">
        <v>2684</v>
      </c>
      <c r="E3154" t="s">
        <v>36</v>
      </c>
      <c r="F3154" t="s">
        <v>139</v>
      </c>
      <c r="G3154">
        <v>6</v>
      </c>
      <c r="H3154" s="7">
        <v>441.04</v>
      </c>
      <c r="I3154" t="s">
        <v>64</v>
      </c>
      <c r="J3154" t="s">
        <v>42</v>
      </c>
      <c r="K3154">
        <v>5</v>
      </c>
      <c r="L3154" s="7">
        <f t="shared" si="148"/>
        <v>2646.2400000000002</v>
      </c>
      <c r="M3154" s="7"/>
      <c r="O3154">
        <f t="shared" si="149"/>
        <v>3</v>
      </c>
      <c r="Q3154" t="s">
        <v>65</v>
      </c>
    </row>
    <row r="3155" spans="1:17" x14ac:dyDescent="0.3">
      <c r="A3155" t="s">
        <v>4265</v>
      </c>
      <c r="B3155" s="6">
        <v>44930</v>
      </c>
      <c r="C3155" s="6" t="str">
        <f t="shared" si="147"/>
        <v>Jan</v>
      </c>
      <c r="D3155" t="s">
        <v>3940</v>
      </c>
      <c r="E3155" t="s">
        <v>36</v>
      </c>
      <c r="F3155" t="s">
        <v>1237</v>
      </c>
      <c r="G3155">
        <v>9</v>
      </c>
      <c r="H3155" s="7">
        <v>403.84</v>
      </c>
      <c r="I3155" t="s">
        <v>32</v>
      </c>
      <c r="J3155" t="s">
        <v>72</v>
      </c>
      <c r="K3155">
        <v>0</v>
      </c>
      <c r="L3155" s="7">
        <f t="shared" si="148"/>
        <v>3634.56</v>
      </c>
      <c r="M3155" s="7"/>
      <c r="O3155">
        <f t="shared" si="149"/>
        <v>5</v>
      </c>
      <c r="Q3155" t="s">
        <v>33</v>
      </c>
    </row>
    <row r="3156" spans="1:17" x14ac:dyDescent="0.3">
      <c r="A3156" t="s">
        <v>4266</v>
      </c>
      <c r="B3156" s="6">
        <v>45213</v>
      </c>
      <c r="C3156" s="6" t="str">
        <f t="shared" si="147"/>
        <v>Oct</v>
      </c>
      <c r="D3156" t="s">
        <v>30</v>
      </c>
      <c r="E3156" t="s">
        <v>62</v>
      </c>
      <c r="F3156" t="s">
        <v>281</v>
      </c>
      <c r="G3156">
        <v>9</v>
      </c>
      <c r="H3156" s="7">
        <v>303.24</v>
      </c>
      <c r="I3156" t="s">
        <v>46</v>
      </c>
      <c r="J3156" t="s">
        <v>19</v>
      </c>
      <c r="K3156">
        <v>20</v>
      </c>
      <c r="L3156" s="7">
        <f t="shared" si="148"/>
        <v>2729.16</v>
      </c>
      <c r="M3156" s="7"/>
      <c r="O3156">
        <f t="shared" si="149"/>
        <v>3</v>
      </c>
      <c r="Q3156" t="s">
        <v>47</v>
      </c>
    </row>
    <row r="3157" spans="1:17" x14ac:dyDescent="0.3">
      <c r="A3157" t="s">
        <v>4267</v>
      </c>
      <c r="B3157" s="6">
        <v>44963</v>
      </c>
      <c r="C3157" s="6" t="str">
        <f t="shared" si="147"/>
        <v>Feb</v>
      </c>
      <c r="D3157" t="s">
        <v>3009</v>
      </c>
      <c r="E3157" t="s">
        <v>50</v>
      </c>
      <c r="F3157" t="s">
        <v>642</v>
      </c>
      <c r="G3157">
        <v>2</v>
      </c>
      <c r="H3157" s="7">
        <v>151.43</v>
      </c>
      <c r="I3157" t="s">
        <v>103</v>
      </c>
      <c r="J3157" t="s">
        <v>28</v>
      </c>
      <c r="K3157">
        <v>5</v>
      </c>
      <c r="L3157" s="7">
        <f t="shared" si="148"/>
        <v>302.86</v>
      </c>
      <c r="M3157" s="7"/>
      <c r="O3157">
        <f t="shared" si="149"/>
        <v>2</v>
      </c>
      <c r="Q3157" t="s">
        <v>104</v>
      </c>
    </row>
    <row r="3158" spans="1:17" x14ac:dyDescent="0.3">
      <c r="A3158" t="s">
        <v>4268</v>
      </c>
      <c r="B3158" s="6">
        <v>45233</v>
      </c>
      <c r="C3158" s="6" t="str">
        <f t="shared" si="147"/>
        <v>Nov</v>
      </c>
      <c r="D3158" t="s">
        <v>721</v>
      </c>
      <c r="E3158" t="s">
        <v>36</v>
      </c>
      <c r="F3158" t="s">
        <v>1146</v>
      </c>
      <c r="G3158">
        <v>1</v>
      </c>
      <c r="H3158" s="7">
        <v>444.66</v>
      </c>
      <c r="I3158" t="s">
        <v>46</v>
      </c>
      <c r="J3158" t="s">
        <v>72</v>
      </c>
      <c r="K3158">
        <v>10</v>
      </c>
      <c r="L3158" s="7">
        <f t="shared" si="148"/>
        <v>444.66</v>
      </c>
      <c r="M3158" s="7"/>
      <c r="O3158">
        <f t="shared" si="149"/>
        <v>2</v>
      </c>
      <c r="Q3158" t="s">
        <v>47</v>
      </c>
    </row>
    <row r="3159" spans="1:17" x14ac:dyDescent="0.3">
      <c r="A3159" t="s">
        <v>4269</v>
      </c>
      <c r="B3159" s="6">
        <v>45067</v>
      </c>
      <c r="C3159" s="6" t="str">
        <f t="shared" si="147"/>
        <v>May</v>
      </c>
      <c r="D3159" t="s">
        <v>2161</v>
      </c>
      <c r="E3159" t="s">
        <v>40</v>
      </c>
      <c r="F3159" t="s">
        <v>499</v>
      </c>
      <c r="G3159">
        <v>2</v>
      </c>
      <c r="H3159" s="7">
        <v>421.1</v>
      </c>
      <c r="I3159" t="s">
        <v>19</v>
      </c>
      <c r="J3159" t="s">
        <v>42</v>
      </c>
      <c r="K3159">
        <v>15</v>
      </c>
      <c r="L3159" s="7">
        <f t="shared" si="148"/>
        <v>842.2</v>
      </c>
      <c r="M3159" s="7"/>
      <c r="O3159">
        <f t="shared" si="149"/>
        <v>2</v>
      </c>
      <c r="Q3159" t="s">
        <v>19</v>
      </c>
    </row>
    <row r="3160" spans="1:17" x14ac:dyDescent="0.3">
      <c r="A3160" t="s">
        <v>4270</v>
      </c>
      <c r="B3160" s="6">
        <v>45108</v>
      </c>
      <c r="C3160" s="6" t="str">
        <f t="shared" si="147"/>
        <v>Jul</v>
      </c>
      <c r="D3160" t="s">
        <v>221</v>
      </c>
      <c r="E3160" t="s">
        <v>36</v>
      </c>
      <c r="F3160" t="s">
        <v>99</v>
      </c>
      <c r="G3160">
        <v>5</v>
      </c>
      <c r="H3160" s="7">
        <v>239.08</v>
      </c>
      <c r="I3160" t="s">
        <v>103</v>
      </c>
      <c r="J3160" t="s">
        <v>22</v>
      </c>
      <c r="K3160">
        <v>10</v>
      </c>
      <c r="L3160" s="7">
        <f t="shared" si="148"/>
        <v>1195.4000000000001</v>
      </c>
      <c r="M3160" s="7"/>
      <c r="O3160">
        <f t="shared" si="149"/>
        <v>2</v>
      </c>
      <c r="Q3160" t="s">
        <v>104</v>
      </c>
    </row>
    <row r="3161" spans="1:17" x14ac:dyDescent="0.3">
      <c r="A3161" t="s">
        <v>4271</v>
      </c>
      <c r="B3161" s="6">
        <v>44982</v>
      </c>
      <c r="C3161" s="6" t="str">
        <f t="shared" si="147"/>
        <v>Feb</v>
      </c>
      <c r="D3161" t="s">
        <v>4063</v>
      </c>
      <c r="E3161" t="s">
        <v>26</v>
      </c>
      <c r="F3161" t="s">
        <v>1063</v>
      </c>
      <c r="G3161">
        <v>4</v>
      </c>
      <c r="H3161" s="7">
        <v>24.34</v>
      </c>
      <c r="I3161" t="s">
        <v>103</v>
      </c>
      <c r="J3161" t="s">
        <v>19</v>
      </c>
      <c r="K3161">
        <v>10</v>
      </c>
      <c r="L3161" s="7">
        <f t="shared" si="148"/>
        <v>97.36</v>
      </c>
      <c r="M3161" s="7"/>
      <c r="O3161">
        <f t="shared" si="149"/>
        <v>2</v>
      </c>
      <c r="Q3161" t="s">
        <v>104</v>
      </c>
    </row>
    <row r="3162" spans="1:17" x14ac:dyDescent="0.3">
      <c r="A3162" t="s">
        <v>4272</v>
      </c>
      <c r="B3162" s="6">
        <v>45091</v>
      </c>
      <c r="C3162" s="6" t="str">
        <f t="shared" si="147"/>
        <v>Jun</v>
      </c>
      <c r="D3162" t="s">
        <v>1298</v>
      </c>
      <c r="E3162" t="s">
        <v>31</v>
      </c>
      <c r="F3162" t="s">
        <v>222</v>
      </c>
      <c r="G3162">
        <v>4</v>
      </c>
      <c r="H3162" s="7">
        <v>321.08</v>
      </c>
      <c r="I3162" t="s">
        <v>64</v>
      </c>
      <c r="J3162" t="s">
        <v>28</v>
      </c>
      <c r="K3162">
        <v>10</v>
      </c>
      <c r="L3162" s="7">
        <f t="shared" si="148"/>
        <v>1284.32</v>
      </c>
      <c r="M3162" s="7"/>
      <c r="O3162">
        <f t="shared" si="149"/>
        <v>2</v>
      </c>
      <c r="Q3162" t="s">
        <v>65</v>
      </c>
    </row>
    <row r="3163" spans="1:17" x14ac:dyDescent="0.3">
      <c r="A3163" t="s">
        <v>4273</v>
      </c>
      <c r="B3163" s="6">
        <v>44963</v>
      </c>
      <c r="C3163" s="6" t="str">
        <f t="shared" si="147"/>
        <v>Feb</v>
      </c>
      <c r="D3163" t="s">
        <v>1673</v>
      </c>
      <c r="E3163" t="s">
        <v>31</v>
      </c>
      <c r="F3163" t="s">
        <v>356</v>
      </c>
      <c r="G3163">
        <v>5</v>
      </c>
      <c r="H3163" s="7">
        <v>30.05</v>
      </c>
      <c r="I3163" t="s">
        <v>46</v>
      </c>
      <c r="J3163" t="s">
        <v>72</v>
      </c>
      <c r="K3163">
        <v>15</v>
      </c>
      <c r="L3163" s="7">
        <f t="shared" si="148"/>
        <v>150.25</v>
      </c>
      <c r="M3163" s="7"/>
      <c r="O3163">
        <f t="shared" si="149"/>
        <v>2</v>
      </c>
      <c r="Q3163" t="s">
        <v>47</v>
      </c>
    </row>
    <row r="3164" spans="1:17" x14ac:dyDescent="0.3">
      <c r="A3164" t="s">
        <v>4274</v>
      </c>
      <c r="B3164" s="6">
        <v>45018</v>
      </c>
      <c r="C3164" s="6" t="str">
        <f t="shared" si="147"/>
        <v>Apr</v>
      </c>
      <c r="D3164" t="s">
        <v>444</v>
      </c>
      <c r="E3164" t="s">
        <v>26</v>
      </c>
      <c r="F3164" t="s">
        <v>107</v>
      </c>
      <c r="G3164">
        <v>8</v>
      </c>
      <c r="H3164" s="7">
        <v>463.51</v>
      </c>
      <c r="I3164" t="s">
        <v>19</v>
      </c>
      <c r="J3164" t="s">
        <v>87</v>
      </c>
      <c r="K3164">
        <v>5</v>
      </c>
      <c r="L3164" s="7">
        <f t="shared" si="148"/>
        <v>3708.08</v>
      </c>
      <c r="M3164" s="7"/>
      <c r="O3164">
        <f t="shared" si="149"/>
        <v>5</v>
      </c>
      <c r="Q3164" t="s">
        <v>19</v>
      </c>
    </row>
    <row r="3165" spans="1:17" x14ac:dyDescent="0.3">
      <c r="A3165" t="s">
        <v>4275</v>
      </c>
      <c r="B3165" s="6">
        <v>45166</v>
      </c>
      <c r="C3165" s="6" t="str">
        <f t="shared" si="147"/>
        <v>Aug</v>
      </c>
      <c r="D3165" t="s">
        <v>579</v>
      </c>
      <c r="E3165" t="s">
        <v>36</v>
      </c>
      <c r="F3165" t="s">
        <v>356</v>
      </c>
      <c r="G3165">
        <v>6</v>
      </c>
      <c r="H3165" s="7">
        <v>481.01</v>
      </c>
      <c r="I3165" t="s">
        <v>21</v>
      </c>
      <c r="J3165" t="s">
        <v>87</v>
      </c>
      <c r="K3165">
        <v>10</v>
      </c>
      <c r="L3165" s="7">
        <f t="shared" si="148"/>
        <v>2886.06</v>
      </c>
      <c r="M3165" s="7"/>
      <c r="O3165">
        <f t="shared" si="149"/>
        <v>3</v>
      </c>
      <c r="Q3165" t="s">
        <v>23</v>
      </c>
    </row>
    <row r="3166" spans="1:17" x14ac:dyDescent="0.3">
      <c r="A3166" t="s">
        <v>4276</v>
      </c>
      <c r="B3166" s="6">
        <v>45037</v>
      </c>
      <c r="C3166" s="6" t="str">
        <f t="shared" si="147"/>
        <v>Apr</v>
      </c>
      <c r="D3166" t="s">
        <v>2097</v>
      </c>
      <c r="E3166" t="s">
        <v>19</v>
      </c>
      <c r="F3166" t="s">
        <v>257</v>
      </c>
      <c r="G3166">
        <v>1</v>
      </c>
      <c r="H3166" s="7">
        <v>98.8</v>
      </c>
      <c r="I3166" t="s">
        <v>46</v>
      </c>
      <c r="J3166" t="s">
        <v>19</v>
      </c>
      <c r="K3166">
        <v>5</v>
      </c>
      <c r="L3166" s="7">
        <f t="shared" si="148"/>
        <v>98.8</v>
      </c>
      <c r="M3166" s="7"/>
      <c r="O3166">
        <f t="shared" si="149"/>
        <v>2</v>
      </c>
      <c r="Q3166" t="s">
        <v>47</v>
      </c>
    </row>
    <row r="3167" spans="1:17" x14ac:dyDescent="0.3">
      <c r="A3167" t="s">
        <v>4277</v>
      </c>
      <c r="B3167" s="6">
        <v>45164</v>
      </c>
      <c r="C3167" s="6" t="str">
        <f t="shared" si="147"/>
        <v>Aug</v>
      </c>
      <c r="D3167" t="s">
        <v>312</v>
      </c>
      <c r="E3167" t="s">
        <v>40</v>
      </c>
      <c r="F3167" t="s">
        <v>198</v>
      </c>
      <c r="G3167">
        <v>2</v>
      </c>
      <c r="H3167" s="7">
        <v>339.81</v>
      </c>
      <c r="I3167" t="s">
        <v>19</v>
      </c>
      <c r="J3167" t="s">
        <v>72</v>
      </c>
      <c r="K3167">
        <v>20</v>
      </c>
      <c r="L3167" s="7">
        <f t="shared" si="148"/>
        <v>679.62</v>
      </c>
      <c r="M3167" s="7"/>
      <c r="O3167">
        <f t="shared" si="149"/>
        <v>2</v>
      </c>
      <c r="Q3167" t="s">
        <v>19</v>
      </c>
    </row>
    <row r="3168" spans="1:17" x14ac:dyDescent="0.3">
      <c r="A3168" t="s">
        <v>4278</v>
      </c>
      <c r="B3168" s="6">
        <v>45137</v>
      </c>
      <c r="C3168" s="6" t="str">
        <f t="shared" si="147"/>
        <v>Jul</v>
      </c>
      <c r="D3168" t="s">
        <v>960</v>
      </c>
      <c r="E3168" t="s">
        <v>62</v>
      </c>
      <c r="F3168" t="s">
        <v>575</v>
      </c>
      <c r="G3168">
        <v>6</v>
      </c>
      <c r="H3168" s="7">
        <v>50.67</v>
      </c>
      <c r="I3168" t="s">
        <v>46</v>
      </c>
      <c r="J3168" t="s">
        <v>72</v>
      </c>
      <c r="K3168">
        <v>10</v>
      </c>
      <c r="L3168" s="7">
        <f t="shared" si="148"/>
        <v>304.02</v>
      </c>
      <c r="M3168" s="7"/>
      <c r="O3168">
        <f t="shared" si="149"/>
        <v>2</v>
      </c>
      <c r="Q3168" t="s">
        <v>47</v>
      </c>
    </row>
    <row r="3169" spans="1:17" x14ac:dyDescent="0.3">
      <c r="A3169" t="s">
        <v>4279</v>
      </c>
      <c r="B3169" s="6">
        <v>44982</v>
      </c>
      <c r="C3169" s="6" t="str">
        <f t="shared" si="147"/>
        <v>Feb</v>
      </c>
      <c r="D3169" t="s">
        <v>2701</v>
      </c>
      <c r="E3169" t="s">
        <v>40</v>
      </c>
      <c r="F3169" t="s">
        <v>263</v>
      </c>
      <c r="G3169">
        <v>2</v>
      </c>
      <c r="H3169" s="7">
        <v>366.11</v>
      </c>
      <c r="I3169" t="s">
        <v>19</v>
      </c>
      <c r="J3169" t="s">
        <v>19</v>
      </c>
      <c r="K3169">
        <v>5</v>
      </c>
      <c r="L3169" s="7">
        <f t="shared" si="148"/>
        <v>732.22</v>
      </c>
      <c r="M3169" s="7"/>
      <c r="O3169">
        <f t="shared" si="149"/>
        <v>2</v>
      </c>
      <c r="Q3169" t="s">
        <v>19</v>
      </c>
    </row>
    <row r="3170" spans="1:17" x14ac:dyDescent="0.3">
      <c r="A3170" t="s">
        <v>4280</v>
      </c>
      <c r="B3170" s="6">
        <v>45198</v>
      </c>
      <c r="C3170" s="6" t="str">
        <f t="shared" si="147"/>
        <v>Sep</v>
      </c>
      <c r="D3170" t="s">
        <v>1242</v>
      </c>
      <c r="E3170" t="s">
        <v>31</v>
      </c>
      <c r="F3170" t="s">
        <v>730</v>
      </c>
      <c r="G3170">
        <v>5</v>
      </c>
      <c r="H3170" s="7">
        <v>176.91</v>
      </c>
      <c r="I3170" t="s">
        <v>32</v>
      </c>
      <c r="J3170" t="s">
        <v>28</v>
      </c>
      <c r="K3170">
        <v>15</v>
      </c>
      <c r="L3170" s="7">
        <f t="shared" si="148"/>
        <v>884.55</v>
      </c>
      <c r="M3170" s="7"/>
      <c r="O3170">
        <f t="shared" si="149"/>
        <v>2</v>
      </c>
      <c r="Q3170" t="s">
        <v>33</v>
      </c>
    </row>
    <row r="3171" spans="1:17" x14ac:dyDescent="0.3">
      <c r="A3171" t="s">
        <v>4281</v>
      </c>
      <c r="B3171" s="6">
        <v>45123</v>
      </c>
      <c r="C3171" s="6" t="str">
        <f t="shared" si="147"/>
        <v>Jul</v>
      </c>
      <c r="D3171" t="s">
        <v>374</v>
      </c>
      <c r="E3171" t="s">
        <v>19</v>
      </c>
      <c r="F3171" t="s">
        <v>205</v>
      </c>
      <c r="G3171">
        <v>5</v>
      </c>
      <c r="H3171" s="7">
        <v>342.12</v>
      </c>
      <c r="I3171" t="s">
        <v>32</v>
      </c>
      <c r="J3171" t="s">
        <v>87</v>
      </c>
      <c r="K3171">
        <v>10</v>
      </c>
      <c r="L3171" s="7">
        <f t="shared" si="148"/>
        <v>1710.6</v>
      </c>
      <c r="M3171" s="7"/>
      <c r="O3171">
        <f t="shared" si="149"/>
        <v>2</v>
      </c>
      <c r="Q3171" t="s">
        <v>33</v>
      </c>
    </row>
    <row r="3172" spans="1:17" x14ac:dyDescent="0.3">
      <c r="A3172" t="s">
        <v>4282</v>
      </c>
      <c r="B3172" s="6">
        <v>45262</v>
      </c>
      <c r="C3172" s="6" t="str">
        <f t="shared" si="147"/>
        <v>Dec</v>
      </c>
      <c r="D3172" t="s">
        <v>1175</v>
      </c>
      <c r="E3172" t="s">
        <v>31</v>
      </c>
      <c r="F3172" t="s">
        <v>316</v>
      </c>
      <c r="G3172">
        <v>6</v>
      </c>
      <c r="H3172" s="7">
        <v>189.57</v>
      </c>
      <c r="I3172" t="s">
        <v>19</v>
      </c>
      <c r="J3172" t="s">
        <v>22</v>
      </c>
      <c r="K3172">
        <v>20</v>
      </c>
      <c r="L3172" s="7">
        <f t="shared" si="148"/>
        <v>1137.42</v>
      </c>
      <c r="M3172" s="7"/>
      <c r="O3172">
        <f t="shared" si="149"/>
        <v>2</v>
      </c>
      <c r="Q3172" t="s">
        <v>19</v>
      </c>
    </row>
    <row r="3173" spans="1:17" x14ac:dyDescent="0.3">
      <c r="A3173" t="s">
        <v>4283</v>
      </c>
      <c r="B3173" s="6">
        <v>45258</v>
      </c>
      <c r="C3173" s="6" t="str">
        <f t="shared" si="147"/>
        <v>Nov</v>
      </c>
      <c r="D3173" t="s">
        <v>302</v>
      </c>
      <c r="E3173" t="s">
        <v>31</v>
      </c>
      <c r="F3173" t="s">
        <v>486</v>
      </c>
      <c r="G3173">
        <v>6</v>
      </c>
      <c r="H3173" s="7">
        <v>77.06</v>
      </c>
      <c r="I3173" t="s">
        <v>46</v>
      </c>
      <c r="J3173" t="s">
        <v>19</v>
      </c>
      <c r="K3173">
        <v>15</v>
      </c>
      <c r="L3173" s="7">
        <f t="shared" si="148"/>
        <v>462.36</v>
      </c>
      <c r="M3173" s="7"/>
      <c r="O3173">
        <f t="shared" si="149"/>
        <v>2</v>
      </c>
      <c r="Q3173" t="s">
        <v>47</v>
      </c>
    </row>
    <row r="3174" spans="1:17" x14ac:dyDescent="0.3">
      <c r="A3174" t="s">
        <v>4284</v>
      </c>
      <c r="B3174" s="6">
        <v>45192</v>
      </c>
      <c r="C3174" s="6" t="str">
        <f t="shared" si="147"/>
        <v>Sep</v>
      </c>
      <c r="D3174" t="s">
        <v>565</v>
      </c>
      <c r="E3174" t="s">
        <v>19</v>
      </c>
      <c r="F3174" t="s">
        <v>107</v>
      </c>
      <c r="G3174">
        <v>6</v>
      </c>
      <c r="H3174" s="7">
        <v>206.02</v>
      </c>
      <c r="I3174" t="s">
        <v>103</v>
      </c>
      <c r="J3174" t="s">
        <v>19</v>
      </c>
      <c r="K3174">
        <v>10</v>
      </c>
      <c r="L3174" s="7">
        <f t="shared" si="148"/>
        <v>1236.1200000000001</v>
      </c>
      <c r="M3174" s="7"/>
      <c r="O3174">
        <f t="shared" si="149"/>
        <v>2</v>
      </c>
      <c r="Q3174" t="s">
        <v>104</v>
      </c>
    </row>
    <row r="3175" spans="1:17" x14ac:dyDescent="0.3">
      <c r="A3175" t="s">
        <v>4285</v>
      </c>
      <c r="B3175" s="6">
        <v>45277</v>
      </c>
      <c r="C3175" s="6" t="str">
        <f t="shared" si="147"/>
        <v>Dec</v>
      </c>
      <c r="D3175" t="s">
        <v>1449</v>
      </c>
      <c r="E3175" t="s">
        <v>40</v>
      </c>
      <c r="F3175" t="s">
        <v>646</v>
      </c>
      <c r="G3175">
        <v>2</v>
      </c>
      <c r="H3175" s="7">
        <v>60.77</v>
      </c>
      <c r="I3175" t="s">
        <v>64</v>
      </c>
      <c r="J3175" t="s">
        <v>28</v>
      </c>
      <c r="K3175">
        <v>20</v>
      </c>
      <c r="L3175" s="7">
        <f t="shared" si="148"/>
        <v>121.54</v>
      </c>
      <c r="M3175" s="7"/>
      <c r="O3175">
        <f t="shared" si="149"/>
        <v>2</v>
      </c>
      <c r="Q3175" t="s">
        <v>65</v>
      </c>
    </row>
    <row r="3176" spans="1:17" x14ac:dyDescent="0.3">
      <c r="A3176" t="s">
        <v>4286</v>
      </c>
      <c r="B3176" s="6">
        <v>45031</v>
      </c>
      <c r="C3176" s="6" t="str">
        <f t="shared" si="147"/>
        <v>Apr</v>
      </c>
      <c r="D3176" t="s">
        <v>3036</v>
      </c>
      <c r="E3176" t="s">
        <v>31</v>
      </c>
      <c r="F3176" t="s">
        <v>436</v>
      </c>
      <c r="G3176">
        <v>3</v>
      </c>
      <c r="H3176" s="7">
        <v>290.56</v>
      </c>
      <c r="I3176" t="s">
        <v>32</v>
      </c>
      <c r="J3176" t="s">
        <v>22</v>
      </c>
      <c r="K3176">
        <v>20</v>
      </c>
      <c r="L3176" s="7">
        <f t="shared" si="148"/>
        <v>871.68000000000006</v>
      </c>
      <c r="M3176" s="7"/>
      <c r="O3176">
        <f t="shared" si="149"/>
        <v>2</v>
      </c>
      <c r="Q3176" t="s">
        <v>33</v>
      </c>
    </row>
    <row r="3177" spans="1:17" x14ac:dyDescent="0.3">
      <c r="A3177" t="s">
        <v>4287</v>
      </c>
      <c r="B3177" s="6">
        <v>45254</v>
      </c>
      <c r="C3177" s="6" t="str">
        <f t="shared" si="147"/>
        <v>Nov</v>
      </c>
      <c r="D3177" t="s">
        <v>626</v>
      </c>
      <c r="E3177" t="s">
        <v>19</v>
      </c>
      <c r="F3177" t="s">
        <v>201</v>
      </c>
      <c r="G3177">
        <v>6</v>
      </c>
      <c r="H3177" s="7">
        <v>25.27</v>
      </c>
      <c r="I3177" t="s">
        <v>32</v>
      </c>
      <c r="J3177" t="s">
        <v>22</v>
      </c>
      <c r="K3177">
        <v>20</v>
      </c>
      <c r="L3177" s="7">
        <f t="shared" si="148"/>
        <v>151.62</v>
      </c>
      <c r="M3177" s="7"/>
      <c r="O3177">
        <f t="shared" si="149"/>
        <v>2</v>
      </c>
      <c r="Q3177" t="s">
        <v>33</v>
      </c>
    </row>
    <row r="3178" spans="1:17" x14ac:dyDescent="0.3">
      <c r="A3178" t="s">
        <v>4288</v>
      </c>
      <c r="B3178" s="6">
        <v>44944</v>
      </c>
      <c r="C3178" s="6" t="str">
        <f t="shared" si="147"/>
        <v>Jan</v>
      </c>
      <c r="D3178" t="s">
        <v>4289</v>
      </c>
      <c r="E3178" t="s">
        <v>26</v>
      </c>
      <c r="F3178" t="s">
        <v>504</v>
      </c>
      <c r="G3178">
        <v>8</v>
      </c>
      <c r="H3178" s="7">
        <v>266.02</v>
      </c>
      <c r="I3178" t="s">
        <v>19</v>
      </c>
      <c r="J3178" t="s">
        <v>19</v>
      </c>
      <c r="K3178">
        <v>10</v>
      </c>
      <c r="L3178" s="7">
        <f t="shared" si="148"/>
        <v>2128.16</v>
      </c>
      <c r="M3178" s="7"/>
      <c r="O3178">
        <f t="shared" si="149"/>
        <v>2</v>
      </c>
      <c r="Q3178" t="s">
        <v>19</v>
      </c>
    </row>
    <row r="3179" spans="1:17" x14ac:dyDescent="0.3">
      <c r="A3179" t="s">
        <v>4290</v>
      </c>
      <c r="B3179" s="6">
        <v>45042</v>
      </c>
      <c r="C3179" s="6" t="str">
        <f t="shared" si="147"/>
        <v>Apr</v>
      </c>
      <c r="D3179" t="s">
        <v>368</v>
      </c>
      <c r="E3179" t="s">
        <v>19</v>
      </c>
      <c r="F3179" t="s">
        <v>398</v>
      </c>
      <c r="G3179">
        <v>1</v>
      </c>
      <c r="H3179" s="7">
        <v>443.75</v>
      </c>
      <c r="I3179" t="s">
        <v>46</v>
      </c>
      <c r="J3179" t="s">
        <v>28</v>
      </c>
      <c r="K3179">
        <v>0</v>
      </c>
      <c r="L3179" s="7">
        <f t="shared" si="148"/>
        <v>443.75</v>
      </c>
      <c r="M3179" s="7"/>
      <c r="O3179">
        <f t="shared" si="149"/>
        <v>2</v>
      </c>
      <c r="Q3179" t="s">
        <v>47</v>
      </c>
    </row>
    <row r="3180" spans="1:17" x14ac:dyDescent="0.3">
      <c r="A3180" t="s">
        <v>4291</v>
      </c>
      <c r="B3180" s="6">
        <v>45287</v>
      </c>
      <c r="C3180" s="6" t="str">
        <f t="shared" si="147"/>
        <v>Dec</v>
      </c>
      <c r="D3180" t="s">
        <v>779</v>
      </c>
      <c r="E3180" t="s">
        <v>19</v>
      </c>
      <c r="F3180" t="s">
        <v>856</v>
      </c>
      <c r="G3180">
        <v>5</v>
      </c>
      <c r="H3180" s="7">
        <v>419.75</v>
      </c>
      <c r="I3180" t="s">
        <v>19</v>
      </c>
      <c r="J3180" t="s">
        <v>22</v>
      </c>
      <c r="K3180">
        <v>20</v>
      </c>
      <c r="L3180" s="7">
        <f t="shared" si="148"/>
        <v>2098.75</v>
      </c>
      <c r="M3180" s="7"/>
      <c r="O3180">
        <f t="shared" si="149"/>
        <v>2</v>
      </c>
      <c r="Q3180" t="s">
        <v>19</v>
      </c>
    </row>
    <row r="3181" spans="1:17" x14ac:dyDescent="0.3">
      <c r="A3181" t="s">
        <v>4292</v>
      </c>
      <c r="B3181" s="6">
        <v>45224</v>
      </c>
      <c r="C3181" s="6" t="str">
        <f t="shared" si="147"/>
        <v>Oct</v>
      </c>
      <c r="D3181" t="s">
        <v>147</v>
      </c>
      <c r="E3181" t="s">
        <v>26</v>
      </c>
      <c r="F3181" t="s">
        <v>1282</v>
      </c>
      <c r="G3181">
        <v>2</v>
      </c>
      <c r="H3181" s="7">
        <v>441.98</v>
      </c>
      <c r="I3181" t="s">
        <v>64</v>
      </c>
      <c r="J3181" t="s">
        <v>22</v>
      </c>
      <c r="K3181">
        <v>15</v>
      </c>
      <c r="L3181" s="7">
        <f t="shared" si="148"/>
        <v>883.96</v>
      </c>
      <c r="M3181" s="7"/>
      <c r="O3181">
        <f t="shared" si="149"/>
        <v>2</v>
      </c>
      <c r="Q3181" t="s">
        <v>65</v>
      </c>
    </row>
    <row r="3182" spans="1:17" x14ac:dyDescent="0.3">
      <c r="A3182" t="s">
        <v>4293</v>
      </c>
      <c r="B3182" s="6">
        <v>45117</v>
      </c>
      <c r="C3182" s="6" t="str">
        <f t="shared" si="147"/>
        <v>Jul</v>
      </c>
      <c r="D3182" t="s">
        <v>924</v>
      </c>
      <c r="E3182" t="s">
        <v>31</v>
      </c>
      <c r="F3182" t="s">
        <v>270</v>
      </c>
      <c r="G3182">
        <v>6</v>
      </c>
      <c r="H3182" s="7">
        <v>461.41</v>
      </c>
      <c r="I3182" t="s">
        <v>19</v>
      </c>
      <c r="J3182" t="s">
        <v>87</v>
      </c>
      <c r="K3182">
        <v>15</v>
      </c>
      <c r="L3182" s="7">
        <f t="shared" si="148"/>
        <v>2768.46</v>
      </c>
      <c r="M3182" s="7"/>
      <c r="O3182">
        <f t="shared" si="149"/>
        <v>3</v>
      </c>
      <c r="Q3182" t="s">
        <v>19</v>
      </c>
    </row>
    <row r="3183" spans="1:17" x14ac:dyDescent="0.3">
      <c r="A3183" t="s">
        <v>4294</v>
      </c>
      <c r="B3183" s="6">
        <v>45241</v>
      </c>
      <c r="C3183" s="6" t="str">
        <f t="shared" si="147"/>
        <v>Nov</v>
      </c>
      <c r="D3183" t="s">
        <v>2409</v>
      </c>
      <c r="E3183" t="s">
        <v>62</v>
      </c>
      <c r="F3183" t="s">
        <v>474</v>
      </c>
      <c r="G3183">
        <v>9</v>
      </c>
      <c r="H3183" s="7">
        <v>56.74</v>
      </c>
      <c r="I3183" t="s">
        <v>19</v>
      </c>
      <c r="J3183" t="s">
        <v>28</v>
      </c>
      <c r="K3183">
        <v>10</v>
      </c>
      <c r="L3183" s="7">
        <f t="shared" si="148"/>
        <v>510.66</v>
      </c>
      <c r="M3183" s="7"/>
      <c r="O3183">
        <f t="shared" si="149"/>
        <v>2</v>
      </c>
      <c r="Q3183" t="s">
        <v>19</v>
      </c>
    </row>
    <row r="3184" spans="1:17" x14ac:dyDescent="0.3">
      <c r="A3184" t="s">
        <v>4295</v>
      </c>
      <c r="B3184" s="6">
        <v>44929</v>
      </c>
      <c r="C3184" s="6" t="str">
        <f t="shared" si="147"/>
        <v>Jan</v>
      </c>
      <c r="D3184" t="s">
        <v>1535</v>
      </c>
      <c r="E3184" t="s">
        <v>62</v>
      </c>
      <c r="F3184" t="s">
        <v>1568</v>
      </c>
      <c r="G3184">
        <v>4</v>
      </c>
      <c r="H3184" s="7">
        <v>68.73</v>
      </c>
      <c r="I3184" t="s">
        <v>46</v>
      </c>
      <c r="J3184" t="s">
        <v>42</v>
      </c>
      <c r="K3184">
        <v>5</v>
      </c>
      <c r="L3184" s="7">
        <f t="shared" si="148"/>
        <v>274.92</v>
      </c>
      <c r="M3184" s="7"/>
      <c r="O3184">
        <f t="shared" si="149"/>
        <v>2</v>
      </c>
      <c r="Q3184" t="s">
        <v>47</v>
      </c>
    </row>
    <row r="3185" spans="1:17" x14ac:dyDescent="0.3">
      <c r="A3185" t="s">
        <v>4296</v>
      </c>
      <c r="B3185" s="6">
        <v>45220</v>
      </c>
      <c r="C3185" s="6" t="str">
        <f t="shared" si="147"/>
        <v>Oct</v>
      </c>
      <c r="D3185" t="s">
        <v>1916</v>
      </c>
      <c r="E3185" t="s">
        <v>36</v>
      </c>
      <c r="F3185" t="s">
        <v>102</v>
      </c>
      <c r="G3185">
        <v>3</v>
      </c>
      <c r="H3185" s="7">
        <v>280.72000000000003</v>
      </c>
      <c r="I3185" t="s">
        <v>64</v>
      </c>
      <c r="J3185" t="s">
        <v>28</v>
      </c>
      <c r="K3185">
        <v>5</v>
      </c>
      <c r="L3185" s="7">
        <f t="shared" si="148"/>
        <v>842.16000000000008</v>
      </c>
      <c r="M3185" s="7"/>
      <c r="O3185">
        <f t="shared" si="149"/>
        <v>2</v>
      </c>
      <c r="Q3185" t="s">
        <v>65</v>
      </c>
    </row>
    <row r="3186" spans="1:17" x14ac:dyDescent="0.3">
      <c r="A3186" t="s">
        <v>4297</v>
      </c>
      <c r="B3186" s="6">
        <v>44947</v>
      </c>
      <c r="C3186" s="6" t="str">
        <f t="shared" si="147"/>
        <v>Jan</v>
      </c>
      <c r="D3186" t="s">
        <v>377</v>
      </c>
      <c r="E3186" t="s">
        <v>19</v>
      </c>
      <c r="F3186" t="s">
        <v>403</v>
      </c>
      <c r="G3186">
        <v>8</v>
      </c>
      <c r="H3186" s="7">
        <v>447.52</v>
      </c>
      <c r="I3186" t="s">
        <v>64</v>
      </c>
      <c r="J3186" t="s">
        <v>28</v>
      </c>
      <c r="K3186">
        <v>0</v>
      </c>
      <c r="L3186" s="7">
        <f t="shared" si="148"/>
        <v>3580.16</v>
      </c>
      <c r="M3186" s="7"/>
      <c r="O3186">
        <f t="shared" si="149"/>
        <v>5</v>
      </c>
      <c r="Q3186" t="s">
        <v>65</v>
      </c>
    </row>
    <row r="3187" spans="1:17" x14ac:dyDescent="0.3">
      <c r="A3187" t="s">
        <v>4298</v>
      </c>
      <c r="B3187" s="6">
        <v>45124</v>
      </c>
      <c r="C3187" s="6" t="str">
        <f t="shared" si="147"/>
        <v>Jul</v>
      </c>
      <c r="D3187" t="s">
        <v>626</v>
      </c>
      <c r="E3187" t="s">
        <v>62</v>
      </c>
      <c r="F3187" t="s">
        <v>988</v>
      </c>
      <c r="G3187">
        <v>9</v>
      </c>
      <c r="H3187" s="7">
        <v>487.3</v>
      </c>
      <c r="I3187" t="s">
        <v>64</v>
      </c>
      <c r="J3187" t="s">
        <v>42</v>
      </c>
      <c r="K3187">
        <v>10</v>
      </c>
      <c r="L3187" s="7">
        <f t="shared" si="148"/>
        <v>4385.7</v>
      </c>
      <c r="M3187" s="7"/>
      <c r="O3187">
        <f t="shared" si="149"/>
        <v>5</v>
      </c>
      <c r="Q3187" t="s">
        <v>65</v>
      </c>
    </row>
    <row r="3188" spans="1:17" x14ac:dyDescent="0.3">
      <c r="A3188" t="s">
        <v>4299</v>
      </c>
      <c r="B3188" s="6">
        <v>45183</v>
      </c>
      <c r="C3188" s="6" t="str">
        <f t="shared" si="147"/>
        <v>Sep</v>
      </c>
      <c r="D3188" t="s">
        <v>1628</v>
      </c>
      <c r="E3188" t="s">
        <v>26</v>
      </c>
      <c r="F3188" t="s">
        <v>211</v>
      </c>
      <c r="G3188">
        <v>5</v>
      </c>
      <c r="H3188" s="7">
        <v>27.9</v>
      </c>
      <c r="I3188" t="s">
        <v>64</v>
      </c>
      <c r="J3188" t="s">
        <v>28</v>
      </c>
      <c r="K3188">
        <v>10</v>
      </c>
      <c r="L3188" s="7">
        <f t="shared" si="148"/>
        <v>139.5</v>
      </c>
      <c r="M3188" s="7"/>
      <c r="O3188">
        <f t="shared" si="149"/>
        <v>2</v>
      </c>
      <c r="Q3188" t="s">
        <v>65</v>
      </c>
    </row>
    <row r="3189" spans="1:17" x14ac:dyDescent="0.3">
      <c r="A3189" t="s">
        <v>4300</v>
      </c>
      <c r="B3189" s="6">
        <v>45073</v>
      </c>
      <c r="C3189" s="6" t="str">
        <f t="shared" si="147"/>
        <v>May</v>
      </c>
      <c r="D3189" t="s">
        <v>563</v>
      </c>
      <c r="E3189" t="s">
        <v>50</v>
      </c>
      <c r="F3189" t="s">
        <v>403</v>
      </c>
      <c r="G3189">
        <v>9</v>
      </c>
      <c r="H3189" s="7">
        <v>252.16</v>
      </c>
      <c r="I3189" t="s">
        <v>21</v>
      </c>
      <c r="J3189" t="s">
        <v>87</v>
      </c>
      <c r="K3189">
        <v>20</v>
      </c>
      <c r="L3189" s="7">
        <f t="shared" si="148"/>
        <v>2269.44</v>
      </c>
      <c r="M3189" s="7"/>
      <c r="O3189">
        <f t="shared" si="149"/>
        <v>2</v>
      </c>
      <c r="Q3189" t="s">
        <v>23</v>
      </c>
    </row>
    <row r="3190" spans="1:17" x14ac:dyDescent="0.3">
      <c r="A3190" t="s">
        <v>4301</v>
      </c>
      <c r="B3190" s="6">
        <v>45008</v>
      </c>
      <c r="C3190" s="6" t="str">
        <f t="shared" si="147"/>
        <v>Mar</v>
      </c>
      <c r="D3190" t="s">
        <v>2057</v>
      </c>
      <c r="E3190" t="s">
        <v>19</v>
      </c>
      <c r="F3190" t="s">
        <v>415</v>
      </c>
      <c r="G3190">
        <v>2</v>
      </c>
      <c r="H3190" s="7">
        <v>110.38</v>
      </c>
      <c r="I3190" t="s">
        <v>32</v>
      </c>
      <c r="J3190" t="s">
        <v>72</v>
      </c>
      <c r="K3190">
        <v>0</v>
      </c>
      <c r="L3190" s="7">
        <f t="shared" si="148"/>
        <v>220.76</v>
      </c>
      <c r="M3190" s="7"/>
      <c r="O3190">
        <f t="shared" si="149"/>
        <v>2</v>
      </c>
      <c r="Q3190" t="s">
        <v>33</v>
      </c>
    </row>
    <row r="3191" spans="1:17" x14ac:dyDescent="0.3">
      <c r="A3191" t="s">
        <v>4302</v>
      </c>
      <c r="B3191" s="6">
        <v>45050</v>
      </c>
      <c r="C3191" s="6" t="str">
        <f t="shared" si="147"/>
        <v>May</v>
      </c>
      <c r="D3191" t="s">
        <v>2545</v>
      </c>
      <c r="E3191" t="s">
        <v>50</v>
      </c>
      <c r="F3191" t="s">
        <v>1142</v>
      </c>
      <c r="G3191">
        <v>3</v>
      </c>
      <c r="H3191" s="7">
        <v>379.2</v>
      </c>
      <c r="I3191" t="s">
        <v>19</v>
      </c>
      <c r="J3191" t="s">
        <v>72</v>
      </c>
      <c r="K3191">
        <v>10</v>
      </c>
      <c r="L3191" s="7">
        <f t="shared" si="148"/>
        <v>1137.5999999999999</v>
      </c>
      <c r="M3191" s="7"/>
      <c r="O3191">
        <f t="shared" si="149"/>
        <v>2</v>
      </c>
      <c r="Q3191" t="s">
        <v>19</v>
      </c>
    </row>
    <row r="3192" spans="1:17" x14ac:dyDescent="0.3">
      <c r="A3192" t="s">
        <v>4303</v>
      </c>
      <c r="B3192" s="6">
        <v>45158</v>
      </c>
      <c r="C3192" s="6" t="str">
        <f t="shared" si="147"/>
        <v>Aug</v>
      </c>
      <c r="D3192" t="s">
        <v>1287</v>
      </c>
      <c r="E3192" t="s">
        <v>19</v>
      </c>
      <c r="F3192" t="s">
        <v>968</v>
      </c>
      <c r="G3192">
        <v>7</v>
      </c>
      <c r="H3192" s="7">
        <v>321.89999999999998</v>
      </c>
      <c r="I3192" t="s">
        <v>46</v>
      </c>
      <c r="J3192" t="s">
        <v>22</v>
      </c>
      <c r="K3192">
        <v>10</v>
      </c>
      <c r="L3192" s="7">
        <f t="shared" si="148"/>
        <v>2253.2999999999997</v>
      </c>
      <c r="M3192" s="7"/>
      <c r="O3192">
        <f t="shared" si="149"/>
        <v>2</v>
      </c>
      <c r="Q3192" t="s">
        <v>47</v>
      </c>
    </row>
    <row r="3193" spans="1:17" x14ac:dyDescent="0.3">
      <c r="A3193" t="s">
        <v>4304</v>
      </c>
      <c r="B3193" s="6">
        <v>45040</v>
      </c>
      <c r="C3193" s="6" t="str">
        <f t="shared" si="147"/>
        <v>Apr</v>
      </c>
      <c r="D3193" t="s">
        <v>2411</v>
      </c>
      <c r="E3193" t="s">
        <v>50</v>
      </c>
      <c r="F3193" t="s">
        <v>488</v>
      </c>
      <c r="G3193">
        <v>5</v>
      </c>
      <c r="H3193" s="7">
        <v>64.34</v>
      </c>
      <c r="I3193" t="s">
        <v>21</v>
      </c>
      <c r="J3193" t="s">
        <v>87</v>
      </c>
      <c r="K3193">
        <v>5</v>
      </c>
      <c r="L3193" s="7">
        <f t="shared" si="148"/>
        <v>321.70000000000005</v>
      </c>
      <c r="M3193" s="7"/>
      <c r="O3193">
        <f t="shared" si="149"/>
        <v>2</v>
      </c>
      <c r="Q3193" t="s">
        <v>23</v>
      </c>
    </row>
    <row r="3194" spans="1:17" x14ac:dyDescent="0.3">
      <c r="A3194" t="s">
        <v>4305</v>
      </c>
      <c r="B3194" s="6">
        <v>45206</v>
      </c>
      <c r="C3194" s="6" t="str">
        <f t="shared" si="147"/>
        <v>Oct</v>
      </c>
      <c r="D3194" t="s">
        <v>2652</v>
      </c>
      <c r="E3194" t="s">
        <v>19</v>
      </c>
      <c r="F3194" t="s">
        <v>347</v>
      </c>
      <c r="G3194">
        <v>6</v>
      </c>
      <c r="H3194" s="7">
        <v>244.34</v>
      </c>
      <c r="I3194" t="s">
        <v>32</v>
      </c>
      <c r="J3194" t="s">
        <v>28</v>
      </c>
      <c r="K3194">
        <v>10</v>
      </c>
      <c r="L3194" s="7">
        <f t="shared" si="148"/>
        <v>1466.04</v>
      </c>
      <c r="M3194" s="7"/>
      <c r="O3194">
        <f t="shared" si="149"/>
        <v>2</v>
      </c>
      <c r="Q3194" t="s">
        <v>33</v>
      </c>
    </row>
    <row r="3195" spans="1:17" x14ac:dyDescent="0.3">
      <c r="A3195" t="s">
        <v>4306</v>
      </c>
      <c r="B3195" s="6">
        <v>45116</v>
      </c>
      <c r="C3195" s="6" t="str">
        <f t="shared" si="147"/>
        <v>Jul</v>
      </c>
      <c r="D3195" t="s">
        <v>1754</v>
      </c>
      <c r="E3195" t="s">
        <v>50</v>
      </c>
      <c r="F3195" t="s">
        <v>1085</v>
      </c>
      <c r="G3195">
        <v>6</v>
      </c>
      <c r="H3195" s="7">
        <v>344.29</v>
      </c>
      <c r="I3195" t="s">
        <v>19</v>
      </c>
      <c r="J3195" t="s">
        <v>72</v>
      </c>
      <c r="K3195">
        <v>20</v>
      </c>
      <c r="L3195" s="7">
        <f t="shared" si="148"/>
        <v>2065.7400000000002</v>
      </c>
      <c r="M3195" s="7"/>
      <c r="O3195">
        <f t="shared" si="149"/>
        <v>2</v>
      </c>
      <c r="Q3195" t="s">
        <v>19</v>
      </c>
    </row>
    <row r="3196" spans="1:17" x14ac:dyDescent="0.3">
      <c r="A3196" t="s">
        <v>4307</v>
      </c>
      <c r="B3196" s="6">
        <v>45061</v>
      </c>
      <c r="C3196" s="6" t="str">
        <f t="shared" si="147"/>
        <v>May</v>
      </c>
      <c r="D3196" t="s">
        <v>3231</v>
      </c>
      <c r="E3196" t="s">
        <v>19</v>
      </c>
      <c r="F3196" t="s">
        <v>900</v>
      </c>
      <c r="G3196">
        <v>2</v>
      </c>
      <c r="H3196" s="7">
        <v>390.61</v>
      </c>
      <c r="I3196" t="s">
        <v>103</v>
      </c>
      <c r="J3196" t="s">
        <v>42</v>
      </c>
      <c r="K3196">
        <v>15</v>
      </c>
      <c r="L3196" s="7">
        <f t="shared" si="148"/>
        <v>781.22</v>
      </c>
      <c r="M3196" s="7"/>
      <c r="O3196">
        <f t="shared" si="149"/>
        <v>2</v>
      </c>
      <c r="Q3196" t="s">
        <v>104</v>
      </c>
    </row>
    <row r="3197" spans="1:17" x14ac:dyDescent="0.3">
      <c r="A3197" t="s">
        <v>4308</v>
      </c>
      <c r="B3197" s="6">
        <v>45179</v>
      </c>
      <c r="C3197" s="6" t="str">
        <f t="shared" si="147"/>
        <v>Sep</v>
      </c>
      <c r="D3197" t="s">
        <v>1993</v>
      </c>
      <c r="E3197" t="s">
        <v>62</v>
      </c>
      <c r="F3197" t="s">
        <v>372</v>
      </c>
      <c r="G3197">
        <v>6</v>
      </c>
      <c r="H3197" s="7">
        <v>14.93</v>
      </c>
      <c r="I3197" t="s">
        <v>32</v>
      </c>
      <c r="J3197" t="s">
        <v>42</v>
      </c>
      <c r="K3197">
        <v>10</v>
      </c>
      <c r="L3197" s="7">
        <f t="shared" si="148"/>
        <v>89.58</v>
      </c>
      <c r="M3197" s="7"/>
      <c r="O3197">
        <f t="shared" si="149"/>
        <v>2</v>
      </c>
      <c r="Q3197" t="s">
        <v>33</v>
      </c>
    </row>
    <row r="3198" spans="1:17" x14ac:dyDescent="0.3">
      <c r="A3198" t="s">
        <v>4309</v>
      </c>
      <c r="B3198" s="6">
        <v>45035</v>
      </c>
      <c r="C3198" s="6" t="str">
        <f t="shared" si="147"/>
        <v>Apr</v>
      </c>
      <c r="D3198" t="s">
        <v>425</v>
      </c>
      <c r="E3198" t="s">
        <v>26</v>
      </c>
      <c r="F3198" t="s">
        <v>386</v>
      </c>
      <c r="G3198">
        <v>4</v>
      </c>
      <c r="H3198" s="7">
        <v>445.78</v>
      </c>
      <c r="I3198" t="s">
        <v>64</v>
      </c>
      <c r="J3198" t="s">
        <v>22</v>
      </c>
      <c r="K3198">
        <v>0</v>
      </c>
      <c r="L3198" s="7">
        <f t="shared" si="148"/>
        <v>1783.12</v>
      </c>
      <c r="M3198" s="7"/>
      <c r="O3198">
        <f t="shared" si="149"/>
        <v>2</v>
      </c>
      <c r="Q3198" t="s">
        <v>65</v>
      </c>
    </row>
    <row r="3199" spans="1:17" x14ac:dyDescent="0.3">
      <c r="A3199" t="s">
        <v>4310</v>
      </c>
      <c r="B3199" s="6">
        <v>45106</v>
      </c>
      <c r="C3199" s="6" t="str">
        <f t="shared" si="147"/>
        <v>Jun</v>
      </c>
      <c r="D3199" t="s">
        <v>2684</v>
      </c>
      <c r="E3199" t="s">
        <v>62</v>
      </c>
      <c r="F3199" t="s">
        <v>642</v>
      </c>
      <c r="G3199">
        <v>3</v>
      </c>
      <c r="H3199" s="7">
        <v>286.79000000000002</v>
      </c>
      <c r="I3199" t="s">
        <v>19</v>
      </c>
      <c r="J3199" t="s">
        <v>87</v>
      </c>
      <c r="K3199">
        <v>20</v>
      </c>
      <c r="L3199" s="7">
        <f t="shared" si="148"/>
        <v>860.37000000000012</v>
      </c>
      <c r="M3199" s="7"/>
      <c r="O3199">
        <f t="shared" si="149"/>
        <v>2</v>
      </c>
      <c r="Q3199" t="s">
        <v>19</v>
      </c>
    </row>
    <row r="3200" spans="1:17" x14ac:dyDescent="0.3">
      <c r="A3200" t="s">
        <v>4311</v>
      </c>
      <c r="B3200" s="6">
        <v>45252</v>
      </c>
      <c r="C3200" s="6" t="str">
        <f t="shared" si="147"/>
        <v>Nov</v>
      </c>
      <c r="D3200" t="s">
        <v>2233</v>
      </c>
      <c r="E3200" t="s">
        <v>19</v>
      </c>
      <c r="F3200" t="s">
        <v>20</v>
      </c>
      <c r="G3200">
        <v>2</v>
      </c>
      <c r="H3200" s="7">
        <v>406.9</v>
      </c>
      <c r="I3200" t="s">
        <v>21</v>
      </c>
      <c r="J3200" t="s">
        <v>42</v>
      </c>
      <c r="K3200">
        <v>10</v>
      </c>
      <c r="L3200" s="7">
        <f t="shared" si="148"/>
        <v>813.8</v>
      </c>
      <c r="M3200" s="7"/>
      <c r="O3200">
        <f t="shared" si="149"/>
        <v>2</v>
      </c>
      <c r="Q3200" t="s">
        <v>23</v>
      </c>
    </row>
    <row r="3201" spans="1:17" x14ac:dyDescent="0.3">
      <c r="A3201" t="s">
        <v>4312</v>
      </c>
      <c r="B3201" s="6">
        <v>45116</v>
      </c>
      <c r="C3201" s="6" t="str">
        <f t="shared" si="147"/>
        <v>Jul</v>
      </c>
      <c r="D3201" t="s">
        <v>3039</v>
      </c>
      <c r="E3201" t="s">
        <v>19</v>
      </c>
      <c r="F3201" t="s">
        <v>165</v>
      </c>
      <c r="G3201">
        <v>1</v>
      </c>
      <c r="H3201" s="7">
        <v>404.93</v>
      </c>
      <c r="I3201" t="s">
        <v>64</v>
      </c>
      <c r="J3201" t="s">
        <v>72</v>
      </c>
      <c r="K3201">
        <v>10</v>
      </c>
      <c r="L3201" s="7">
        <f t="shared" si="148"/>
        <v>404.93</v>
      </c>
      <c r="M3201" s="7"/>
      <c r="O3201">
        <f t="shared" si="149"/>
        <v>2</v>
      </c>
      <c r="Q3201" t="s">
        <v>65</v>
      </c>
    </row>
    <row r="3202" spans="1:17" x14ac:dyDescent="0.3">
      <c r="A3202" t="s">
        <v>4313</v>
      </c>
      <c r="B3202" s="6">
        <v>45249</v>
      </c>
      <c r="C3202" s="6" t="str">
        <f t="shared" si="147"/>
        <v>Nov</v>
      </c>
      <c r="D3202" t="s">
        <v>1828</v>
      </c>
      <c r="E3202" t="s">
        <v>50</v>
      </c>
      <c r="F3202" t="s">
        <v>822</v>
      </c>
      <c r="G3202">
        <v>5</v>
      </c>
      <c r="H3202" s="7">
        <v>98.98</v>
      </c>
      <c r="I3202" t="s">
        <v>19</v>
      </c>
      <c r="J3202" t="s">
        <v>22</v>
      </c>
      <c r="K3202">
        <v>10</v>
      </c>
      <c r="L3202" s="7">
        <f t="shared" si="148"/>
        <v>494.90000000000003</v>
      </c>
      <c r="M3202" s="7"/>
      <c r="O3202">
        <f t="shared" si="149"/>
        <v>2</v>
      </c>
      <c r="Q3202" t="s">
        <v>19</v>
      </c>
    </row>
    <row r="3203" spans="1:17" x14ac:dyDescent="0.3">
      <c r="A3203" t="s">
        <v>4314</v>
      </c>
      <c r="B3203" s="6">
        <v>45233</v>
      </c>
      <c r="C3203" s="6" t="str">
        <f t="shared" ref="C3203:C3266" si="150">TEXT(B3203,"MMM")</f>
        <v>Nov</v>
      </c>
      <c r="D3203" t="s">
        <v>2388</v>
      </c>
      <c r="E3203" t="s">
        <v>40</v>
      </c>
      <c r="F3203" t="s">
        <v>68</v>
      </c>
      <c r="G3203">
        <v>2</v>
      </c>
      <c r="H3203" s="7">
        <v>59.54</v>
      </c>
      <c r="I3203" t="s">
        <v>46</v>
      </c>
      <c r="J3203" t="s">
        <v>22</v>
      </c>
      <c r="K3203">
        <v>10</v>
      </c>
      <c r="L3203" s="7">
        <f t="shared" ref="L3203:L3266" si="151">G3203*H3203</f>
        <v>119.08</v>
      </c>
      <c r="M3203" s="7"/>
      <c r="O3203">
        <f t="shared" si="149"/>
        <v>2</v>
      </c>
      <c r="Q3203" t="s">
        <v>47</v>
      </c>
    </row>
    <row r="3204" spans="1:17" x14ac:dyDescent="0.3">
      <c r="A3204" t="s">
        <v>4315</v>
      </c>
      <c r="B3204" s="6">
        <v>45013</v>
      </c>
      <c r="C3204" s="6" t="str">
        <f t="shared" si="150"/>
        <v>Mar</v>
      </c>
      <c r="D3204" t="s">
        <v>338</v>
      </c>
      <c r="E3204" t="s">
        <v>40</v>
      </c>
      <c r="F3204" t="s">
        <v>1461</v>
      </c>
      <c r="G3204">
        <v>2</v>
      </c>
      <c r="H3204" s="7">
        <v>362.04</v>
      </c>
      <c r="I3204" t="s">
        <v>32</v>
      </c>
      <c r="J3204" t="s">
        <v>42</v>
      </c>
      <c r="K3204">
        <v>20</v>
      </c>
      <c r="L3204" s="7">
        <f t="shared" si="151"/>
        <v>724.08</v>
      </c>
      <c r="M3204" s="7"/>
      <c r="O3204">
        <f t="shared" ref="O3204:O3267" si="152">IF(L3204&gt;3500,5,IF(L3204&gt;3000,4,IF(L3204&gt;2500,3,IF(L3204&gt;2000,2,IF(L3204&gt;1000,2,2)))))</f>
        <v>2</v>
      </c>
      <c r="Q3204" t="s">
        <v>33</v>
      </c>
    </row>
    <row r="3205" spans="1:17" x14ac:dyDescent="0.3">
      <c r="A3205" t="s">
        <v>4316</v>
      </c>
      <c r="B3205" s="6">
        <v>45002</v>
      </c>
      <c r="C3205" s="6" t="str">
        <f t="shared" si="150"/>
        <v>Mar</v>
      </c>
      <c r="D3205" t="s">
        <v>1922</v>
      </c>
      <c r="E3205" t="s">
        <v>36</v>
      </c>
      <c r="F3205" t="s">
        <v>662</v>
      </c>
      <c r="G3205">
        <v>7</v>
      </c>
      <c r="H3205" s="7">
        <v>82.43</v>
      </c>
      <c r="I3205" t="s">
        <v>19</v>
      </c>
      <c r="J3205" t="s">
        <v>87</v>
      </c>
      <c r="K3205">
        <v>10</v>
      </c>
      <c r="L3205" s="7">
        <f t="shared" si="151"/>
        <v>577.01</v>
      </c>
      <c r="M3205" s="7"/>
      <c r="O3205">
        <f t="shared" si="152"/>
        <v>2</v>
      </c>
      <c r="Q3205" t="s">
        <v>19</v>
      </c>
    </row>
    <row r="3206" spans="1:17" x14ac:dyDescent="0.3">
      <c r="A3206" t="s">
        <v>4317</v>
      </c>
      <c r="B3206" s="6">
        <v>45287</v>
      </c>
      <c r="C3206" s="6" t="str">
        <f t="shared" si="150"/>
        <v>Dec</v>
      </c>
      <c r="D3206" t="s">
        <v>641</v>
      </c>
      <c r="E3206" t="s">
        <v>62</v>
      </c>
      <c r="F3206" t="s">
        <v>292</v>
      </c>
      <c r="G3206">
        <v>5</v>
      </c>
      <c r="H3206" s="7">
        <v>425.72</v>
      </c>
      <c r="I3206" t="s">
        <v>46</v>
      </c>
      <c r="J3206" t="s">
        <v>42</v>
      </c>
      <c r="K3206">
        <v>10</v>
      </c>
      <c r="L3206" s="7">
        <f t="shared" si="151"/>
        <v>2128.6000000000004</v>
      </c>
      <c r="M3206" s="7"/>
      <c r="O3206">
        <f t="shared" si="152"/>
        <v>2</v>
      </c>
      <c r="Q3206" t="s">
        <v>47</v>
      </c>
    </row>
    <row r="3207" spans="1:17" x14ac:dyDescent="0.3">
      <c r="A3207" t="s">
        <v>4318</v>
      </c>
      <c r="B3207" s="6">
        <v>45147</v>
      </c>
      <c r="C3207" s="6" t="str">
        <f t="shared" si="150"/>
        <v>Aug</v>
      </c>
      <c r="D3207" t="s">
        <v>405</v>
      </c>
      <c r="E3207" t="s">
        <v>36</v>
      </c>
      <c r="F3207" t="s">
        <v>1328</v>
      </c>
      <c r="G3207">
        <v>8</v>
      </c>
      <c r="H3207" s="7">
        <v>364.46</v>
      </c>
      <c r="I3207" t="s">
        <v>32</v>
      </c>
      <c r="J3207" t="s">
        <v>22</v>
      </c>
      <c r="K3207">
        <v>15</v>
      </c>
      <c r="L3207" s="7">
        <f t="shared" si="151"/>
        <v>2915.68</v>
      </c>
      <c r="M3207" s="7"/>
      <c r="O3207">
        <f t="shared" si="152"/>
        <v>3</v>
      </c>
      <c r="Q3207" t="s">
        <v>33</v>
      </c>
    </row>
    <row r="3208" spans="1:17" x14ac:dyDescent="0.3">
      <c r="A3208" t="s">
        <v>4319</v>
      </c>
      <c r="B3208" s="6">
        <v>45255</v>
      </c>
      <c r="C3208" s="6" t="str">
        <f t="shared" si="150"/>
        <v>Nov</v>
      </c>
      <c r="D3208" t="s">
        <v>124</v>
      </c>
      <c r="E3208" t="s">
        <v>40</v>
      </c>
      <c r="F3208" t="s">
        <v>267</v>
      </c>
      <c r="G3208">
        <v>4</v>
      </c>
      <c r="H3208" s="7">
        <v>421.7</v>
      </c>
      <c r="I3208" t="s">
        <v>19</v>
      </c>
      <c r="J3208" t="s">
        <v>72</v>
      </c>
      <c r="K3208">
        <v>5</v>
      </c>
      <c r="L3208" s="7">
        <f t="shared" si="151"/>
        <v>1686.8</v>
      </c>
      <c r="M3208" s="7"/>
      <c r="O3208">
        <f t="shared" si="152"/>
        <v>2</v>
      </c>
      <c r="Q3208" t="s">
        <v>19</v>
      </c>
    </row>
    <row r="3209" spans="1:17" x14ac:dyDescent="0.3">
      <c r="A3209" t="s">
        <v>4320</v>
      </c>
      <c r="B3209" s="6">
        <v>45046</v>
      </c>
      <c r="C3209" s="6" t="str">
        <f t="shared" si="150"/>
        <v>Apr</v>
      </c>
      <c r="D3209" t="s">
        <v>1296</v>
      </c>
      <c r="E3209" t="s">
        <v>19</v>
      </c>
      <c r="F3209" t="s">
        <v>944</v>
      </c>
      <c r="G3209">
        <v>1</v>
      </c>
      <c r="H3209" s="7">
        <v>153.01</v>
      </c>
      <c r="I3209" t="s">
        <v>21</v>
      </c>
      <c r="J3209" t="s">
        <v>19</v>
      </c>
      <c r="K3209">
        <v>20</v>
      </c>
      <c r="L3209" s="7">
        <f t="shared" si="151"/>
        <v>153.01</v>
      </c>
      <c r="M3209" s="7"/>
      <c r="O3209">
        <f t="shared" si="152"/>
        <v>2</v>
      </c>
      <c r="Q3209" t="s">
        <v>23</v>
      </c>
    </row>
    <row r="3210" spans="1:17" x14ac:dyDescent="0.3">
      <c r="A3210" t="s">
        <v>4321</v>
      </c>
      <c r="B3210" s="6">
        <v>44956</v>
      </c>
      <c r="C3210" s="6" t="str">
        <f t="shared" si="150"/>
        <v>Jan</v>
      </c>
      <c r="D3210" t="s">
        <v>494</v>
      </c>
      <c r="E3210" t="s">
        <v>26</v>
      </c>
      <c r="F3210" t="s">
        <v>423</v>
      </c>
      <c r="G3210">
        <v>7</v>
      </c>
      <c r="H3210" s="7">
        <v>161.72</v>
      </c>
      <c r="I3210" t="s">
        <v>64</v>
      </c>
      <c r="J3210" t="s">
        <v>19</v>
      </c>
      <c r="K3210">
        <v>10</v>
      </c>
      <c r="L3210" s="7">
        <f t="shared" si="151"/>
        <v>1132.04</v>
      </c>
      <c r="M3210" s="7"/>
      <c r="O3210">
        <f t="shared" si="152"/>
        <v>2</v>
      </c>
      <c r="Q3210" t="s">
        <v>65</v>
      </c>
    </row>
    <row r="3211" spans="1:17" x14ac:dyDescent="0.3">
      <c r="A3211" t="s">
        <v>4322</v>
      </c>
      <c r="B3211" s="6">
        <v>44987</v>
      </c>
      <c r="C3211" s="6" t="str">
        <f t="shared" si="150"/>
        <v>Mar</v>
      </c>
      <c r="D3211" t="s">
        <v>2811</v>
      </c>
      <c r="E3211" t="s">
        <v>50</v>
      </c>
      <c r="F3211" t="s">
        <v>257</v>
      </c>
      <c r="G3211">
        <v>1</v>
      </c>
      <c r="H3211" s="7">
        <v>337.25</v>
      </c>
      <c r="I3211" t="s">
        <v>32</v>
      </c>
      <c r="J3211" t="s">
        <v>22</v>
      </c>
      <c r="K3211">
        <v>0</v>
      </c>
      <c r="L3211" s="7">
        <f t="shared" si="151"/>
        <v>337.25</v>
      </c>
      <c r="M3211" s="7"/>
      <c r="O3211">
        <f t="shared" si="152"/>
        <v>2</v>
      </c>
      <c r="Q3211" t="s">
        <v>33</v>
      </c>
    </row>
    <row r="3212" spans="1:17" x14ac:dyDescent="0.3">
      <c r="A3212" t="s">
        <v>4323</v>
      </c>
      <c r="B3212" s="6">
        <v>44980</v>
      </c>
      <c r="C3212" s="6" t="str">
        <f t="shared" si="150"/>
        <v>Feb</v>
      </c>
      <c r="D3212" t="s">
        <v>492</v>
      </c>
      <c r="E3212" t="s">
        <v>19</v>
      </c>
      <c r="F3212" t="s">
        <v>1180</v>
      </c>
      <c r="G3212">
        <v>4</v>
      </c>
      <c r="H3212" s="7">
        <v>20.57</v>
      </c>
      <c r="I3212" t="s">
        <v>19</v>
      </c>
      <c r="J3212" t="s">
        <v>87</v>
      </c>
      <c r="K3212">
        <v>10</v>
      </c>
      <c r="L3212" s="7">
        <f t="shared" si="151"/>
        <v>82.28</v>
      </c>
      <c r="M3212" s="7"/>
      <c r="O3212">
        <f t="shared" si="152"/>
        <v>2</v>
      </c>
      <c r="Q3212" t="s">
        <v>19</v>
      </c>
    </row>
    <row r="3213" spans="1:17" x14ac:dyDescent="0.3">
      <c r="A3213" t="s">
        <v>4324</v>
      </c>
      <c r="B3213" s="6">
        <v>45154</v>
      </c>
      <c r="C3213" s="6" t="str">
        <f t="shared" si="150"/>
        <v>Aug</v>
      </c>
      <c r="D3213" t="s">
        <v>1913</v>
      </c>
      <c r="E3213" t="s">
        <v>36</v>
      </c>
      <c r="F3213" t="s">
        <v>273</v>
      </c>
      <c r="G3213">
        <v>8</v>
      </c>
      <c r="H3213" s="7">
        <v>364.62</v>
      </c>
      <c r="I3213" t="s">
        <v>21</v>
      </c>
      <c r="J3213" t="s">
        <v>42</v>
      </c>
      <c r="K3213">
        <v>10</v>
      </c>
      <c r="L3213" s="7">
        <f t="shared" si="151"/>
        <v>2916.96</v>
      </c>
      <c r="M3213" s="7"/>
      <c r="O3213">
        <f t="shared" si="152"/>
        <v>3</v>
      </c>
      <c r="Q3213" t="s">
        <v>23</v>
      </c>
    </row>
    <row r="3214" spans="1:17" x14ac:dyDescent="0.3">
      <c r="A3214" t="s">
        <v>4325</v>
      </c>
      <c r="B3214" s="6">
        <v>45102</v>
      </c>
      <c r="C3214" s="6" t="str">
        <f t="shared" si="150"/>
        <v>Jun</v>
      </c>
      <c r="D3214" t="s">
        <v>141</v>
      </c>
      <c r="E3214" t="s">
        <v>26</v>
      </c>
      <c r="F3214" t="s">
        <v>37</v>
      </c>
      <c r="G3214">
        <v>2</v>
      </c>
      <c r="H3214" s="7">
        <v>418.71</v>
      </c>
      <c r="I3214" t="s">
        <v>103</v>
      </c>
      <c r="J3214" t="s">
        <v>42</v>
      </c>
      <c r="K3214">
        <v>10</v>
      </c>
      <c r="L3214" s="7">
        <f t="shared" si="151"/>
        <v>837.42</v>
      </c>
      <c r="M3214" s="7"/>
      <c r="O3214">
        <f t="shared" si="152"/>
        <v>2</v>
      </c>
      <c r="Q3214" t="s">
        <v>104</v>
      </c>
    </row>
    <row r="3215" spans="1:17" x14ac:dyDescent="0.3">
      <c r="A3215" t="s">
        <v>4326</v>
      </c>
      <c r="B3215" s="6">
        <v>45051</v>
      </c>
      <c r="C3215" s="6" t="str">
        <f t="shared" si="150"/>
        <v>May</v>
      </c>
      <c r="D3215" t="s">
        <v>280</v>
      </c>
      <c r="E3215" t="s">
        <v>40</v>
      </c>
      <c r="F3215" t="s">
        <v>913</v>
      </c>
      <c r="G3215">
        <v>6</v>
      </c>
      <c r="H3215" s="7">
        <v>210.51</v>
      </c>
      <c r="I3215" t="s">
        <v>64</v>
      </c>
      <c r="J3215" t="s">
        <v>87</v>
      </c>
      <c r="K3215">
        <v>10</v>
      </c>
      <c r="L3215" s="7">
        <f t="shared" si="151"/>
        <v>1263.06</v>
      </c>
      <c r="M3215" s="7"/>
      <c r="O3215">
        <f t="shared" si="152"/>
        <v>2</v>
      </c>
      <c r="Q3215" t="s">
        <v>65</v>
      </c>
    </row>
    <row r="3216" spans="1:17" x14ac:dyDescent="0.3">
      <c r="A3216" t="s">
        <v>4327</v>
      </c>
      <c r="B3216" s="6">
        <v>45288</v>
      </c>
      <c r="C3216" s="6" t="str">
        <f t="shared" si="150"/>
        <v>Dec</v>
      </c>
      <c r="D3216" t="s">
        <v>1406</v>
      </c>
      <c r="E3216" t="s">
        <v>62</v>
      </c>
      <c r="F3216" t="s">
        <v>110</v>
      </c>
      <c r="G3216">
        <v>6</v>
      </c>
      <c r="H3216" s="7">
        <v>383.62</v>
      </c>
      <c r="I3216" t="s">
        <v>21</v>
      </c>
      <c r="J3216" t="s">
        <v>87</v>
      </c>
      <c r="K3216">
        <v>5</v>
      </c>
      <c r="L3216" s="7">
        <f t="shared" si="151"/>
        <v>2301.7200000000003</v>
      </c>
      <c r="M3216" s="7"/>
      <c r="O3216">
        <f t="shared" si="152"/>
        <v>2</v>
      </c>
      <c r="Q3216" t="s">
        <v>23</v>
      </c>
    </row>
    <row r="3217" spans="1:17" x14ac:dyDescent="0.3">
      <c r="A3217" t="s">
        <v>4328</v>
      </c>
      <c r="B3217" s="6">
        <v>45223</v>
      </c>
      <c r="C3217" s="6" t="str">
        <f t="shared" si="150"/>
        <v>Oct</v>
      </c>
      <c r="D3217" t="s">
        <v>2712</v>
      </c>
      <c r="E3217" t="s">
        <v>26</v>
      </c>
      <c r="F3217" t="s">
        <v>369</v>
      </c>
      <c r="G3217">
        <v>9</v>
      </c>
      <c r="H3217" s="7">
        <v>91.43</v>
      </c>
      <c r="I3217" t="s">
        <v>64</v>
      </c>
      <c r="J3217" t="s">
        <v>72</v>
      </c>
      <c r="K3217">
        <v>0</v>
      </c>
      <c r="L3217" s="7">
        <f t="shared" si="151"/>
        <v>822.87000000000012</v>
      </c>
      <c r="M3217" s="7"/>
      <c r="O3217">
        <f t="shared" si="152"/>
        <v>2</v>
      </c>
      <c r="Q3217" t="s">
        <v>65</v>
      </c>
    </row>
    <row r="3218" spans="1:17" x14ac:dyDescent="0.3">
      <c r="A3218" t="s">
        <v>4329</v>
      </c>
      <c r="B3218" s="6">
        <v>45077</v>
      </c>
      <c r="C3218" s="6" t="str">
        <f t="shared" si="150"/>
        <v>May</v>
      </c>
      <c r="D3218" t="s">
        <v>1091</v>
      </c>
      <c r="E3218" t="s">
        <v>19</v>
      </c>
      <c r="F3218" t="s">
        <v>173</v>
      </c>
      <c r="G3218">
        <v>5</v>
      </c>
      <c r="H3218" s="7">
        <v>164.52</v>
      </c>
      <c r="I3218" t="s">
        <v>64</v>
      </c>
      <c r="J3218" t="s">
        <v>22</v>
      </c>
      <c r="K3218">
        <v>0</v>
      </c>
      <c r="L3218" s="7">
        <f t="shared" si="151"/>
        <v>822.6</v>
      </c>
      <c r="M3218" s="7"/>
      <c r="O3218">
        <f t="shared" si="152"/>
        <v>2</v>
      </c>
      <c r="Q3218" t="s">
        <v>65</v>
      </c>
    </row>
    <row r="3219" spans="1:17" x14ac:dyDescent="0.3">
      <c r="A3219" t="s">
        <v>4330</v>
      </c>
      <c r="B3219" s="6">
        <v>45049</v>
      </c>
      <c r="C3219" s="6" t="str">
        <f t="shared" si="150"/>
        <v>May</v>
      </c>
      <c r="D3219" t="s">
        <v>3567</v>
      </c>
      <c r="E3219" t="s">
        <v>26</v>
      </c>
      <c r="F3219" t="s">
        <v>59</v>
      </c>
      <c r="G3219">
        <v>4</v>
      </c>
      <c r="H3219" s="7">
        <v>487.28</v>
      </c>
      <c r="I3219" t="s">
        <v>64</v>
      </c>
      <c r="J3219" t="s">
        <v>28</v>
      </c>
      <c r="K3219">
        <v>15</v>
      </c>
      <c r="L3219" s="7">
        <f t="shared" si="151"/>
        <v>1949.12</v>
      </c>
      <c r="M3219" s="7"/>
      <c r="O3219">
        <f t="shared" si="152"/>
        <v>2</v>
      </c>
      <c r="Q3219" t="s">
        <v>65</v>
      </c>
    </row>
    <row r="3220" spans="1:17" x14ac:dyDescent="0.3">
      <c r="A3220" t="s">
        <v>4331</v>
      </c>
      <c r="B3220" s="6">
        <v>45113</v>
      </c>
      <c r="C3220" s="6" t="str">
        <f t="shared" si="150"/>
        <v>Jul</v>
      </c>
      <c r="D3220" t="s">
        <v>3090</v>
      </c>
      <c r="E3220" t="s">
        <v>36</v>
      </c>
      <c r="F3220" t="s">
        <v>316</v>
      </c>
      <c r="G3220">
        <v>5</v>
      </c>
      <c r="H3220" s="7">
        <v>493.23</v>
      </c>
      <c r="I3220" t="s">
        <v>46</v>
      </c>
      <c r="J3220" t="s">
        <v>19</v>
      </c>
      <c r="K3220">
        <v>5</v>
      </c>
      <c r="L3220" s="7">
        <f t="shared" si="151"/>
        <v>2466.15</v>
      </c>
      <c r="M3220" s="7"/>
      <c r="O3220">
        <f t="shared" si="152"/>
        <v>2</v>
      </c>
      <c r="Q3220" t="s">
        <v>47</v>
      </c>
    </row>
    <row r="3221" spans="1:17" x14ac:dyDescent="0.3">
      <c r="A3221" t="s">
        <v>4332</v>
      </c>
      <c r="B3221" s="6">
        <v>45073</v>
      </c>
      <c r="C3221" s="6" t="str">
        <f t="shared" si="150"/>
        <v>May</v>
      </c>
      <c r="D3221" t="s">
        <v>656</v>
      </c>
      <c r="E3221" t="s">
        <v>50</v>
      </c>
      <c r="F3221" t="s">
        <v>1851</v>
      </c>
      <c r="G3221">
        <v>5</v>
      </c>
      <c r="H3221" s="7">
        <v>258.74</v>
      </c>
      <c r="I3221" t="s">
        <v>19</v>
      </c>
      <c r="J3221" t="s">
        <v>22</v>
      </c>
      <c r="K3221">
        <v>10</v>
      </c>
      <c r="L3221" s="7">
        <f t="shared" si="151"/>
        <v>1293.7</v>
      </c>
      <c r="M3221" s="7"/>
      <c r="O3221">
        <f t="shared" si="152"/>
        <v>2</v>
      </c>
      <c r="Q3221" t="s">
        <v>19</v>
      </c>
    </row>
    <row r="3222" spans="1:17" x14ac:dyDescent="0.3">
      <c r="A3222" t="s">
        <v>4333</v>
      </c>
      <c r="B3222" s="6">
        <v>45284</v>
      </c>
      <c r="C3222" s="6" t="str">
        <f t="shared" si="150"/>
        <v>Dec</v>
      </c>
      <c r="D3222" t="s">
        <v>3825</v>
      </c>
      <c r="E3222" t="s">
        <v>50</v>
      </c>
      <c r="F3222" t="s">
        <v>480</v>
      </c>
      <c r="G3222">
        <v>8</v>
      </c>
      <c r="H3222" s="7">
        <v>467.46</v>
      </c>
      <c r="I3222" t="s">
        <v>21</v>
      </c>
      <c r="J3222" t="s">
        <v>42</v>
      </c>
      <c r="K3222">
        <v>20</v>
      </c>
      <c r="L3222" s="7">
        <f t="shared" si="151"/>
        <v>3739.68</v>
      </c>
      <c r="M3222" s="7"/>
      <c r="O3222">
        <f t="shared" si="152"/>
        <v>5</v>
      </c>
      <c r="Q3222" t="s">
        <v>23</v>
      </c>
    </row>
    <row r="3223" spans="1:17" x14ac:dyDescent="0.3">
      <c r="A3223" t="s">
        <v>4334</v>
      </c>
      <c r="B3223" s="6">
        <v>44945</v>
      </c>
      <c r="C3223" s="6" t="str">
        <f t="shared" si="150"/>
        <v>Jan</v>
      </c>
      <c r="D3223" t="s">
        <v>1346</v>
      </c>
      <c r="E3223" t="s">
        <v>50</v>
      </c>
      <c r="F3223" t="s">
        <v>148</v>
      </c>
      <c r="G3223">
        <v>8</v>
      </c>
      <c r="H3223" s="7">
        <v>263.75</v>
      </c>
      <c r="I3223" t="s">
        <v>46</v>
      </c>
      <c r="J3223" t="s">
        <v>19</v>
      </c>
      <c r="K3223">
        <v>5</v>
      </c>
      <c r="L3223" s="7">
        <f t="shared" si="151"/>
        <v>2110</v>
      </c>
      <c r="M3223" s="7"/>
      <c r="O3223">
        <f t="shared" si="152"/>
        <v>2</v>
      </c>
      <c r="Q3223" t="s">
        <v>47</v>
      </c>
    </row>
    <row r="3224" spans="1:17" x14ac:dyDescent="0.3">
      <c r="A3224" t="s">
        <v>4335</v>
      </c>
      <c r="B3224" s="6">
        <v>45188</v>
      </c>
      <c r="C3224" s="6" t="str">
        <f t="shared" si="150"/>
        <v>Sep</v>
      </c>
      <c r="D3224" t="s">
        <v>2832</v>
      </c>
      <c r="E3224" t="s">
        <v>50</v>
      </c>
      <c r="F3224" t="s">
        <v>486</v>
      </c>
      <c r="G3224">
        <v>2</v>
      </c>
      <c r="H3224" s="7">
        <v>149.34</v>
      </c>
      <c r="I3224" t="s">
        <v>46</v>
      </c>
      <c r="J3224" t="s">
        <v>19</v>
      </c>
      <c r="K3224">
        <v>5</v>
      </c>
      <c r="L3224" s="7">
        <f t="shared" si="151"/>
        <v>298.68</v>
      </c>
      <c r="M3224" s="7"/>
      <c r="O3224">
        <f t="shared" si="152"/>
        <v>2</v>
      </c>
      <c r="Q3224" t="s">
        <v>47</v>
      </c>
    </row>
    <row r="3225" spans="1:17" x14ac:dyDescent="0.3">
      <c r="A3225" t="s">
        <v>4336</v>
      </c>
      <c r="B3225" s="6">
        <v>45081</v>
      </c>
      <c r="C3225" s="6" t="str">
        <f t="shared" si="150"/>
        <v>Jun</v>
      </c>
      <c r="D3225" t="s">
        <v>4337</v>
      </c>
      <c r="E3225" t="s">
        <v>40</v>
      </c>
      <c r="F3225" t="s">
        <v>1618</v>
      </c>
      <c r="G3225">
        <v>7</v>
      </c>
      <c r="H3225" s="7">
        <v>137.12</v>
      </c>
      <c r="I3225" t="s">
        <v>21</v>
      </c>
      <c r="J3225" t="s">
        <v>28</v>
      </c>
      <c r="K3225">
        <v>0</v>
      </c>
      <c r="L3225" s="7">
        <f t="shared" si="151"/>
        <v>959.84</v>
      </c>
      <c r="M3225" s="7"/>
      <c r="O3225">
        <f t="shared" si="152"/>
        <v>2</v>
      </c>
      <c r="Q3225" t="s">
        <v>23</v>
      </c>
    </row>
    <row r="3226" spans="1:17" x14ac:dyDescent="0.3">
      <c r="A3226" t="s">
        <v>4338</v>
      </c>
      <c r="B3226" s="6">
        <v>45068</v>
      </c>
      <c r="C3226" s="6" t="str">
        <f t="shared" si="150"/>
        <v>May</v>
      </c>
      <c r="D3226" t="s">
        <v>269</v>
      </c>
      <c r="E3226" t="s">
        <v>19</v>
      </c>
      <c r="F3226" t="s">
        <v>1693</v>
      </c>
      <c r="G3226">
        <v>8</v>
      </c>
      <c r="H3226" s="7">
        <v>465.11</v>
      </c>
      <c r="I3226" t="s">
        <v>103</v>
      </c>
      <c r="J3226" t="s">
        <v>72</v>
      </c>
      <c r="K3226">
        <v>15</v>
      </c>
      <c r="L3226" s="7">
        <f t="shared" si="151"/>
        <v>3720.88</v>
      </c>
      <c r="M3226" s="7"/>
      <c r="O3226">
        <f t="shared" si="152"/>
        <v>5</v>
      </c>
      <c r="Q3226" t="s">
        <v>104</v>
      </c>
    </row>
    <row r="3227" spans="1:17" x14ac:dyDescent="0.3">
      <c r="A3227" t="s">
        <v>4339</v>
      </c>
      <c r="B3227" s="6">
        <v>45247</v>
      </c>
      <c r="C3227" s="6" t="str">
        <f t="shared" si="150"/>
        <v>Nov</v>
      </c>
      <c r="D3227" t="s">
        <v>1364</v>
      </c>
      <c r="E3227" t="s">
        <v>26</v>
      </c>
      <c r="F3227" t="s">
        <v>182</v>
      </c>
      <c r="G3227">
        <v>6</v>
      </c>
      <c r="H3227" s="7">
        <v>90.36</v>
      </c>
      <c r="I3227" t="s">
        <v>103</v>
      </c>
      <c r="J3227" t="s">
        <v>19</v>
      </c>
      <c r="K3227">
        <v>15</v>
      </c>
      <c r="L3227" s="7">
        <f t="shared" si="151"/>
        <v>542.16</v>
      </c>
      <c r="M3227" s="7"/>
      <c r="O3227">
        <f t="shared" si="152"/>
        <v>2</v>
      </c>
      <c r="Q3227" t="s">
        <v>104</v>
      </c>
    </row>
    <row r="3228" spans="1:17" x14ac:dyDescent="0.3">
      <c r="A3228" t="s">
        <v>4340</v>
      </c>
      <c r="B3228" s="6">
        <v>45122</v>
      </c>
      <c r="C3228" s="6" t="str">
        <f t="shared" si="150"/>
        <v>Jul</v>
      </c>
      <c r="D3228" t="s">
        <v>3244</v>
      </c>
      <c r="E3228" t="s">
        <v>62</v>
      </c>
      <c r="F3228" t="s">
        <v>474</v>
      </c>
      <c r="G3228">
        <v>5</v>
      </c>
      <c r="H3228" s="7">
        <v>291.92</v>
      </c>
      <c r="I3228" t="s">
        <v>46</v>
      </c>
      <c r="J3228" t="s">
        <v>28</v>
      </c>
      <c r="K3228">
        <v>5</v>
      </c>
      <c r="L3228" s="7">
        <f t="shared" si="151"/>
        <v>1459.6000000000001</v>
      </c>
      <c r="M3228" s="7"/>
      <c r="O3228">
        <f t="shared" si="152"/>
        <v>2</v>
      </c>
      <c r="Q3228" t="s">
        <v>47</v>
      </c>
    </row>
    <row r="3229" spans="1:17" x14ac:dyDescent="0.3">
      <c r="A3229" t="s">
        <v>4341</v>
      </c>
      <c r="B3229" s="6">
        <v>44983</v>
      </c>
      <c r="C3229" s="6" t="str">
        <f t="shared" si="150"/>
        <v>Feb</v>
      </c>
      <c r="D3229" t="s">
        <v>1313</v>
      </c>
      <c r="E3229" t="s">
        <v>36</v>
      </c>
      <c r="F3229" t="s">
        <v>81</v>
      </c>
      <c r="G3229">
        <v>9</v>
      </c>
      <c r="H3229" s="7">
        <v>279.98</v>
      </c>
      <c r="I3229" t="s">
        <v>21</v>
      </c>
      <c r="J3229" t="s">
        <v>22</v>
      </c>
      <c r="K3229">
        <v>5</v>
      </c>
      <c r="L3229" s="7">
        <f t="shared" si="151"/>
        <v>2519.8200000000002</v>
      </c>
      <c r="M3229" s="7"/>
      <c r="O3229">
        <f t="shared" si="152"/>
        <v>3</v>
      </c>
      <c r="Q3229" t="s">
        <v>23</v>
      </c>
    </row>
    <row r="3230" spans="1:17" x14ac:dyDescent="0.3">
      <c r="A3230" t="s">
        <v>4342</v>
      </c>
      <c r="B3230" s="6">
        <v>45058</v>
      </c>
      <c r="C3230" s="6" t="str">
        <f t="shared" si="150"/>
        <v>May</v>
      </c>
      <c r="D3230" t="s">
        <v>537</v>
      </c>
      <c r="E3230" t="s">
        <v>19</v>
      </c>
      <c r="F3230" t="s">
        <v>409</v>
      </c>
      <c r="G3230">
        <v>3</v>
      </c>
      <c r="H3230" s="7">
        <v>371.11</v>
      </c>
      <c r="I3230" t="s">
        <v>64</v>
      </c>
      <c r="J3230" t="s">
        <v>87</v>
      </c>
      <c r="K3230">
        <v>10</v>
      </c>
      <c r="L3230" s="7">
        <f t="shared" si="151"/>
        <v>1113.33</v>
      </c>
      <c r="M3230" s="7"/>
      <c r="O3230">
        <f t="shared" si="152"/>
        <v>2</v>
      </c>
      <c r="Q3230" t="s">
        <v>65</v>
      </c>
    </row>
    <row r="3231" spans="1:17" x14ac:dyDescent="0.3">
      <c r="A3231" t="s">
        <v>4343</v>
      </c>
      <c r="B3231" s="6">
        <v>45149</v>
      </c>
      <c r="C3231" s="6" t="str">
        <f t="shared" si="150"/>
        <v>Aug</v>
      </c>
      <c r="D3231" t="s">
        <v>1081</v>
      </c>
      <c r="E3231" t="s">
        <v>26</v>
      </c>
      <c r="F3231" t="s">
        <v>328</v>
      </c>
      <c r="G3231">
        <v>4</v>
      </c>
      <c r="H3231" s="7">
        <v>252.13</v>
      </c>
      <c r="I3231" t="s">
        <v>32</v>
      </c>
      <c r="J3231" t="s">
        <v>19</v>
      </c>
      <c r="K3231">
        <v>10</v>
      </c>
      <c r="L3231" s="7">
        <f t="shared" si="151"/>
        <v>1008.52</v>
      </c>
      <c r="M3231" s="7"/>
      <c r="O3231">
        <f t="shared" si="152"/>
        <v>2</v>
      </c>
      <c r="Q3231" t="s">
        <v>33</v>
      </c>
    </row>
    <row r="3232" spans="1:17" x14ac:dyDescent="0.3">
      <c r="A3232" t="s">
        <v>4344</v>
      </c>
      <c r="B3232" s="6">
        <v>45048</v>
      </c>
      <c r="C3232" s="6" t="str">
        <f t="shared" si="150"/>
        <v>May</v>
      </c>
      <c r="D3232" t="s">
        <v>1503</v>
      </c>
      <c r="E3232" t="s">
        <v>31</v>
      </c>
      <c r="F3232" t="s">
        <v>188</v>
      </c>
      <c r="G3232">
        <v>9</v>
      </c>
      <c r="H3232" s="7">
        <v>139.78</v>
      </c>
      <c r="I3232" t="s">
        <v>103</v>
      </c>
      <c r="J3232" t="s">
        <v>72</v>
      </c>
      <c r="K3232">
        <v>0</v>
      </c>
      <c r="L3232" s="7">
        <f t="shared" si="151"/>
        <v>1258.02</v>
      </c>
      <c r="M3232" s="7"/>
      <c r="O3232">
        <f t="shared" si="152"/>
        <v>2</v>
      </c>
      <c r="Q3232" t="s">
        <v>104</v>
      </c>
    </row>
    <row r="3233" spans="1:17" x14ac:dyDescent="0.3">
      <c r="A3233" t="s">
        <v>4345</v>
      </c>
      <c r="B3233" s="6">
        <v>45157</v>
      </c>
      <c r="C3233" s="6" t="str">
        <f t="shared" si="150"/>
        <v>Aug</v>
      </c>
      <c r="D3233" t="s">
        <v>762</v>
      </c>
      <c r="E3233" t="s">
        <v>50</v>
      </c>
      <c r="F3233" t="s">
        <v>1302</v>
      </c>
      <c r="G3233">
        <v>6</v>
      </c>
      <c r="H3233" s="7">
        <v>88.85</v>
      </c>
      <c r="I3233" t="s">
        <v>46</v>
      </c>
      <c r="J3233" t="s">
        <v>22</v>
      </c>
      <c r="K3233">
        <v>10</v>
      </c>
      <c r="L3233" s="7">
        <f t="shared" si="151"/>
        <v>533.09999999999991</v>
      </c>
      <c r="M3233" s="7"/>
      <c r="O3233">
        <f t="shared" si="152"/>
        <v>2</v>
      </c>
      <c r="Q3233" t="s">
        <v>47</v>
      </c>
    </row>
    <row r="3234" spans="1:17" x14ac:dyDescent="0.3">
      <c r="A3234" t="s">
        <v>4346</v>
      </c>
      <c r="B3234" s="6">
        <v>45078</v>
      </c>
      <c r="C3234" s="6" t="str">
        <f t="shared" si="150"/>
        <v>Jun</v>
      </c>
      <c r="D3234" t="s">
        <v>4347</v>
      </c>
      <c r="E3234" t="s">
        <v>31</v>
      </c>
      <c r="F3234" t="s">
        <v>2185</v>
      </c>
      <c r="G3234">
        <v>8</v>
      </c>
      <c r="H3234" s="7">
        <v>312.31</v>
      </c>
      <c r="I3234" t="s">
        <v>64</v>
      </c>
      <c r="J3234" t="s">
        <v>72</v>
      </c>
      <c r="K3234">
        <v>20</v>
      </c>
      <c r="L3234" s="7">
        <f t="shared" si="151"/>
        <v>2498.48</v>
      </c>
      <c r="M3234" s="7"/>
      <c r="O3234">
        <f t="shared" si="152"/>
        <v>2</v>
      </c>
      <c r="Q3234" t="s">
        <v>65</v>
      </c>
    </row>
    <row r="3235" spans="1:17" x14ac:dyDescent="0.3">
      <c r="A3235" t="s">
        <v>4348</v>
      </c>
      <c r="B3235" s="6">
        <v>45291</v>
      </c>
      <c r="C3235" s="6" t="str">
        <f t="shared" si="150"/>
        <v>Dec</v>
      </c>
      <c r="D3235" t="s">
        <v>233</v>
      </c>
      <c r="E3235" t="s">
        <v>36</v>
      </c>
      <c r="F3235" t="s">
        <v>353</v>
      </c>
      <c r="G3235">
        <v>7</v>
      </c>
      <c r="H3235" s="7">
        <v>360.9</v>
      </c>
      <c r="I3235" t="s">
        <v>19</v>
      </c>
      <c r="J3235" t="s">
        <v>72</v>
      </c>
      <c r="K3235">
        <v>20</v>
      </c>
      <c r="L3235" s="7">
        <f t="shared" si="151"/>
        <v>2526.2999999999997</v>
      </c>
      <c r="M3235" s="7"/>
      <c r="O3235">
        <f t="shared" si="152"/>
        <v>3</v>
      </c>
      <c r="Q3235" t="s">
        <v>19</v>
      </c>
    </row>
    <row r="3236" spans="1:17" x14ac:dyDescent="0.3">
      <c r="A3236" t="s">
        <v>4349</v>
      </c>
      <c r="B3236" s="6">
        <v>45091</v>
      </c>
      <c r="C3236" s="6" t="str">
        <f t="shared" si="150"/>
        <v>Jun</v>
      </c>
      <c r="D3236" t="s">
        <v>101</v>
      </c>
      <c r="E3236" t="s">
        <v>40</v>
      </c>
      <c r="F3236" t="s">
        <v>131</v>
      </c>
      <c r="G3236">
        <v>2</v>
      </c>
      <c r="H3236" s="7">
        <v>286.91000000000003</v>
      </c>
      <c r="I3236" t="s">
        <v>21</v>
      </c>
      <c r="J3236" t="s">
        <v>19</v>
      </c>
      <c r="K3236">
        <v>15</v>
      </c>
      <c r="L3236" s="7">
        <f t="shared" si="151"/>
        <v>573.82000000000005</v>
      </c>
      <c r="M3236" s="7"/>
      <c r="O3236">
        <f t="shared" si="152"/>
        <v>2</v>
      </c>
      <c r="Q3236" t="s">
        <v>23</v>
      </c>
    </row>
    <row r="3237" spans="1:17" x14ac:dyDescent="0.3">
      <c r="A3237" t="s">
        <v>4350</v>
      </c>
      <c r="B3237" s="6">
        <v>44988</v>
      </c>
      <c r="C3237" s="6" t="str">
        <f t="shared" si="150"/>
        <v>Mar</v>
      </c>
      <c r="D3237" t="s">
        <v>294</v>
      </c>
      <c r="E3237" t="s">
        <v>19</v>
      </c>
      <c r="F3237" t="s">
        <v>81</v>
      </c>
      <c r="G3237">
        <v>3</v>
      </c>
      <c r="H3237" s="7">
        <v>370.48</v>
      </c>
      <c r="I3237" t="s">
        <v>64</v>
      </c>
      <c r="J3237" t="s">
        <v>28</v>
      </c>
      <c r="K3237">
        <v>0</v>
      </c>
      <c r="L3237" s="7">
        <f t="shared" si="151"/>
        <v>1111.44</v>
      </c>
      <c r="M3237" s="7"/>
      <c r="O3237">
        <f t="shared" si="152"/>
        <v>2</v>
      </c>
      <c r="Q3237" t="s">
        <v>65</v>
      </c>
    </row>
    <row r="3238" spans="1:17" x14ac:dyDescent="0.3">
      <c r="A3238" t="s">
        <v>4351</v>
      </c>
      <c r="B3238" s="6">
        <v>45133</v>
      </c>
      <c r="C3238" s="6" t="str">
        <f t="shared" si="150"/>
        <v>Jul</v>
      </c>
      <c r="D3238" t="s">
        <v>2912</v>
      </c>
      <c r="E3238" t="s">
        <v>40</v>
      </c>
      <c r="F3238" t="s">
        <v>176</v>
      </c>
      <c r="G3238">
        <v>1</v>
      </c>
      <c r="H3238" s="7">
        <v>75.05</v>
      </c>
      <c r="I3238" t="s">
        <v>103</v>
      </c>
      <c r="J3238" t="s">
        <v>72</v>
      </c>
      <c r="K3238">
        <v>10</v>
      </c>
      <c r="L3238" s="7">
        <f t="shared" si="151"/>
        <v>75.05</v>
      </c>
      <c r="M3238" s="7"/>
      <c r="O3238">
        <f t="shared" si="152"/>
        <v>2</v>
      </c>
      <c r="Q3238" t="s">
        <v>104</v>
      </c>
    </row>
    <row r="3239" spans="1:17" x14ac:dyDescent="0.3">
      <c r="A3239" t="s">
        <v>4352</v>
      </c>
      <c r="B3239" s="6">
        <v>45112</v>
      </c>
      <c r="C3239" s="6" t="str">
        <f t="shared" si="150"/>
        <v>Jul</v>
      </c>
      <c r="D3239" t="s">
        <v>2012</v>
      </c>
      <c r="E3239" t="s">
        <v>62</v>
      </c>
      <c r="F3239" t="s">
        <v>51</v>
      </c>
      <c r="G3239">
        <v>9</v>
      </c>
      <c r="H3239" s="7">
        <v>441.82</v>
      </c>
      <c r="I3239" t="s">
        <v>64</v>
      </c>
      <c r="J3239" t="s">
        <v>28</v>
      </c>
      <c r="K3239">
        <v>15</v>
      </c>
      <c r="L3239" s="7">
        <f t="shared" si="151"/>
        <v>3976.38</v>
      </c>
      <c r="M3239" s="7"/>
      <c r="O3239">
        <f t="shared" si="152"/>
        <v>5</v>
      </c>
      <c r="Q3239" t="s">
        <v>65</v>
      </c>
    </row>
    <row r="3240" spans="1:17" x14ac:dyDescent="0.3">
      <c r="A3240" t="s">
        <v>4353</v>
      </c>
      <c r="B3240" s="6">
        <v>45230</v>
      </c>
      <c r="C3240" s="6" t="str">
        <f t="shared" si="150"/>
        <v>Oct</v>
      </c>
      <c r="D3240" t="s">
        <v>954</v>
      </c>
      <c r="E3240" t="s">
        <v>36</v>
      </c>
      <c r="F3240" t="s">
        <v>27</v>
      </c>
      <c r="G3240">
        <v>7</v>
      </c>
      <c r="H3240" s="7">
        <v>293.29000000000002</v>
      </c>
      <c r="I3240" t="s">
        <v>21</v>
      </c>
      <c r="J3240" t="s">
        <v>42</v>
      </c>
      <c r="K3240">
        <v>20</v>
      </c>
      <c r="L3240" s="7">
        <f t="shared" si="151"/>
        <v>2053.0300000000002</v>
      </c>
      <c r="M3240" s="7"/>
      <c r="O3240">
        <f t="shared" si="152"/>
        <v>2</v>
      </c>
      <c r="Q3240" t="s">
        <v>23</v>
      </c>
    </row>
    <row r="3241" spans="1:17" x14ac:dyDescent="0.3">
      <c r="A3241" t="s">
        <v>4354</v>
      </c>
      <c r="B3241" s="6">
        <v>45210</v>
      </c>
      <c r="C3241" s="6" t="str">
        <f t="shared" si="150"/>
        <v>Oct</v>
      </c>
      <c r="D3241" t="s">
        <v>280</v>
      </c>
      <c r="E3241" t="s">
        <v>62</v>
      </c>
      <c r="F3241" t="s">
        <v>366</v>
      </c>
      <c r="G3241">
        <v>1</v>
      </c>
      <c r="H3241" s="7">
        <v>67.790000000000006</v>
      </c>
      <c r="I3241" t="s">
        <v>21</v>
      </c>
      <c r="J3241" t="s">
        <v>42</v>
      </c>
      <c r="K3241">
        <v>5</v>
      </c>
      <c r="L3241" s="7">
        <f t="shared" si="151"/>
        <v>67.790000000000006</v>
      </c>
      <c r="M3241" s="7"/>
      <c r="O3241">
        <f t="shared" si="152"/>
        <v>2</v>
      </c>
      <c r="Q3241" t="s">
        <v>23</v>
      </c>
    </row>
    <row r="3242" spans="1:17" x14ac:dyDescent="0.3">
      <c r="A3242" t="s">
        <v>4355</v>
      </c>
      <c r="B3242" s="6">
        <v>44999</v>
      </c>
      <c r="C3242" s="6" t="str">
        <f t="shared" si="150"/>
        <v>Mar</v>
      </c>
      <c r="D3242" t="s">
        <v>1163</v>
      </c>
      <c r="E3242" t="s">
        <v>40</v>
      </c>
      <c r="F3242" t="s">
        <v>378</v>
      </c>
      <c r="G3242">
        <v>3</v>
      </c>
      <c r="H3242" s="7">
        <v>233.65</v>
      </c>
      <c r="I3242" t="s">
        <v>103</v>
      </c>
      <c r="J3242" t="s">
        <v>87</v>
      </c>
      <c r="K3242">
        <v>0</v>
      </c>
      <c r="L3242" s="7">
        <f t="shared" si="151"/>
        <v>700.95</v>
      </c>
      <c r="M3242" s="7"/>
      <c r="O3242">
        <f t="shared" si="152"/>
        <v>2</v>
      </c>
      <c r="Q3242" t="s">
        <v>104</v>
      </c>
    </row>
    <row r="3243" spans="1:17" x14ac:dyDescent="0.3">
      <c r="A3243" t="s">
        <v>4356</v>
      </c>
      <c r="B3243" s="6">
        <v>45098</v>
      </c>
      <c r="C3243" s="6" t="str">
        <f t="shared" si="150"/>
        <v>Jun</v>
      </c>
      <c r="D3243" t="s">
        <v>555</v>
      </c>
      <c r="E3243" t="s">
        <v>50</v>
      </c>
      <c r="F3243" t="s">
        <v>198</v>
      </c>
      <c r="G3243">
        <v>4</v>
      </c>
      <c r="H3243" s="7">
        <v>423.17</v>
      </c>
      <c r="I3243" t="s">
        <v>21</v>
      </c>
      <c r="J3243" t="s">
        <v>87</v>
      </c>
      <c r="K3243">
        <v>0</v>
      </c>
      <c r="L3243" s="7">
        <f t="shared" si="151"/>
        <v>1692.68</v>
      </c>
      <c r="M3243" s="7"/>
      <c r="O3243">
        <f t="shared" si="152"/>
        <v>2</v>
      </c>
      <c r="Q3243" t="s">
        <v>23</v>
      </c>
    </row>
    <row r="3244" spans="1:17" x14ac:dyDescent="0.3">
      <c r="A3244" t="s">
        <v>4357</v>
      </c>
      <c r="B3244" s="6">
        <v>45027</v>
      </c>
      <c r="C3244" s="6" t="str">
        <f t="shared" si="150"/>
        <v>Apr</v>
      </c>
      <c r="D3244" t="s">
        <v>795</v>
      </c>
      <c r="E3244" t="s">
        <v>31</v>
      </c>
      <c r="F3244" t="s">
        <v>142</v>
      </c>
      <c r="G3244">
        <v>4</v>
      </c>
      <c r="H3244" s="7">
        <v>449.29</v>
      </c>
      <c r="I3244" t="s">
        <v>64</v>
      </c>
      <c r="J3244" t="s">
        <v>87</v>
      </c>
      <c r="K3244">
        <v>10</v>
      </c>
      <c r="L3244" s="7">
        <f t="shared" si="151"/>
        <v>1797.16</v>
      </c>
      <c r="M3244" s="7"/>
      <c r="O3244">
        <f t="shared" si="152"/>
        <v>2</v>
      </c>
      <c r="Q3244" t="s">
        <v>65</v>
      </c>
    </row>
    <row r="3245" spans="1:17" x14ac:dyDescent="0.3">
      <c r="A3245" t="s">
        <v>4358</v>
      </c>
      <c r="B3245" s="6">
        <v>45068</v>
      </c>
      <c r="C3245" s="6" t="str">
        <f t="shared" si="150"/>
        <v>May</v>
      </c>
      <c r="D3245" t="s">
        <v>594</v>
      </c>
      <c r="E3245" t="s">
        <v>26</v>
      </c>
      <c r="F3245" t="s">
        <v>913</v>
      </c>
      <c r="G3245">
        <v>5</v>
      </c>
      <c r="H3245" s="7">
        <v>136</v>
      </c>
      <c r="I3245" t="s">
        <v>103</v>
      </c>
      <c r="J3245" t="s">
        <v>72</v>
      </c>
      <c r="K3245">
        <v>10</v>
      </c>
      <c r="L3245" s="7">
        <f t="shared" si="151"/>
        <v>680</v>
      </c>
      <c r="M3245" s="7"/>
      <c r="O3245">
        <f t="shared" si="152"/>
        <v>2</v>
      </c>
      <c r="Q3245" t="s">
        <v>104</v>
      </c>
    </row>
    <row r="3246" spans="1:17" x14ac:dyDescent="0.3">
      <c r="A3246" t="s">
        <v>4359</v>
      </c>
      <c r="B3246" s="6">
        <v>45172</v>
      </c>
      <c r="C3246" s="6" t="str">
        <f t="shared" si="150"/>
        <v>Sep</v>
      </c>
      <c r="D3246" t="s">
        <v>1942</v>
      </c>
      <c r="E3246" t="s">
        <v>19</v>
      </c>
      <c r="F3246" t="s">
        <v>1237</v>
      </c>
      <c r="G3246">
        <v>3</v>
      </c>
      <c r="H3246" s="7">
        <v>357.08</v>
      </c>
      <c r="I3246" t="s">
        <v>46</v>
      </c>
      <c r="J3246" t="s">
        <v>19</v>
      </c>
      <c r="K3246">
        <v>10</v>
      </c>
      <c r="L3246" s="7">
        <f t="shared" si="151"/>
        <v>1071.24</v>
      </c>
      <c r="M3246" s="7"/>
      <c r="O3246">
        <f t="shared" si="152"/>
        <v>2</v>
      </c>
      <c r="Q3246" t="s">
        <v>47</v>
      </c>
    </row>
    <row r="3247" spans="1:17" x14ac:dyDescent="0.3">
      <c r="A3247" t="s">
        <v>4360</v>
      </c>
      <c r="B3247" s="6">
        <v>44939</v>
      </c>
      <c r="C3247" s="6" t="str">
        <f t="shared" si="150"/>
        <v>Jan</v>
      </c>
      <c r="D3247" t="s">
        <v>1894</v>
      </c>
      <c r="E3247" t="s">
        <v>62</v>
      </c>
      <c r="F3247" t="s">
        <v>71</v>
      </c>
      <c r="G3247">
        <v>3</v>
      </c>
      <c r="H3247" s="7">
        <v>252.16</v>
      </c>
      <c r="I3247" t="s">
        <v>46</v>
      </c>
      <c r="J3247" t="s">
        <v>87</v>
      </c>
      <c r="K3247">
        <v>5</v>
      </c>
      <c r="L3247" s="7">
        <f t="shared" si="151"/>
        <v>756.48</v>
      </c>
      <c r="M3247" s="7"/>
      <c r="O3247">
        <f t="shared" si="152"/>
        <v>2</v>
      </c>
      <c r="Q3247" t="s">
        <v>47</v>
      </c>
    </row>
    <row r="3248" spans="1:17" x14ac:dyDescent="0.3">
      <c r="A3248" t="s">
        <v>4361</v>
      </c>
      <c r="B3248" s="6">
        <v>45122</v>
      </c>
      <c r="C3248" s="6" t="str">
        <f t="shared" si="150"/>
        <v>Jul</v>
      </c>
      <c r="D3248" t="s">
        <v>1250</v>
      </c>
      <c r="E3248" t="s">
        <v>19</v>
      </c>
      <c r="F3248" t="s">
        <v>708</v>
      </c>
      <c r="G3248">
        <v>1</v>
      </c>
      <c r="H3248" s="7">
        <v>21.61</v>
      </c>
      <c r="I3248" t="s">
        <v>32</v>
      </c>
      <c r="J3248" t="s">
        <v>42</v>
      </c>
      <c r="K3248">
        <v>5</v>
      </c>
      <c r="L3248" s="7">
        <f t="shared" si="151"/>
        <v>21.61</v>
      </c>
      <c r="M3248" s="7"/>
      <c r="O3248">
        <f t="shared" si="152"/>
        <v>2</v>
      </c>
      <c r="Q3248" t="s">
        <v>33</v>
      </c>
    </row>
    <row r="3249" spans="1:17" x14ac:dyDescent="0.3">
      <c r="A3249" t="s">
        <v>4362</v>
      </c>
      <c r="B3249" s="6">
        <v>45228</v>
      </c>
      <c r="C3249" s="6" t="str">
        <f t="shared" si="150"/>
        <v>Oct</v>
      </c>
      <c r="D3249" t="s">
        <v>1772</v>
      </c>
      <c r="E3249" t="s">
        <v>62</v>
      </c>
      <c r="F3249" t="s">
        <v>586</v>
      </c>
      <c r="G3249">
        <v>7</v>
      </c>
      <c r="H3249" s="7">
        <v>282.39999999999998</v>
      </c>
      <c r="I3249" t="s">
        <v>32</v>
      </c>
      <c r="J3249" t="s">
        <v>72</v>
      </c>
      <c r="K3249">
        <v>15</v>
      </c>
      <c r="L3249" s="7">
        <f t="shared" si="151"/>
        <v>1976.7999999999997</v>
      </c>
      <c r="M3249" s="7"/>
      <c r="O3249">
        <f t="shared" si="152"/>
        <v>2</v>
      </c>
      <c r="Q3249" t="s">
        <v>33</v>
      </c>
    </row>
    <row r="3250" spans="1:17" x14ac:dyDescent="0.3">
      <c r="A3250" t="s">
        <v>4363</v>
      </c>
      <c r="B3250" s="6">
        <v>44953</v>
      </c>
      <c r="C3250" s="6" t="str">
        <f t="shared" si="150"/>
        <v>Jan</v>
      </c>
      <c r="D3250" t="s">
        <v>885</v>
      </c>
      <c r="E3250" t="s">
        <v>26</v>
      </c>
      <c r="F3250" t="s">
        <v>657</v>
      </c>
      <c r="G3250">
        <v>1</v>
      </c>
      <c r="H3250" s="7">
        <v>348.94</v>
      </c>
      <c r="I3250" t="s">
        <v>103</v>
      </c>
      <c r="J3250" t="s">
        <v>42</v>
      </c>
      <c r="K3250">
        <v>0</v>
      </c>
      <c r="L3250" s="7">
        <f t="shared" si="151"/>
        <v>348.94</v>
      </c>
      <c r="M3250" s="7"/>
      <c r="O3250">
        <f t="shared" si="152"/>
        <v>2</v>
      </c>
      <c r="Q3250" t="s">
        <v>104</v>
      </c>
    </row>
    <row r="3251" spans="1:17" x14ac:dyDescent="0.3">
      <c r="A3251" t="s">
        <v>4364</v>
      </c>
      <c r="B3251" s="6">
        <v>45084</v>
      </c>
      <c r="C3251" s="6" t="str">
        <f t="shared" si="150"/>
        <v>Jun</v>
      </c>
      <c r="D3251" t="s">
        <v>1421</v>
      </c>
      <c r="E3251" t="s">
        <v>19</v>
      </c>
      <c r="F3251" t="s">
        <v>887</v>
      </c>
      <c r="G3251">
        <v>2</v>
      </c>
      <c r="H3251" s="7">
        <v>398.91</v>
      </c>
      <c r="I3251" t="s">
        <v>64</v>
      </c>
      <c r="J3251" t="s">
        <v>19</v>
      </c>
      <c r="K3251">
        <v>15</v>
      </c>
      <c r="L3251" s="7">
        <f t="shared" si="151"/>
        <v>797.82</v>
      </c>
      <c r="M3251" s="7"/>
      <c r="O3251">
        <f t="shared" si="152"/>
        <v>2</v>
      </c>
      <c r="Q3251" t="s">
        <v>65</v>
      </c>
    </row>
    <row r="3252" spans="1:17" x14ac:dyDescent="0.3">
      <c r="A3252" t="s">
        <v>4365</v>
      </c>
      <c r="B3252" s="6">
        <v>44966</v>
      </c>
      <c r="C3252" s="6" t="str">
        <f t="shared" si="150"/>
        <v>Feb</v>
      </c>
      <c r="D3252" t="s">
        <v>1089</v>
      </c>
      <c r="E3252" t="s">
        <v>31</v>
      </c>
      <c r="F3252" t="s">
        <v>1023</v>
      </c>
      <c r="G3252">
        <v>4</v>
      </c>
      <c r="H3252" s="7">
        <v>173.41</v>
      </c>
      <c r="I3252" t="s">
        <v>64</v>
      </c>
      <c r="J3252" t="s">
        <v>72</v>
      </c>
      <c r="K3252">
        <v>5</v>
      </c>
      <c r="L3252" s="7">
        <f t="shared" si="151"/>
        <v>693.64</v>
      </c>
      <c r="M3252" s="7"/>
      <c r="O3252">
        <f t="shared" si="152"/>
        <v>2</v>
      </c>
      <c r="Q3252" t="s">
        <v>65</v>
      </c>
    </row>
    <row r="3253" spans="1:17" x14ac:dyDescent="0.3">
      <c r="A3253" t="s">
        <v>4366</v>
      </c>
      <c r="B3253" s="6">
        <v>45237</v>
      </c>
      <c r="C3253" s="6" t="str">
        <f t="shared" si="150"/>
        <v>Nov</v>
      </c>
      <c r="D3253" t="s">
        <v>621</v>
      </c>
      <c r="E3253" t="s">
        <v>19</v>
      </c>
      <c r="F3253" t="s">
        <v>45</v>
      </c>
      <c r="G3253">
        <v>4</v>
      </c>
      <c r="H3253" s="7">
        <v>8.23</v>
      </c>
      <c r="I3253" t="s">
        <v>19</v>
      </c>
      <c r="J3253" t="s">
        <v>19</v>
      </c>
      <c r="K3253">
        <v>10</v>
      </c>
      <c r="L3253" s="7">
        <f t="shared" si="151"/>
        <v>32.92</v>
      </c>
      <c r="M3253" s="7"/>
      <c r="O3253">
        <f t="shared" si="152"/>
        <v>2</v>
      </c>
      <c r="Q3253" t="s">
        <v>19</v>
      </c>
    </row>
    <row r="3254" spans="1:17" x14ac:dyDescent="0.3">
      <c r="A3254" t="s">
        <v>4367</v>
      </c>
      <c r="B3254" s="6">
        <v>45005</v>
      </c>
      <c r="C3254" s="6" t="str">
        <f t="shared" si="150"/>
        <v>Mar</v>
      </c>
      <c r="D3254" t="s">
        <v>1864</v>
      </c>
      <c r="E3254" t="s">
        <v>40</v>
      </c>
      <c r="F3254" t="s">
        <v>128</v>
      </c>
      <c r="G3254">
        <v>5</v>
      </c>
      <c r="H3254" s="7">
        <v>242.36</v>
      </c>
      <c r="I3254" t="s">
        <v>32</v>
      </c>
      <c r="J3254" t="s">
        <v>19</v>
      </c>
      <c r="K3254">
        <v>0</v>
      </c>
      <c r="L3254" s="7">
        <f t="shared" si="151"/>
        <v>1211.8000000000002</v>
      </c>
      <c r="M3254" s="7"/>
      <c r="O3254">
        <f t="shared" si="152"/>
        <v>2</v>
      </c>
      <c r="Q3254" t="s">
        <v>33</v>
      </c>
    </row>
    <row r="3255" spans="1:17" x14ac:dyDescent="0.3">
      <c r="A3255" t="s">
        <v>4368</v>
      </c>
      <c r="B3255" s="6">
        <v>45278</v>
      </c>
      <c r="C3255" s="6" t="str">
        <f t="shared" si="150"/>
        <v>Dec</v>
      </c>
      <c r="D3255" t="s">
        <v>2463</v>
      </c>
      <c r="E3255" t="s">
        <v>36</v>
      </c>
      <c r="F3255" t="s">
        <v>198</v>
      </c>
      <c r="G3255">
        <v>2</v>
      </c>
      <c r="H3255" s="7">
        <v>12.85</v>
      </c>
      <c r="I3255" t="s">
        <v>32</v>
      </c>
      <c r="J3255" t="s">
        <v>28</v>
      </c>
      <c r="K3255">
        <v>5</v>
      </c>
      <c r="L3255" s="7">
        <f t="shared" si="151"/>
        <v>25.7</v>
      </c>
      <c r="M3255" s="7"/>
      <c r="O3255">
        <f t="shared" si="152"/>
        <v>2</v>
      </c>
      <c r="Q3255" t="s">
        <v>33</v>
      </c>
    </row>
    <row r="3256" spans="1:17" x14ac:dyDescent="0.3">
      <c r="A3256" t="s">
        <v>4369</v>
      </c>
      <c r="B3256" s="6">
        <v>45026</v>
      </c>
      <c r="C3256" s="6" t="str">
        <f t="shared" si="150"/>
        <v>Apr</v>
      </c>
      <c r="D3256" t="s">
        <v>192</v>
      </c>
      <c r="E3256" t="s">
        <v>40</v>
      </c>
      <c r="F3256" t="s">
        <v>887</v>
      </c>
      <c r="G3256">
        <v>4</v>
      </c>
      <c r="H3256" s="7">
        <v>50.53</v>
      </c>
      <c r="I3256" t="s">
        <v>21</v>
      </c>
      <c r="J3256" t="s">
        <v>72</v>
      </c>
      <c r="K3256">
        <v>10</v>
      </c>
      <c r="L3256" s="7">
        <f t="shared" si="151"/>
        <v>202.12</v>
      </c>
      <c r="M3256" s="7"/>
      <c r="O3256">
        <f t="shared" si="152"/>
        <v>2</v>
      </c>
      <c r="Q3256" t="s">
        <v>23</v>
      </c>
    </row>
    <row r="3257" spans="1:17" x14ac:dyDescent="0.3">
      <c r="A3257" t="s">
        <v>4370</v>
      </c>
      <c r="B3257" s="6">
        <v>45054</v>
      </c>
      <c r="C3257" s="6" t="str">
        <f t="shared" si="150"/>
        <v>May</v>
      </c>
      <c r="D3257" t="s">
        <v>391</v>
      </c>
      <c r="E3257" t="s">
        <v>19</v>
      </c>
      <c r="F3257" t="s">
        <v>988</v>
      </c>
      <c r="G3257">
        <v>1</v>
      </c>
      <c r="H3257" s="7">
        <v>166.71</v>
      </c>
      <c r="I3257" t="s">
        <v>32</v>
      </c>
      <c r="J3257" t="s">
        <v>19</v>
      </c>
      <c r="K3257">
        <v>10</v>
      </c>
      <c r="L3257" s="7">
        <f t="shared" si="151"/>
        <v>166.71</v>
      </c>
      <c r="M3257" s="7"/>
      <c r="O3257">
        <f t="shared" si="152"/>
        <v>2</v>
      </c>
      <c r="Q3257" t="s">
        <v>33</v>
      </c>
    </row>
    <row r="3258" spans="1:17" x14ac:dyDescent="0.3">
      <c r="A3258" t="s">
        <v>4371</v>
      </c>
      <c r="B3258" s="6">
        <v>45137</v>
      </c>
      <c r="C3258" s="6" t="str">
        <f t="shared" si="150"/>
        <v>Jul</v>
      </c>
      <c r="D3258" t="s">
        <v>645</v>
      </c>
      <c r="E3258" t="s">
        <v>50</v>
      </c>
      <c r="F3258" t="s">
        <v>344</v>
      </c>
      <c r="G3258">
        <v>2</v>
      </c>
      <c r="H3258" s="7">
        <v>221.4</v>
      </c>
      <c r="I3258" t="s">
        <v>64</v>
      </c>
      <c r="J3258" t="s">
        <v>19</v>
      </c>
      <c r="K3258">
        <v>20</v>
      </c>
      <c r="L3258" s="7">
        <f t="shared" si="151"/>
        <v>442.8</v>
      </c>
      <c r="M3258" s="7"/>
      <c r="O3258">
        <f t="shared" si="152"/>
        <v>2</v>
      </c>
      <c r="Q3258" t="s">
        <v>65</v>
      </c>
    </row>
    <row r="3259" spans="1:17" x14ac:dyDescent="0.3">
      <c r="A3259" t="s">
        <v>4372</v>
      </c>
      <c r="B3259" s="6">
        <v>44983</v>
      </c>
      <c r="C3259" s="6" t="str">
        <f t="shared" si="150"/>
        <v>Feb</v>
      </c>
      <c r="D3259" t="s">
        <v>2671</v>
      </c>
      <c r="E3259" t="s">
        <v>40</v>
      </c>
      <c r="F3259" t="s">
        <v>99</v>
      </c>
      <c r="G3259">
        <v>1</v>
      </c>
      <c r="H3259" s="7">
        <v>143.34</v>
      </c>
      <c r="I3259" t="s">
        <v>21</v>
      </c>
      <c r="J3259" t="s">
        <v>87</v>
      </c>
      <c r="K3259">
        <v>5</v>
      </c>
      <c r="L3259" s="7">
        <f t="shared" si="151"/>
        <v>143.34</v>
      </c>
      <c r="M3259" s="7"/>
      <c r="O3259">
        <f t="shared" si="152"/>
        <v>2</v>
      </c>
      <c r="Q3259" t="s">
        <v>23</v>
      </c>
    </row>
    <row r="3260" spans="1:17" x14ac:dyDescent="0.3">
      <c r="A3260" t="s">
        <v>4373</v>
      </c>
      <c r="B3260" s="6">
        <v>45230</v>
      </c>
      <c r="C3260" s="6" t="str">
        <f t="shared" si="150"/>
        <v>Oct</v>
      </c>
      <c r="D3260" t="s">
        <v>2467</v>
      </c>
      <c r="E3260" t="s">
        <v>36</v>
      </c>
      <c r="F3260" t="s">
        <v>316</v>
      </c>
      <c r="G3260">
        <v>4</v>
      </c>
      <c r="H3260" s="7">
        <v>293.02</v>
      </c>
      <c r="I3260" t="s">
        <v>46</v>
      </c>
      <c r="J3260" t="s">
        <v>72</v>
      </c>
      <c r="K3260">
        <v>20</v>
      </c>
      <c r="L3260" s="7">
        <f t="shared" si="151"/>
        <v>1172.08</v>
      </c>
      <c r="M3260" s="7"/>
      <c r="O3260">
        <f t="shared" si="152"/>
        <v>2</v>
      </c>
      <c r="Q3260" t="s">
        <v>47</v>
      </c>
    </row>
    <row r="3261" spans="1:17" x14ac:dyDescent="0.3">
      <c r="A3261" t="s">
        <v>4374</v>
      </c>
      <c r="B3261" s="6">
        <v>45234</v>
      </c>
      <c r="C3261" s="6" t="str">
        <f t="shared" si="150"/>
        <v>Nov</v>
      </c>
      <c r="D3261" t="s">
        <v>508</v>
      </c>
      <c r="E3261" t="s">
        <v>36</v>
      </c>
      <c r="F3261" t="s">
        <v>331</v>
      </c>
      <c r="G3261">
        <v>4</v>
      </c>
      <c r="H3261" s="7">
        <v>32.4</v>
      </c>
      <c r="I3261" t="s">
        <v>21</v>
      </c>
      <c r="J3261" t="s">
        <v>87</v>
      </c>
      <c r="K3261">
        <v>15</v>
      </c>
      <c r="L3261" s="7">
        <f t="shared" si="151"/>
        <v>129.6</v>
      </c>
      <c r="M3261" s="7"/>
      <c r="O3261">
        <f t="shared" si="152"/>
        <v>2</v>
      </c>
      <c r="Q3261" t="s">
        <v>23</v>
      </c>
    </row>
    <row r="3262" spans="1:17" x14ac:dyDescent="0.3">
      <c r="A3262" t="s">
        <v>4375</v>
      </c>
      <c r="B3262" s="6">
        <v>45151</v>
      </c>
      <c r="C3262" s="6" t="str">
        <f t="shared" si="150"/>
        <v>Aug</v>
      </c>
      <c r="D3262" t="s">
        <v>1799</v>
      </c>
      <c r="E3262" t="s">
        <v>19</v>
      </c>
      <c r="F3262" t="s">
        <v>75</v>
      </c>
      <c r="G3262">
        <v>7</v>
      </c>
      <c r="H3262" s="7">
        <v>76.569999999999993</v>
      </c>
      <c r="I3262" t="s">
        <v>64</v>
      </c>
      <c r="J3262" t="s">
        <v>22</v>
      </c>
      <c r="K3262">
        <v>20</v>
      </c>
      <c r="L3262" s="7">
        <f t="shared" si="151"/>
        <v>535.99</v>
      </c>
      <c r="M3262" s="7"/>
      <c r="O3262">
        <f t="shared" si="152"/>
        <v>2</v>
      </c>
      <c r="Q3262" t="s">
        <v>65</v>
      </c>
    </row>
    <row r="3263" spans="1:17" x14ac:dyDescent="0.3">
      <c r="A3263" t="s">
        <v>4376</v>
      </c>
      <c r="B3263" s="6">
        <v>45105</v>
      </c>
      <c r="C3263" s="6" t="str">
        <f t="shared" si="150"/>
        <v>Jun</v>
      </c>
      <c r="D3263" t="s">
        <v>2513</v>
      </c>
      <c r="E3263" t="s">
        <v>62</v>
      </c>
      <c r="F3263" t="s">
        <v>198</v>
      </c>
      <c r="G3263">
        <v>9</v>
      </c>
      <c r="H3263" s="7">
        <v>349.15</v>
      </c>
      <c r="I3263" t="s">
        <v>19</v>
      </c>
      <c r="J3263" t="s">
        <v>22</v>
      </c>
      <c r="K3263">
        <v>5</v>
      </c>
      <c r="L3263" s="7">
        <f t="shared" si="151"/>
        <v>3142.35</v>
      </c>
      <c r="M3263" s="7"/>
      <c r="O3263">
        <f t="shared" si="152"/>
        <v>4</v>
      </c>
      <c r="Q3263" t="s">
        <v>19</v>
      </c>
    </row>
    <row r="3264" spans="1:17" x14ac:dyDescent="0.3">
      <c r="A3264" t="s">
        <v>4377</v>
      </c>
      <c r="B3264" s="6">
        <v>44932</v>
      </c>
      <c r="C3264" s="6" t="str">
        <f t="shared" si="150"/>
        <v>Jan</v>
      </c>
      <c r="D3264" t="s">
        <v>2388</v>
      </c>
      <c r="E3264" t="s">
        <v>26</v>
      </c>
      <c r="F3264" t="s">
        <v>975</v>
      </c>
      <c r="G3264">
        <v>5</v>
      </c>
      <c r="H3264" s="7">
        <v>75.36</v>
      </c>
      <c r="I3264" t="s">
        <v>46</v>
      </c>
      <c r="J3264" t="s">
        <v>28</v>
      </c>
      <c r="K3264">
        <v>20</v>
      </c>
      <c r="L3264" s="7">
        <f t="shared" si="151"/>
        <v>376.8</v>
      </c>
      <c r="M3264" s="7"/>
      <c r="O3264">
        <f t="shared" si="152"/>
        <v>2</v>
      </c>
      <c r="Q3264" t="s">
        <v>47</v>
      </c>
    </row>
    <row r="3265" spans="1:17" x14ac:dyDescent="0.3">
      <c r="A3265" t="s">
        <v>4378</v>
      </c>
      <c r="B3265" s="6">
        <v>45245</v>
      </c>
      <c r="C3265" s="6" t="str">
        <f t="shared" si="150"/>
        <v>Nov</v>
      </c>
      <c r="D3265" t="s">
        <v>236</v>
      </c>
      <c r="E3265" t="s">
        <v>50</v>
      </c>
      <c r="F3265" t="s">
        <v>59</v>
      </c>
      <c r="G3265">
        <v>5</v>
      </c>
      <c r="H3265" s="7">
        <v>321.69</v>
      </c>
      <c r="I3265" t="s">
        <v>103</v>
      </c>
      <c r="J3265" t="s">
        <v>28</v>
      </c>
      <c r="K3265">
        <v>0</v>
      </c>
      <c r="L3265" s="7">
        <f t="shared" si="151"/>
        <v>1608.45</v>
      </c>
      <c r="M3265" s="7"/>
      <c r="O3265">
        <f t="shared" si="152"/>
        <v>2</v>
      </c>
      <c r="Q3265" t="s">
        <v>104</v>
      </c>
    </row>
    <row r="3266" spans="1:17" x14ac:dyDescent="0.3">
      <c r="A3266" t="s">
        <v>4379</v>
      </c>
      <c r="B3266" s="6">
        <v>45156</v>
      </c>
      <c r="C3266" s="6" t="str">
        <f t="shared" si="150"/>
        <v>Aug</v>
      </c>
      <c r="D3266" t="s">
        <v>4380</v>
      </c>
      <c r="E3266" t="s">
        <v>19</v>
      </c>
      <c r="F3266" t="s">
        <v>619</v>
      </c>
      <c r="G3266">
        <v>1</v>
      </c>
      <c r="H3266" s="7">
        <v>32.07</v>
      </c>
      <c r="I3266" t="s">
        <v>103</v>
      </c>
      <c r="J3266" t="s">
        <v>28</v>
      </c>
      <c r="K3266">
        <v>5</v>
      </c>
      <c r="L3266" s="7">
        <f t="shared" si="151"/>
        <v>32.07</v>
      </c>
      <c r="M3266" s="7"/>
      <c r="O3266">
        <f t="shared" si="152"/>
        <v>2</v>
      </c>
      <c r="Q3266" t="s">
        <v>104</v>
      </c>
    </row>
    <row r="3267" spans="1:17" x14ac:dyDescent="0.3">
      <c r="A3267" t="s">
        <v>4381</v>
      </c>
      <c r="B3267" s="6">
        <v>45280</v>
      </c>
      <c r="C3267" s="6" t="str">
        <f t="shared" ref="C3267:C3330" si="153">TEXT(B3267,"MMM")</f>
        <v>Dec</v>
      </c>
      <c r="D3267" t="s">
        <v>1764</v>
      </c>
      <c r="E3267" t="s">
        <v>36</v>
      </c>
      <c r="F3267" t="s">
        <v>125</v>
      </c>
      <c r="G3267">
        <v>1</v>
      </c>
      <c r="H3267" s="7">
        <v>206.65</v>
      </c>
      <c r="I3267" t="s">
        <v>19</v>
      </c>
      <c r="J3267" t="s">
        <v>19</v>
      </c>
      <c r="K3267">
        <v>10</v>
      </c>
      <c r="L3267" s="7">
        <f t="shared" ref="L3267:L3330" si="154">G3267*H3267</f>
        <v>206.65</v>
      </c>
      <c r="M3267" s="7"/>
      <c r="O3267">
        <f t="shared" si="152"/>
        <v>2</v>
      </c>
      <c r="Q3267" t="s">
        <v>19</v>
      </c>
    </row>
    <row r="3268" spans="1:17" x14ac:dyDescent="0.3">
      <c r="A3268" t="s">
        <v>4382</v>
      </c>
      <c r="B3268" s="6">
        <v>45110</v>
      </c>
      <c r="C3268" s="6" t="str">
        <f t="shared" si="153"/>
        <v>Jul</v>
      </c>
      <c r="D3268" t="s">
        <v>633</v>
      </c>
      <c r="E3268" t="s">
        <v>62</v>
      </c>
      <c r="F3268" t="s">
        <v>298</v>
      </c>
      <c r="G3268">
        <v>6</v>
      </c>
      <c r="H3268" s="7">
        <v>92.82</v>
      </c>
      <c r="I3268" t="s">
        <v>19</v>
      </c>
      <c r="J3268" t="s">
        <v>19</v>
      </c>
      <c r="K3268">
        <v>20</v>
      </c>
      <c r="L3268" s="7">
        <f t="shared" si="154"/>
        <v>556.91999999999996</v>
      </c>
      <c r="M3268" s="7"/>
      <c r="O3268">
        <f t="shared" ref="O3268:O3331" si="155">IF(L3268&gt;3500,5,IF(L3268&gt;3000,4,IF(L3268&gt;2500,3,IF(L3268&gt;2000,2,IF(L3268&gt;1000,2,2)))))</f>
        <v>2</v>
      </c>
      <c r="Q3268" t="s">
        <v>19</v>
      </c>
    </row>
    <row r="3269" spans="1:17" x14ac:dyDescent="0.3">
      <c r="A3269" t="s">
        <v>4383</v>
      </c>
      <c r="B3269" s="6">
        <v>45190</v>
      </c>
      <c r="C3269" s="6" t="str">
        <f t="shared" si="153"/>
        <v>Sep</v>
      </c>
      <c r="D3269" t="s">
        <v>4384</v>
      </c>
      <c r="E3269" t="s">
        <v>36</v>
      </c>
      <c r="F3269" t="s">
        <v>137</v>
      </c>
      <c r="G3269">
        <v>2</v>
      </c>
      <c r="H3269" s="7">
        <v>59.27</v>
      </c>
      <c r="I3269" t="s">
        <v>64</v>
      </c>
      <c r="J3269" t="s">
        <v>19</v>
      </c>
      <c r="K3269">
        <v>0</v>
      </c>
      <c r="L3269" s="7">
        <f t="shared" si="154"/>
        <v>118.54</v>
      </c>
      <c r="M3269" s="7"/>
      <c r="O3269">
        <f t="shared" si="155"/>
        <v>2</v>
      </c>
      <c r="Q3269" t="s">
        <v>65</v>
      </c>
    </row>
    <row r="3270" spans="1:17" x14ac:dyDescent="0.3">
      <c r="A3270" t="s">
        <v>4385</v>
      </c>
      <c r="B3270" s="6">
        <v>45092</v>
      </c>
      <c r="C3270" s="6" t="str">
        <f t="shared" si="153"/>
        <v>Jun</v>
      </c>
      <c r="D3270" t="s">
        <v>374</v>
      </c>
      <c r="E3270" t="s">
        <v>50</v>
      </c>
      <c r="F3270" t="s">
        <v>182</v>
      </c>
      <c r="G3270">
        <v>8</v>
      </c>
      <c r="H3270" s="7">
        <v>285.68</v>
      </c>
      <c r="I3270" t="s">
        <v>21</v>
      </c>
      <c r="J3270" t="s">
        <v>42</v>
      </c>
      <c r="K3270">
        <v>15</v>
      </c>
      <c r="L3270" s="7">
        <f t="shared" si="154"/>
        <v>2285.44</v>
      </c>
      <c r="M3270" s="7"/>
      <c r="O3270">
        <f t="shared" si="155"/>
        <v>2</v>
      </c>
      <c r="Q3270" t="s">
        <v>23</v>
      </c>
    </row>
    <row r="3271" spans="1:17" x14ac:dyDescent="0.3">
      <c r="A3271" t="s">
        <v>4386</v>
      </c>
      <c r="B3271" s="6">
        <v>44944</v>
      </c>
      <c r="C3271" s="6" t="str">
        <f t="shared" si="153"/>
        <v>Jan</v>
      </c>
      <c r="D3271" t="s">
        <v>2790</v>
      </c>
      <c r="E3271" t="s">
        <v>19</v>
      </c>
      <c r="F3271" t="s">
        <v>303</v>
      </c>
      <c r="G3271">
        <v>9</v>
      </c>
      <c r="H3271" s="7">
        <v>464.53</v>
      </c>
      <c r="I3271" t="s">
        <v>64</v>
      </c>
      <c r="J3271" t="s">
        <v>42</v>
      </c>
      <c r="K3271">
        <v>15</v>
      </c>
      <c r="L3271" s="7">
        <f t="shared" si="154"/>
        <v>4180.7699999999995</v>
      </c>
      <c r="M3271" s="7"/>
      <c r="O3271">
        <f t="shared" si="155"/>
        <v>5</v>
      </c>
      <c r="Q3271" t="s">
        <v>65</v>
      </c>
    </row>
    <row r="3272" spans="1:17" x14ac:dyDescent="0.3">
      <c r="A3272" t="s">
        <v>4387</v>
      </c>
      <c r="B3272" s="6">
        <v>45004</v>
      </c>
      <c r="C3272" s="6" t="str">
        <f t="shared" si="153"/>
        <v>Mar</v>
      </c>
      <c r="D3272" t="s">
        <v>141</v>
      </c>
      <c r="E3272" t="s">
        <v>50</v>
      </c>
      <c r="F3272" t="s">
        <v>375</v>
      </c>
      <c r="G3272">
        <v>4</v>
      </c>
      <c r="H3272" s="7">
        <v>32.119999999999997</v>
      </c>
      <c r="I3272" t="s">
        <v>46</v>
      </c>
      <c r="J3272" t="s">
        <v>87</v>
      </c>
      <c r="K3272">
        <v>20</v>
      </c>
      <c r="L3272" s="7">
        <f t="shared" si="154"/>
        <v>128.47999999999999</v>
      </c>
      <c r="M3272" s="7"/>
      <c r="O3272">
        <f t="shared" si="155"/>
        <v>2</v>
      </c>
      <c r="Q3272" t="s">
        <v>47</v>
      </c>
    </row>
    <row r="3273" spans="1:17" x14ac:dyDescent="0.3">
      <c r="A3273" t="s">
        <v>4388</v>
      </c>
      <c r="B3273" s="6">
        <v>45227</v>
      </c>
      <c r="C3273" s="6" t="str">
        <f t="shared" si="153"/>
        <v>Oct</v>
      </c>
      <c r="D3273" t="s">
        <v>1759</v>
      </c>
      <c r="E3273" t="s">
        <v>50</v>
      </c>
      <c r="F3273" t="s">
        <v>45</v>
      </c>
      <c r="G3273">
        <v>5</v>
      </c>
      <c r="H3273" s="7">
        <v>213.67</v>
      </c>
      <c r="I3273" t="s">
        <v>19</v>
      </c>
      <c r="J3273" t="s">
        <v>87</v>
      </c>
      <c r="K3273">
        <v>15</v>
      </c>
      <c r="L3273" s="7">
        <f t="shared" si="154"/>
        <v>1068.3499999999999</v>
      </c>
      <c r="M3273" s="7"/>
      <c r="O3273">
        <f t="shared" si="155"/>
        <v>2</v>
      </c>
      <c r="Q3273" t="s">
        <v>19</v>
      </c>
    </row>
    <row r="3274" spans="1:17" x14ac:dyDescent="0.3">
      <c r="A3274" t="s">
        <v>4389</v>
      </c>
      <c r="B3274" s="6">
        <v>44964</v>
      </c>
      <c r="C3274" s="6" t="str">
        <f t="shared" si="153"/>
        <v>Feb</v>
      </c>
      <c r="D3274" t="s">
        <v>1380</v>
      </c>
      <c r="E3274" t="s">
        <v>19</v>
      </c>
      <c r="F3274" t="s">
        <v>193</v>
      </c>
      <c r="G3274">
        <v>5</v>
      </c>
      <c r="H3274" s="7">
        <v>355.23</v>
      </c>
      <c r="I3274" t="s">
        <v>19</v>
      </c>
      <c r="J3274" t="s">
        <v>87</v>
      </c>
      <c r="K3274">
        <v>10</v>
      </c>
      <c r="L3274" s="7">
        <f t="shared" si="154"/>
        <v>1776.15</v>
      </c>
      <c r="M3274" s="7"/>
      <c r="O3274">
        <f t="shared" si="155"/>
        <v>2</v>
      </c>
      <c r="Q3274" t="s">
        <v>19</v>
      </c>
    </row>
    <row r="3275" spans="1:17" x14ac:dyDescent="0.3">
      <c r="A3275" t="s">
        <v>4390</v>
      </c>
      <c r="B3275" s="6">
        <v>45168</v>
      </c>
      <c r="C3275" s="6" t="str">
        <f t="shared" si="153"/>
        <v>Aug</v>
      </c>
      <c r="D3275" t="s">
        <v>614</v>
      </c>
      <c r="E3275" t="s">
        <v>19</v>
      </c>
      <c r="F3275" t="s">
        <v>662</v>
      </c>
      <c r="G3275">
        <v>3</v>
      </c>
      <c r="H3275" s="7">
        <v>234.03</v>
      </c>
      <c r="I3275" t="s">
        <v>21</v>
      </c>
      <c r="J3275" t="s">
        <v>72</v>
      </c>
      <c r="K3275">
        <v>5</v>
      </c>
      <c r="L3275" s="7">
        <f t="shared" si="154"/>
        <v>702.09</v>
      </c>
      <c r="M3275" s="7"/>
      <c r="O3275">
        <f t="shared" si="155"/>
        <v>2</v>
      </c>
      <c r="Q3275" t="s">
        <v>23</v>
      </c>
    </row>
    <row r="3276" spans="1:17" x14ac:dyDescent="0.3">
      <c r="A3276" t="s">
        <v>4391</v>
      </c>
      <c r="B3276" s="6">
        <v>45270</v>
      </c>
      <c r="C3276" s="6" t="str">
        <f t="shared" si="153"/>
        <v>Dec</v>
      </c>
      <c r="D3276" t="s">
        <v>250</v>
      </c>
      <c r="E3276" t="s">
        <v>50</v>
      </c>
      <c r="F3276" t="s">
        <v>54</v>
      </c>
      <c r="G3276">
        <v>5</v>
      </c>
      <c r="H3276" s="7">
        <v>404.22</v>
      </c>
      <c r="I3276" t="s">
        <v>46</v>
      </c>
      <c r="J3276" t="s">
        <v>22</v>
      </c>
      <c r="K3276">
        <v>0</v>
      </c>
      <c r="L3276" s="7">
        <f t="shared" si="154"/>
        <v>2021.1000000000001</v>
      </c>
      <c r="M3276" s="7"/>
      <c r="O3276">
        <f t="shared" si="155"/>
        <v>2</v>
      </c>
      <c r="Q3276" t="s">
        <v>47</v>
      </c>
    </row>
    <row r="3277" spans="1:17" x14ac:dyDescent="0.3">
      <c r="A3277" t="s">
        <v>4392</v>
      </c>
      <c r="B3277" s="6">
        <v>44980</v>
      </c>
      <c r="C3277" s="6" t="str">
        <f t="shared" si="153"/>
        <v>Feb</v>
      </c>
      <c r="D3277" t="s">
        <v>1140</v>
      </c>
      <c r="E3277" t="s">
        <v>62</v>
      </c>
      <c r="F3277" t="s">
        <v>222</v>
      </c>
      <c r="G3277">
        <v>3</v>
      </c>
      <c r="H3277" s="7">
        <v>93.92</v>
      </c>
      <c r="I3277" t="s">
        <v>103</v>
      </c>
      <c r="J3277" t="s">
        <v>22</v>
      </c>
      <c r="K3277">
        <v>10</v>
      </c>
      <c r="L3277" s="7">
        <f t="shared" si="154"/>
        <v>281.76</v>
      </c>
      <c r="M3277" s="7"/>
      <c r="O3277">
        <f t="shared" si="155"/>
        <v>2</v>
      </c>
      <c r="Q3277" t="s">
        <v>104</v>
      </c>
    </row>
    <row r="3278" spans="1:17" x14ac:dyDescent="0.3">
      <c r="A3278" t="s">
        <v>4393</v>
      </c>
      <c r="B3278" s="6">
        <v>45037</v>
      </c>
      <c r="C3278" s="6" t="str">
        <f t="shared" si="153"/>
        <v>Apr</v>
      </c>
      <c r="D3278" t="s">
        <v>2314</v>
      </c>
      <c r="E3278" t="s">
        <v>19</v>
      </c>
      <c r="F3278" t="s">
        <v>1568</v>
      </c>
      <c r="G3278">
        <v>3</v>
      </c>
      <c r="H3278" s="7">
        <v>480</v>
      </c>
      <c r="I3278" t="s">
        <v>64</v>
      </c>
      <c r="J3278" t="s">
        <v>28</v>
      </c>
      <c r="K3278">
        <v>20</v>
      </c>
      <c r="L3278" s="7">
        <f t="shared" si="154"/>
        <v>1440</v>
      </c>
      <c r="M3278" s="7"/>
      <c r="O3278">
        <f t="shared" si="155"/>
        <v>2</v>
      </c>
      <c r="Q3278" t="s">
        <v>65</v>
      </c>
    </row>
    <row r="3279" spans="1:17" x14ac:dyDescent="0.3">
      <c r="A3279" t="s">
        <v>4394</v>
      </c>
      <c r="B3279" s="6">
        <v>45008</v>
      </c>
      <c r="C3279" s="6" t="str">
        <f t="shared" si="153"/>
        <v>Mar</v>
      </c>
      <c r="D3279" t="s">
        <v>1786</v>
      </c>
      <c r="E3279" t="s">
        <v>19</v>
      </c>
      <c r="F3279" t="s">
        <v>119</v>
      </c>
      <c r="G3279">
        <v>3</v>
      </c>
      <c r="H3279" s="7">
        <v>195.66</v>
      </c>
      <c r="I3279" t="s">
        <v>64</v>
      </c>
      <c r="J3279" t="s">
        <v>22</v>
      </c>
      <c r="K3279">
        <v>15</v>
      </c>
      <c r="L3279" s="7">
        <f t="shared" si="154"/>
        <v>586.98</v>
      </c>
      <c r="M3279" s="7"/>
      <c r="O3279">
        <f t="shared" si="155"/>
        <v>2</v>
      </c>
      <c r="Q3279" t="s">
        <v>65</v>
      </c>
    </row>
    <row r="3280" spans="1:17" x14ac:dyDescent="0.3">
      <c r="A3280" t="s">
        <v>4395</v>
      </c>
      <c r="B3280" s="6">
        <v>44998</v>
      </c>
      <c r="C3280" s="6" t="str">
        <f t="shared" si="153"/>
        <v>Mar</v>
      </c>
      <c r="D3280" t="s">
        <v>427</v>
      </c>
      <c r="E3280" t="s">
        <v>62</v>
      </c>
      <c r="F3280" t="s">
        <v>107</v>
      </c>
      <c r="G3280">
        <v>7</v>
      </c>
      <c r="H3280" s="7">
        <v>174.08</v>
      </c>
      <c r="I3280" t="s">
        <v>64</v>
      </c>
      <c r="J3280" t="s">
        <v>87</v>
      </c>
      <c r="K3280">
        <v>5</v>
      </c>
      <c r="L3280" s="7">
        <f t="shared" si="154"/>
        <v>1218.5600000000002</v>
      </c>
      <c r="M3280" s="7"/>
      <c r="O3280">
        <f t="shared" si="155"/>
        <v>2</v>
      </c>
      <c r="Q3280" t="s">
        <v>65</v>
      </c>
    </row>
    <row r="3281" spans="1:17" x14ac:dyDescent="0.3">
      <c r="A3281" t="s">
        <v>4396</v>
      </c>
      <c r="B3281" s="6">
        <v>45279</v>
      </c>
      <c r="C3281" s="6" t="str">
        <f t="shared" si="153"/>
        <v>Dec</v>
      </c>
      <c r="D3281" t="s">
        <v>1416</v>
      </c>
      <c r="E3281" t="s">
        <v>50</v>
      </c>
      <c r="F3281" t="s">
        <v>1328</v>
      </c>
      <c r="G3281">
        <v>7</v>
      </c>
      <c r="H3281" s="7">
        <v>437.93</v>
      </c>
      <c r="I3281" t="s">
        <v>21</v>
      </c>
      <c r="J3281" t="s">
        <v>87</v>
      </c>
      <c r="K3281">
        <v>10</v>
      </c>
      <c r="L3281" s="7">
        <f t="shared" si="154"/>
        <v>3065.51</v>
      </c>
      <c r="M3281" s="7"/>
      <c r="O3281">
        <f t="shared" si="155"/>
        <v>4</v>
      </c>
      <c r="Q3281" t="s">
        <v>23</v>
      </c>
    </row>
    <row r="3282" spans="1:17" x14ac:dyDescent="0.3">
      <c r="A3282" t="s">
        <v>4397</v>
      </c>
      <c r="B3282" s="6">
        <v>45282</v>
      </c>
      <c r="C3282" s="6" t="str">
        <f t="shared" si="153"/>
        <v>Dec</v>
      </c>
      <c r="D3282" t="s">
        <v>1896</v>
      </c>
      <c r="E3282" t="s">
        <v>19</v>
      </c>
      <c r="F3282" t="s">
        <v>486</v>
      </c>
      <c r="G3282">
        <v>7</v>
      </c>
      <c r="H3282" s="7">
        <v>284.11</v>
      </c>
      <c r="I3282" t="s">
        <v>19</v>
      </c>
      <c r="J3282" t="s">
        <v>87</v>
      </c>
      <c r="K3282">
        <v>10</v>
      </c>
      <c r="L3282" s="7">
        <f t="shared" si="154"/>
        <v>1988.77</v>
      </c>
      <c r="M3282" s="7"/>
      <c r="O3282">
        <f t="shared" si="155"/>
        <v>2</v>
      </c>
      <c r="Q3282" t="s">
        <v>19</v>
      </c>
    </row>
    <row r="3283" spans="1:17" x14ac:dyDescent="0.3">
      <c r="A3283" t="s">
        <v>4398</v>
      </c>
      <c r="B3283" s="6">
        <v>44938</v>
      </c>
      <c r="C3283" s="6" t="str">
        <f t="shared" si="153"/>
        <v>Jan</v>
      </c>
      <c r="D3283" t="s">
        <v>764</v>
      </c>
      <c r="E3283" t="s">
        <v>50</v>
      </c>
      <c r="F3283" t="s">
        <v>211</v>
      </c>
      <c r="G3283">
        <v>8</v>
      </c>
      <c r="H3283" s="7">
        <v>260.64</v>
      </c>
      <c r="I3283" t="s">
        <v>21</v>
      </c>
      <c r="J3283" t="s">
        <v>19</v>
      </c>
      <c r="K3283">
        <v>15</v>
      </c>
      <c r="L3283" s="7">
        <f t="shared" si="154"/>
        <v>2085.12</v>
      </c>
      <c r="M3283" s="7"/>
      <c r="O3283">
        <f t="shared" si="155"/>
        <v>2</v>
      </c>
      <c r="Q3283" t="s">
        <v>23</v>
      </c>
    </row>
    <row r="3284" spans="1:17" x14ac:dyDescent="0.3">
      <c r="A3284" t="s">
        <v>4399</v>
      </c>
      <c r="B3284" s="6">
        <v>45121</v>
      </c>
      <c r="C3284" s="6" t="str">
        <f t="shared" si="153"/>
        <v>Jul</v>
      </c>
      <c r="D3284" t="s">
        <v>1460</v>
      </c>
      <c r="E3284" t="s">
        <v>40</v>
      </c>
      <c r="F3284" t="s">
        <v>1851</v>
      </c>
      <c r="G3284">
        <v>5</v>
      </c>
      <c r="H3284" s="7">
        <v>364.85</v>
      </c>
      <c r="I3284" t="s">
        <v>21</v>
      </c>
      <c r="J3284" t="s">
        <v>22</v>
      </c>
      <c r="K3284">
        <v>15</v>
      </c>
      <c r="L3284" s="7">
        <f t="shared" si="154"/>
        <v>1824.25</v>
      </c>
      <c r="M3284" s="7"/>
      <c r="O3284">
        <f t="shared" si="155"/>
        <v>2</v>
      </c>
      <c r="Q3284" t="s">
        <v>23</v>
      </c>
    </row>
    <row r="3285" spans="1:17" x14ac:dyDescent="0.3">
      <c r="A3285" t="s">
        <v>4400</v>
      </c>
      <c r="B3285" s="6">
        <v>45237</v>
      </c>
      <c r="C3285" s="6" t="str">
        <f t="shared" si="153"/>
        <v>Nov</v>
      </c>
      <c r="D3285" t="s">
        <v>1556</v>
      </c>
      <c r="E3285" t="s">
        <v>31</v>
      </c>
      <c r="F3285" t="s">
        <v>188</v>
      </c>
      <c r="G3285">
        <v>5</v>
      </c>
      <c r="H3285" s="7">
        <v>292.02</v>
      </c>
      <c r="I3285" t="s">
        <v>32</v>
      </c>
      <c r="J3285" t="s">
        <v>72</v>
      </c>
      <c r="K3285">
        <v>0</v>
      </c>
      <c r="L3285" s="7">
        <f t="shared" si="154"/>
        <v>1460.1</v>
      </c>
      <c r="M3285" s="7"/>
      <c r="O3285">
        <f t="shared" si="155"/>
        <v>2</v>
      </c>
      <c r="Q3285" t="s">
        <v>33</v>
      </c>
    </row>
    <row r="3286" spans="1:17" x14ac:dyDescent="0.3">
      <c r="A3286" t="s">
        <v>4401</v>
      </c>
      <c r="B3286" s="6">
        <v>45286</v>
      </c>
      <c r="C3286" s="6" t="str">
        <f t="shared" si="153"/>
        <v>Dec</v>
      </c>
      <c r="D3286" t="s">
        <v>1958</v>
      </c>
      <c r="E3286" t="s">
        <v>40</v>
      </c>
      <c r="F3286" t="s">
        <v>1693</v>
      </c>
      <c r="G3286">
        <v>4</v>
      </c>
      <c r="H3286" s="7">
        <v>85.45</v>
      </c>
      <c r="I3286" t="s">
        <v>32</v>
      </c>
      <c r="J3286" t="s">
        <v>42</v>
      </c>
      <c r="K3286">
        <v>10</v>
      </c>
      <c r="L3286" s="7">
        <f t="shared" si="154"/>
        <v>341.8</v>
      </c>
      <c r="M3286" s="7"/>
      <c r="O3286">
        <f t="shared" si="155"/>
        <v>2</v>
      </c>
      <c r="Q3286" t="s">
        <v>33</v>
      </c>
    </row>
    <row r="3287" spans="1:17" x14ac:dyDescent="0.3">
      <c r="A3287" t="s">
        <v>4402</v>
      </c>
      <c r="B3287" s="6">
        <v>45206</v>
      </c>
      <c r="C3287" s="6" t="str">
        <f t="shared" si="153"/>
        <v>Oct</v>
      </c>
      <c r="D3287" t="s">
        <v>1692</v>
      </c>
      <c r="E3287" t="s">
        <v>26</v>
      </c>
      <c r="F3287" t="s">
        <v>939</v>
      </c>
      <c r="G3287">
        <v>7</v>
      </c>
      <c r="H3287" s="7">
        <v>338.73</v>
      </c>
      <c r="I3287" t="s">
        <v>19</v>
      </c>
      <c r="J3287" t="s">
        <v>28</v>
      </c>
      <c r="K3287">
        <v>10</v>
      </c>
      <c r="L3287" s="7">
        <f t="shared" si="154"/>
        <v>2371.11</v>
      </c>
      <c r="M3287" s="7"/>
      <c r="O3287">
        <f t="shared" si="155"/>
        <v>2</v>
      </c>
      <c r="Q3287" t="s">
        <v>19</v>
      </c>
    </row>
    <row r="3288" spans="1:17" x14ac:dyDescent="0.3">
      <c r="A3288" t="s">
        <v>4403</v>
      </c>
      <c r="B3288" s="6">
        <v>45181</v>
      </c>
      <c r="C3288" s="6" t="str">
        <f t="shared" si="153"/>
        <v>Sep</v>
      </c>
      <c r="D3288" t="s">
        <v>4048</v>
      </c>
      <c r="E3288" t="s">
        <v>31</v>
      </c>
      <c r="F3288" t="s">
        <v>445</v>
      </c>
      <c r="G3288">
        <v>4</v>
      </c>
      <c r="H3288" s="7">
        <v>71.069999999999993</v>
      </c>
      <c r="I3288" t="s">
        <v>64</v>
      </c>
      <c r="J3288" t="s">
        <v>42</v>
      </c>
      <c r="K3288">
        <v>20</v>
      </c>
      <c r="L3288" s="7">
        <f t="shared" si="154"/>
        <v>284.27999999999997</v>
      </c>
      <c r="M3288" s="7"/>
      <c r="O3288">
        <f t="shared" si="155"/>
        <v>2</v>
      </c>
      <c r="Q3288" t="s">
        <v>65</v>
      </c>
    </row>
    <row r="3289" spans="1:17" x14ac:dyDescent="0.3">
      <c r="A3289" t="s">
        <v>4404</v>
      </c>
      <c r="B3289" s="6">
        <v>45101</v>
      </c>
      <c r="C3289" s="6" t="str">
        <f t="shared" si="153"/>
        <v>Jun</v>
      </c>
      <c r="D3289" t="s">
        <v>391</v>
      </c>
      <c r="E3289" t="s">
        <v>26</v>
      </c>
      <c r="F3289" t="s">
        <v>488</v>
      </c>
      <c r="G3289">
        <v>2</v>
      </c>
      <c r="H3289" s="7">
        <v>403.9</v>
      </c>
      <c r="I3289" t="s">
        <v>19</v>
      </c>
      <c r="J3289" t="s">
        <v>42</v>
      </c>
      <c r="K3289">
        <v>10</v>
      </c>
      <c r="L3289" s="7">
        <f t="shared" si="154"/>
        <v>807.8</v>
      </c>
      <c r="M3289" s="7"/>
      <c r="O3289">
        <f t="shared" si="155"/>
        <v>2</v>
      </c>
      <c r="Q3289" t="s">
        <v>19</v>
      </c>
    </row>
    <row r="3290" spans="1:17" x14ac:dyDescent="0.3">
      <c r="A3290" t="s">
        <v>4405</v>
      </c>
      <c r="B3290" s="6">
        <v>45019</v>
      </c>
      <c r="C3290" s="6" t="str">
        <f t="shared" si="153"/>
        <v>Apr</v>
      </c>
      <c r="D3290" t="s">
        <v>4148</v>
      </c>
      <c r="E3290" t="s">
        <v>36</v>
      </c>
      <c r="F3290" t="s">
        <v>1146</v>
      </c>
      <c r="G3290">
        <v>4</v>
      </c>
      <c r="H3290" s="7">
        <v>494.92</v>
      </c>
      <c r="I3290" t="s">
        <v>21</v>
      </c>
      <c r="J3290" t="s">
        <v>42</v>
      </c>
      <c r="K3290">
        <v>0</v>
      </c>
      <c r="L3290" s="7">
        <f t="shared" si="154"/>
        <v>1979.68</v>
      </c>
      <c r="M3290" s="7"/>
      <c r="O3290">
        <f t="shared" si="155"/>
        <v>2</v>
      </c>
      <c r="Q3290" t="s">
        <v>23</v>
      </c>
    </row>
    <row r="3291" spans="1:17" x14ac:dyDescent="0.3">
      <c r="A3291" t="s">
        <v>4406</v>
      </c>
      <c r="B3291" s="6">
        <v>45075</v>
      </c>
      <c r="C3291" s="6" t="str">
        <f t="shared" si="153"/>
        <v>May</v>
      </c>
      <c r="D3291" t="s">
        <v>200</v>
      </c>
      <c r="E3291" t="s">
        <v>36</v>
      </c>
      <c r="F3291" t="s">
        <v>54</v>
      </c>
      <c r="G3291">
        <v>8</v>
      </c>
      <c r="H3291" s="7">
        <v>191.81</v>
      </c>
      <c r="I3291" t="s">
        <v>32</v>
      </c>
      <c r="J3291" t="s">
        <v>72</v>
      </c>
      <c r="K3291">
        <v>20</v>
      </c>
      <c r="L3291" s="7">
        <f t="shared" si="154"/>
        <v>1534.48</v>
      </c>
      <c r="M3291" s="7"/>
      <c r="O3291">
        <f t="shared" si="155"/>
        <v>2</v>
      </c>
      <c r="Q3291" t="s">
        <v>33</v>
      </c>
    </row>
    <row r="3292" spans="1:17" x14ac:dyDescent="0.3">
      <c r="A3292" t="s">
        <v>4407</v>
      </c>
      <c r="B3292" s="6">
        <v>45204</v>
      </c>
      <c r="C3292" s="6" t="str">
        <f t="shared" si="153"/>
        <v>Oct</v>
      </c>
      <c r="D3292" t="s">
        <v>2026</v>
      </c>
      <c r="E3292" t="s">
        <v>62</v>
      </c>
      <c r="F3292" t="s">
        <v>99</v>
      </c>
      <c r="G3292">
        <v>9</v>
      </c>
      <c r="H3292" s="7">
        <v>225.15</v>
      </c>
      <c r="I3292" t="s">
        <v>19</v>
      </c>
      <c r="J3292" t="s">
        <v>19</v>
      </c>
      <c r="K3292">
        <v>0</v>
      </c>
      <c r="L3292" s="7">
        <f t="shared" si="154"/>
        <v>2026.3500000000001</v>
      </c>
      <c r="M3292" s="7"/>
      <c r="O3292">
        <f t="shared" si="155"/>
        <v>2</v>
      </c>
      <c r="Q3292" t="s">
        <v>19</v>
      </c>
    </row>
    <row r="3293" spans="1:17" x14ac:dyDescent="0.3">
      <c r="A3293" t="s">
        <v>4408</v>
      </c>
      <c r="B3293" s="6">
        <v>44959</v>
      </c>
      <c r="C3293" s="6" t="str">
        <f t="shared" si="153"/>
        <v>Feb</v>
      </c>
      <c r="D3293" t="s">
        <v>1725</v>
      </c>
      <c r="E3293" t="s">
        <v>50</v>
      </c>
      <c r="F3293" t="s">
        <v>182</v>
      </c>
      <c r="G3293">
        <v>3</v>
      </c>
      <c r="H3293" s="7">
        <v>27.98</v>
      </c>
      <c r="I3293" t="s">
        <v>32</v>
      </c>
      <c r="J3293" t="s">
        <v>72</v>
      </c>
      <c r="K3293">
        <v>10</v>
      </c>
      <c r="L3293" s="7">
        <f t="shared" si="154"/>
        <v>83.94</v>
      </c>
      <c r="M3293" s="7"/>
      <c r="O3293">
        <f t="shared" si="155"/>
        <v>2</v>
      </c>
      <c r="Q3293" t="s">
        <v>33</v>
      </c>
    </row>
    <row r="3294" spans="1:17" x14ac:dyDescent="0.3">
      <c r="A3294" t="s">
        <v>4409</v>
      </c>
      <c r="B3294" s="6">
        <v>45222</v>
      </c>
      <c r="C3294" s="6" t="str">
        <f t="shared" si="153"/>
        <v>Oct</v>
      </c>
      <c r="D3294" t="s">
        <v>447</v>
      </c>
      <c r="E3294" t="s">
        <v>62</v>
      </c>
      <c r="F3294" t="s">
        <v>375</v>
      </c>
      <c r="G3294">
        <v>7</v>
      </c>
      <c r="H3294" s="7">
        <v>11.8</v>
      </c>
      <c r="I3294" t="s">
        <v>19</v>
      </c>
      <c r="J3294" t="s">
        <v>19</v>
      </c>
      <c r="K3294">
        <v>0</v>
      </c>
      <c r="L3294" s="7">
        <f t="shared" si="154"/>
        <v>82.600000000000009</v>
      </c>
      <c r="M3294" s="7"/>
      <c r="O3294">
        <f t="shared" si="155"/>
        <v>2</v>
      </c>
      <c r="Q3294" t="s">
        <v>19</v>
      </c>
    </row>
    <row r="3295" spans="1:17" x14ac:dyDescent="0.3">
      <c r="A3295" t="s">
        <v>4410</v>
      </c>
      <c r="B3295" s="6">
        <v>45132</v>
      </c>
      <c r="C3295" s="6" t="str">
        <f t="shared" si="153"/>
        <v>Jul</v>
      </c>
      <c r="D3295" t="s">
        <v>821</v>
      </c>
      <c r="E3295" t="s">
        <v>19</v>
      </c>
      <c r="F3295" t="s">
        <v>417</v>
      </c>
      <c r="G3295">
        <v>9</v>
      </c>
      <c r="H3295" s="7">
        <v>461.1</v>
      </c>
      <c r="I3295" t="s">
        <v>64</v>
      </c>
      <c r="J3295" t="s">
        <v>19</v>
      </c>
      <c r="K3295">
        <v>0</v>
      </c>
      <c r="L3295" s="7">
        <f t="shared" si="154"/>
        <v>4149.9000000000005</v>
      </c>
      <c r="M3295" s="7"/>
      <c r="O3295">
        <f t="shared" si="155"/>
        <v>5</v>
      </c>
      <c r="Q3295" t="s">
        <v>65</v>
      </c>
    </row>
    <row r="3296" spans="1:17" x14ac:dyDescent="0.3">
      <c r="A3296" t="s">
        <v>4411</v>
      </c>
      <c r="B3296" s="6">
        <v>45028</v>
      </c>
      <c r="C3296" s="6" t="str">
        <f t="shared" si="153"/>
        <v>Apr</v>
      </c>
      <c r="D3296" t="s">
        <v>1580</v>
      </c>
      <c r="E3296" t="s">
        <v>31</v>
      </c>
      <c r="F3296" t="s">
        <v>436</v>
      </c>
      <c r="G3296">
        <v>4</v>
      </c>
      <c r="H3296" s="7">
        <v>68.67</v>
      </c>
      <c r="I3296" t="s">
        <v>46</v>
      </c>
      <c r="J3296" t="s">
        <v>22</v>
      </c>
      <c r="K3296">
        <v>0</v>
      </c>
      <c r="L3296" s="7">
        <f t="shared" si="154"/>
        <v>274.68</v>
      </c>
      <c r="M3296" s="7"/>
      <c r="O3296">
        <f t="shared" si="155"/>
        <v>2</v>
      </c>
      <c r="Q3296" t="s">
        <v>47</v>
      </c>
    </row>
    <row r="3297" spans="1:17" x14ac:dyDescent="0.3">
      <c r="A3297" t="s">
        <v>4412</v>
      </c>
      <c r="B3297" s="6">
        <v>44935</v>
      </c>
      <c r="C3297" s="6" t="str">
        <f t="shared" si="153"/>
        <v>Jan</v>
      </c>
      <c r="D3297" t="s">
        <v>2001</v>
      </c>
      <c r="E3297" t="s">
        <v>50</v>
      </c>
      <c r="F3297" t="s">
        <v>231</v>
      </c>
      <c r="G3297">
        <v>3</v>
      </c>
      <c r="H3297" s="7">
        <v>225.66</v>
      </c>
      <c r="I3297" t="s">
        <v>103</v>
      </c>
      <c r="J3297" t="s">
        <v>19</v>
      </c>
      <c r="K3297">
        <v>5</v>
      </c>
      <c r="L3297" s="7">
        <f t="shared" si="154"/>
        <v>676.98</v>
      </c>
      <c r="M3297" s="7"/>
      <c r="O3297">
        <f t="shared" si="155"/>
        <v>2</v>
      </c>
      <c r="Q3297" t="s">
        <v>104</v>
      </c>
    </row>
    <row r="3298" spans="1:17" x14ac:dyDescent="0.3">
      <c r="A3298" t="s">
        <v>4413</v>
      </c>
      <c r="B3298" s="6">
        <v>45163</v>
      </c>
      <c r="C3298" s="6" t="str">
        <f t="shared" si="153"/>
        <v>Aug</v>
      </c>
      <c r="D3298" t="s">
        <v>393</v>
      </c>
      <c r="E3298" t="s">
        <v>62</v>
      </c>
      <c r="F3298" t="s">
        <v>696</v>
      </c>
      <c r="G3298">
        <v>5</v>
      </c>
      <c r="H3298" s="7">
        <v>408.6</v>
      </c>
      <c r="I3298" t="s">
        <v>21</v>
      </c>
      <c r="J3298" t="s">
        <v>72</v>
      </c>
      <c r="K3298">
        <v>5</v>
      </c>
      <c r="L3298" s="7">
        <f t="shared" si="154"/>
        <v>2043</v>
      </c>
      <c r="M3298" s="7"/>
      <c r="O3298">
        <f t="shared" si="155"/>
        <v>2</v>
      </c>
      <c r="Q3298" t="s">
        <v>23</v>
      </c>
    </row>
    <row r="3299" spans="1:17" x14ac:dyDescent="0.3">
      <c r="A3299" t="s">
        <v>4414</v>
      </c>
      <c r="B3299" s="6">
        <v>45211</v>
      </c>
      <c r="C3299" s="6" t="str">
        <f t="shared" si="153"/>
        <v>Oct</v>
      </c>
      <c r="D3299" t="s">
        <v>2545</v>
      </c>
      <c r="E3299" t="s">
        <v>19</v>
      </c>
      <c r="F3299" t="s">
        <v>1851</v>
      </c>
      <c r="G3299">
        <v>1</v>
      </c>
      <c r="H3299" s="7">
        <v>445.21</v>
      </c>
      <c r="I3299" t="s">
        <v>32</v>
      </c>
      <c r="J3299" t="s">
        <v>87</v>
      </c>
      <c r="K3299">
        <v>10</v>
      </c>
      <c r="L3299" s="7">
        <f t="shared" si="154"/>
        <v>445.21</v>
      </c>
      <c r="M3299" s="7"/>
      <c r="O3299">
        <f t="shared" si="155"/>
        <v>2</v>
      </c>
      <c r="Q3299" t="s">
        <v>33</v>
      </c>
    </row>
    <row r="3300" spans="1:17" x14ac:dyDescent="0.3">
      <c r="A3300" t="s">
        <v>4415</v>
      </c>
      <c r="B3300" s="6">
        <v>45050</v>
      </c>
      <c r="C3300" s="6" t="str">
        <f t="shared" si="153"/>
        <v>May</v>
      </c>
      <c r="D3300" t="s">
        <v>1380</v>
      </c>
      <c r="E3300" t="s">
        <v>19</v>
      </c>
      <c r="F3300" t="s">
        <v>322</v>
      </c>
      <c r="G3300">
        <v>3</v>
      </c>
      <c r="H3300" s="7">
        <v>262.10000000000002</v>
      </c>
      <c r="I3300" t="s">
        <v>103</v>
      </c>
      <c r="J3300" t="s">
        <v>87</v>
      </c>
      <c r="K3300">
        <v>10</v>
      </c>
      <c r="L3300" s="7">
        <f t="shared" si="154"/>
        <v>786.30000000000007</v>
      </c>
      <c r="M3300" s="7"/>
      <c r="O3300">
        <f t="shared" si="155"/>
        <v>2</v>
      </c>
      <c r="Q3300" t="s">
        <v>104</v>
      </c>
    </row>
    <row r="3301" spans="1:17" x14ac:dyDescent="0.3">
      <c r="A3301" t="s">
        <v>4416</v>
      </c>
      <c r="B3301" s="6">
        <v>45249</v>
      </c>
      <c r="C3301" s="6" t="str">
        <f t="shared" si="153"/>
        <v>Nov</v>
      </c>
      <c r="D3301" t="s">
        <v>3325</v>
      </c>
      <c r="E3301" t="s">
        <v>36</v>
      </c>
      <c r="F3301" t="s">
        <v>2185</v>
      </c>
      <c r="G3301">
        <v>8</v>
      </c>
      <c r="H3301" s="7">
        <v>284.69</v>
      </c>
      <c r="I3301" t="s">
        <v>32</v>
      </c>
      <c r="J3301" t="s">
        <v>87</v>
      </c>
      <c r="K3301">
        <v>10</v>
      </c>
      <c r="L3301" s="7">
        <f t="shared" si="154"/>
        <v>2277.52</v>
      </c>
      <c r="M3301" s="7"/>
      <c r="O3301">
        <f t="shared" si="155"/>
        <v>2</v>
      </c>
      <c r="Q3301" t="s">
        <v>33</v>
      </c>
    </row>
    <row r="3302" spans="1:17" x14ac:dyDescent="0.3">
      <c r="A3302" t="s">
        <v>4417</v>
      </c>
      <c r="B3302" s="6">
        <v>45230</v>
      </c>
      <c r="C3302" s="6" t="str">
        <f t="shared" si="153"/>
        <v>Oct</v>
      </c>
      <c r="D3302" t="s">
        <v>758</v>
      </c>
      <c r="E3302" t="s">
        <v>62</v>
      </c>
      <c r="F3302" t="s">
        <v>148</v>
      </c>
      <c r="G3302">
        <v>8</v>
      </c>
      <c r="H3302" s="7">
        <v>336.49</v>
      </c>
      <c r="I3302" t="s">
        <v>19</v>
      </c>
      <c r="J3302" t="s">
        <v>42</v>
      </c>
      <c r="K3302">
        <v>0</v>
      </c>
      <c r="L3302" s="7">
        <f t="shared" si="154"/>
        <v>2691.92</v>
      </c>
      <c r="M3302" s="7"/>
      <c r="O3302">
        <f t="shared" si="155"/>
        <v>3</v>
      </c>
      <c r="Q3302" t="s">
        <v>19</v>
      </c>
    </row>
    <row r="3303" spans="1:17" x14ac:dyDescent="0.3">
      <c r="A3303" t="s">
        <v>4418</v>
      </c>
      <c r="B3303" s="6">
        <v>44957</v>
      </c>
      <c r="C3303" s="6" t="str">
        <f t="shared" si="153"/>
        <v>Jan</v>
      </c>
      <c r="D3303" t="s">
        <v>1396</v>
      </c>
      <c r="E3303" t="s">
        <v>26</v>
      </c>
      <c r="F3303" t="s">
        <v>113</v>
      </c>
      <c r="G3303">
        <v>4</v>
      </c>
      <c r="H3303" s="7">
        <v>480.88</v>
      </c>
      <c r="I3303" t="s">
        <v>32</v>
      </c>
      <c r="J3303" t="s">
        <v>42</v>
      </c>
      <c r="K3303">
        <v>10</v>
      </c>
      <c r="L3303" s="7">
        <f t="shared" si="154"/>
        <v>1923.52</v>
      </c>
      <c r="M3303" s="7"/>
      <c r="O3303">
        <f t="shared" si="155"/>
        <v>2</v>
      </c>
      <c r="Q3303" t="s">
        <v>33</v>
      </c>
    </row>
    <row r="3304" spans="1:17" x14ac:dyDescent="0.3">
      <c r="A3304" t="s">
        <v>4419</v>
      </c>
      <c r="B3304" s="6">
        <v>45140</v>
      </c>
      <c r="C3304" s="6" t="str">
        <f t="shared" si="153"/>
        <v>Aug</v>
      </c>
      <c r="D3304" t="s">
        <v>236</v>
      </c>
      <c r="E3304" t="s">
        <v>50</v>
      </c>
      <c r="F3304" t="s">
        <v>45</v>
      </c>
      <c r="G3304">
        <v>2</v>
      </c>
      <c r="H3304" s="7">
        <v>303.32</v>
      </c>
      <c r="I3304" t="s">
        <v>21</v>
      </c>
      <c r="J3304" t="s">
        <v>72</v>
      </c>
      <c r="K3304">
        <v>5</v>
      </c>
      <c r="L3304" s="7">
        <f t="shared" si="154"/>
        <v>606.64</v>
      </c>
      <c r="M3304" s="7"/>
      <c r="O3304">
        <f t="shared" si="155"/>
        <v>2</v>
      </c>
      <c r="Q3304" t="s">
        <v>23</v>
      </c>
    </row>
    <row r="3305" spans="1:17" x14ac:dyDescent="0.3">
      <c r="A3305" t="s">
        <v>4420</v>
      </c>
      <c r="B3305" s="6">
        <v>44996</v>
      </c>
      <c r="C3305" s="6" t="str">
        <f t="shared" si="153"/>
        <v>Mar</v>
      </c>
      <c r="D3305" t="s">
        <v>1163</v>
      </c>
      <c r="E3305" t="s">
        <v>36</v>
      </c>
      <c r="F3305" t="s">
        <v>20</v>
      </c>
      <c r="G3305">
        <v>8</v>
      </c>
      <c r="H3305" s="7">
        <v>281.94</v>
      </c>
      <c r="I3305" t="s">
        <v>32</v>
      </c>
      <c r="J3305" t="s">
        <v>19</v>
      </c>
      <c r="K3305">
        <v>0</v>
      </c>
      <c r="L3305" s="7">
        <f t="shared" si="154"/>
        <v>2255.52</v>
      </c>
      <c r="M3305" s="7"/>
      <c r="O3305">
        <f t="shared" si="155"/>
        <v>2</v>
      </c>
      <c r="Q3305" t="s">
        <v>33</v>
      </c>
    </row>
    <row r="3306" spans="1:17" x14ac:dyDescent="0.3">
      <c r="A3306" t="s">
        <v>4421</v>
      </c>
      <c r="B3306" s="6">
        <v>45256</v>
      </c>
      <c r="C3306" s="6" t="str">
        <f t="shared" si="153"/>
        <v>Nov</v>
      </c>
      <c r="D3306" t="s">
        <v>1949</v>
      </c>
      <c r="E3306" t="s">
        <v>19</v>
      </c>
      <c r="F3306" t="s">
        <v>719</v>
      </c>
      <c r="G3306">
        <v>8</v>
      </c>
      <c r="H3306" s="7">
        <v>12.19</v>
      </c>
      <c r="I3306" t="s">
        <v>103</v>
      </c>
      <c r="J3306" t="s">
        <v>42</v>
      </c>
      <c r="K3306">
        <v>20</v>
      </c>
      <c r="L3306" s="7">
        <f t="shared" si="154"/>
        <v>97.52</v>
      </c>
      <c r="M3306" s="7"/>
      <c r="O3306">
        <f t="shared" si="155"/>
        <v>2</v>
      </c>
      <c r="Q3306" t="s">
        <v>104</v>
      </c>
    </row>
    <row r="3307" spans="1:17" x14ac:dyDescent="0.3">
      <c r="A3307" t="s">
        <v>4422</v>
      </c>
      <c r="B3307" s="6">
        <v>45088</v>
      </c>
      <c r="C3307" s="6" t="str">
        <f t="shared" si="153"/>
        <v>Jun</v>
      </c>
      <c r="D3307" t="s">
        <v>2505</v>
      </c>
      <c r="E3307" t="s">
        <v>40</v>
      </c>
      <c r="F3307" t="s">
        <v>504</v>
      </c>
      <c r="G3307">
        <v>4</v>
      </c>
      <c r="H3307" s="7">
        <v>45.07</v>
      </c>
      <c r="I3307" t="s">
        <v>64</v>
      </c>
      <c r="J3307" t="s">
        <v>28</v>
      </c>
      <c r="K3307">
        <v>5</v>
      </c>
      <c r="L3307" s="7">
        <f t="shared" si="154"/>
        <v>180.28</v>
      </c>
      <c r="M3307" s="7"/>
      <c r="O3307">
        <f t="shared" si="155"/>
        <v>2</v>
      </c>
      <c r="Q3307" t="s">
        <v>65</v>
      </c>
    </row>
    <row r="3308" spans="1:17" x14ac:dyDescent="0.3">
      <c r="A3308" t="s">
        <v>4423</v>
      </c>
      <c r="B3308" s="6">
        <v>45258</v>
      </c>
      <c r="C3308" s="6" t="str">
        <f t="shared" si="153"/>
        <v>Nov</v>
      </c>
      <c r="D3308" t="s">
        <v>746</v>
      </c>
      <c r="E3308" t="s">
        <v>40</v>
      </c>
      <c r="F3308" t="s">
        <v>292</v>
      </c>
      <c r="G3308">
        <v>3</v>
      </c>
      <c r="H3308" s="7">
        <v>290.7</v>
      </c>
      <c r="I3308" t="s">
        <v>32</v>
      </c>
      <c r="J3308" t="s">
        <v>42</v>
      </c>
      <c r="K3308">
        <v>5</v>
      </c>
      <c r="L3308" s="7">
        <f t="shared" si="154"/>
        <v>872.09999999999991</v>
      </c>
      <c r="M3308" s="7"/>
      <c r="O3308">
        <f t="shared" si="155"/>
        <v>2</v>
      </c>
      <c r="Q3308" t="s">
        <v>33</v>
      </c>
    </row>
    <row r="3309" spans="1:17" x14ac:dyDescent="0.3">
      <c r="A3309" t="s">
        <v>4424</v>
      </c>
      <c r="B3309" s="6">
        <v>45018</v>
      </c>
      <c r="C3309" s="6" t="str">
        <f t="shared" si="153"/>
        <v>Apr</v>
      </c>
      <c r="D3309" t="s">
        <v>361</v>
      </c>
      <c r="E3309" t="s">
        <v>36</v>
      </c>
      <c r="F3309" t="s">
        <v>122</v>
      </c>
      <c r="G3309">
        <v>2</v>
      </c>
      <c r="H3309" s="7">
        <v>252.16</v>
      </c>
      <c r="I3309" t="s">
        <v>64</v>
      </c>
      <c r="J3309" t="s">
        <v>87</v>
      </c>
      <c r="K3309">
        <v>5</v>
      </c>
      <c r="L3309" s="7">
        <f t="shared" si="154"/>
        <v>504.32</v>
      </c>
      <c r="M3309" s="7"/>
      <c r="O3309">
        <f t="shared" si="155"/>
        <v>2</v>
      </c>
      <c r="Q3309" t="s">
        <v>65</v>
      </c>
    </row>
    <row r="3310" spans="1:17" x14ac:dyDescent="0.3">
      <c r="A3310" t="s">
        <v>4425</v>
      </c>
      <c r="B3310" s="6">
        <v>45257</v>
      </c>
      <c r="C3310" s="6" t="str">
        <f t="shared" si="153"/>
        <v>Nov</v>
      </c>
      <c r="D3310" t="s">
        <v>3409</v>
      </c>
      <c r="E3310" t="s">
        <v>19</v>
      </c>
      <c r="F3310" t="s">
        <v>398</v>
      </c>
      <c r="G3310">
        <v>9</v>
      </c>
      <c r="H3310" s="7">
        <v>434.01</v>
      </c>
      <c r="I3310" t="s">
        <v>103</v>
      </c>
      <c r="J3310" t="s">
        <v>42</v>
      </c>
      <c r="K3310">
        <v>0</v>
      </c>
      <c r="L3310" s="7">
        <f t="shared" si="154"/>
        <v>3906.09</v>
      </c>
      <c r="M3310" s="7"/>
      <c r="O3310">
        <f t="shared" si="155"/>
        <v>5</v>
      </c>
      <c r="Q3310" t="s">
        <v>104</v>
      </c>
    </row>
    <row r="3311" spans="1:17" x14ac:dyDescent="0.3">
      <c r="A3311" t="s">
        <v>4426</v>
      </c>
      <c r="B3311" s="6">
        <v>45174</v>
      </c>
      <c r="C3311" s="6" t="str">
        <f t="shared" si="153"/>
        <v>Sep</v>
      </c>
      <c r="D3311" t="s">
        <v>1323</v>
      </c>
      <c r="E3311" t="s">
        <v>40</v>
      </c>
      <c r="F3311" t="s">
        <v>110</v>
      </c>
      <c r="G3311">
        <v>1</v>
      </c>
      <c r="H3311" s="7">
        <v>491.38</v>
      </c>
      <c r="I3311" t="s">
        <v>103</v>
      </c>
      <c r="J3311" t="s">
        <v>87</v>
      </c>
      <c r="K3311">
        <v>10</v>
      </c>
      <c r="L3311" s="7">
        <f t="shared" si="154"/>
        <v>491.38</v>
      </c>
      <c r="M3311" s="7"/>
      <c r="O3311">
        <f t="shared" si="155"/>
        <v>2</v>
      </c>
      <c r="Q3311" t="s">
        <v>104</v>
      </c>
    </row>
    <row r="3312" spans="1:17" x14ac:dyDescent="0.3">
      <c r="A3312" t="s">
        <v>4427</v>
      </c>
      <c r="B3312" s="6">
        <v>45199</v>
      </c>
      <c r="C3312" s="6" t="str">
        <f t="shared" si="153"/>
        <v>Sep</v>
      </c>
      <c r="D3312" t="s">
        <v>1991</v>
      </c>
      <c r="E3312" t="s">
        <v>19</v>
      </c>
      <c r="F3312" t="s">
        <v>90</v>
      </c>
      <c r="G3312">
        <v>7</v>
      </c>
      <c r="H3312" s="7">
        <v>266.27999999999997</v>
      </c>
      <c r="I3312" t="s">
        <v>32</v>
      </c>
      <c r="J3312" t="s">
        <v>87</v>
      </c>
      <c r="K3312">
        <v>15</v>
      </c>
      <c r="L3312" s="7">
        <f t="shared" si="154"/>
        <v>1863.9599999999998</v>
      </c>
      <c r="M3312" s="7"/>
      <c r="O3312">
        <f t="shared" si="155"/>
        <v>2</v>
      </c>
      <c r="Q3312" t="s">
        <v>33</v>
      </c>
    </row>
    <row r="3313" spans="1:17" x14ac:dyDescent="0.3">
      <c r="A3313" t="s">
        <v>4428</v>
      </c>
      <c r="B3313" s="6">
        <v>45255</v>
      </c>
      <c r="C3313" s="6" t="str">
        <f t="shared" si="153"/>
        <v>Nov</v>
      </c>
      <c r="D3313" t="s">
        <v>397</v>
      </c>
      <c r="E3313" t="s">
        <v>19</v>
      </c>
      <c r="F3313" t="s">
        <v>713</v>
      </c>
      <c r="G3313">
        <v>5</v>
      </c>
      <c r="H3313" s="7">
        <v>395.03</v>
      </c>
      <c r="I3313" t="s">
        <v>103</v>
      </c>
      <c r="J3313" t="s">
        <v>42</v>
      </c>
      <c r="K3313">
        <v>20</v>
      </c>
      <c r="L3313" s="7">
        <f t="shared" si="154"/>
        <v>1975.1499999999999</v>
      </c>
      <c r="M3313" s="7"/>
      <c r="O3313">
        <f t="shared" si="155"/>
        <v>2</v>
      </c>
      <c r="Q3313" t="s">
        <v>104</v>
      </c>
    </row>
    <row r="3314" spans="1:17" x14ac:dyDescent="0.3">
      <c r="A3314" t="s">
        <v>4429</v>
      </c>
      <c r="B3314" s="6">
        <v>44947</v>
      </c>
      <c r="C3314" s="6" t="str">
        <f t="shared" si="153"/>
        <v>Jan</v>
      </c>
      <c r="D3314" t="s">
        <v>871</v>
      </c>
      <c r="E3314" t="s">
        <v>62</v>
      </c>
      <c r="F3314" t="s">
        <v>975</v>
      </c>
      <c r="G3314">
        <v>8</v>
      </c>
      <c r="H3314" s="7">
        <v>421</v>
      </c>
      <c r="I3314" t="s">
        <v>21</v>
      </c>
      <c r="J3314" t="s">
        <v>42</v>
      </c>
      <c r="K3314">
        <v>20</v>
      </c>
      <c r="L3314" s="7">
        <f t="shared" si="154"/>
        <v>3368</v>
      </c>
      <c r="M3314" s="7"/>
      <c r="O3314">
        <f t="shared" si="155"/>
        <v>4</v>
      </c>
      <c r="Q3314" t="s">
        <v>23</v>
      </c>
    </row>
    <row r="3315" spans="1:17" x14ac:dyDescent="0.3">
      <c r="A3315" t="s">
        <v>4430</v>
      </c>
      <c r="B3315" s="6">
        <v>45003</v>
      </c>
      <c r="C3315" s="6" t="str">
        <f t="shared" si="153"/>
        <v>Mar</v>
      </c>
      <c r="D3315" t="s">
        <v>144</v>
      </c>
      <c r="E3315" t="s">
        <v>26</v>
      </c>
      <c r="F3315" t="s">
        <v>298</v>
      </c>
      <c r="G3315">
        <v>4</v>
      </c>
      <c r="H3315" s="7">
        <v>325.77999999999997</v>
      </c>
      <c r="I3315" t="s">
        <v>46</v>
      </c>
      <c r="J3315" t="s">
        <v>42</v>
      </c>
      <c r="K3315">
        <v>10</v>
      </c>
      <c r="L3315" s="7">
        <f t="shared" si="154"/>
        <v>1303.1199999999999</v>
      </c>
      <c r="M3315" s="7"/>
      <c r="O3315">
        <f t="shared" si="155"/>
        <v>2</v>
      </c>
      <c r="Q3315" t="s">
        <v>47</v>
      </c>
    </row>
    <row r="3316" spans="1:17" x14ac:dyDescent="0.3">
      <c r="A3316" t="s">
        <v>4431</v>
      </c>
      <c r="B3316" s="6">
        <v>45161</v>
      </c>
      <c r="C3316" s="6" t="str">
        <f t="shared" si="153"/>
        <v>Aug</v>
      </c>
      <c r="D3316" t="s">
        <v>530</v>
      </c>
      <c r="E3316" t="s">
        <v>50</v>
      </c>
      <c r="F3316" t="s">
        <v>698</v>
      </c>
      <c r="G3316">
        <v>7</v>
      </c>
      <c r="H3316" s="7">
        <v>172.68</v>
      </c>
      <c r="I3316" t="s">
        <v>46</v>
      </c>
      <c r="J3316" t="s">
        <v>42</v>
      </c>
      <c r="K3316">
        <v>0</v>
      </c>
      <c r="L3316" s="7">
        <f t="shared" si="154"/>
        <v>1208.76</v>
      </c>
      <c r="M3316" s="7"/>
      <c r="O3316">
        <f t="shared" si="155"/>
        <v>2</v>
      </c>
      <c r="Q3316" t="s">
        <v>47</v>
      </c>
    </row>
    <row r="3317" spans="1:17" x14ac:dyDescent="0.3">
      <c r="A3317" t="s">
        <v>4432</v>
      </c>
      <c r="B3317" s="6">
        <v>44991</v>
      </c>
      <c r="C3317" s="6" t="str">
        <f t="shared" si="153"/>
        <v>Mar</v>
      </c>
      <c r="D3317" t="s">
        <v>3013</v>
      </c>
      <c r="E3317" t="s">
        <v>19</v>
      </c>
      <c r="F3317" t="s">
        <v>179</v>
      </c>
      <c r="G3317">
        <v>5</v>
      </c>
      <c r="H3317" s="7">
        <v>237.64</v>
      </c>
      <c r="I3317" t="s">
        <v>21</v>
      </c>
      <c r="J3317" t="s">
        <v>87</v>
      </c>
      <c r="K3317">
        <v>10</v>
      </c>
      <c r="L3317" s="7">
        <f t="shared" si="154"/>
        <v>1188.1999999999998</v>
      </c>
      <c r="M3317" s="7"/>
      <c r="O3317">
        <f t="shared" si="155"/>
        <v>2</v>
      </c>
      <c r="Q3317" t="s">
        <v>23</v>
      </c>
    </row>
    <row r="3318" spans="1:17" x14ac:dyDescent="0.3">
      <c r="A3318" t="s">
        <v>4433</v>
      </c>
      <c r="B3318" s="6">
        <v>44948</v>
      </c>
      <c r="C3318" s="6" t="str">
        <f t="shared" si="153"/>
        <v>Jan</v>
      </c>
      <c r="D3318" t="s">
        <v>2122</v>
      </c>
      <c r="E3318" t="s">
        <v>31</v>
      </c>
      <c r="F3318" t="s">
        <v>1282</v>
      </c>
      <c r="G3318">
        <v>5</v>
      </c>
      <c r="H3318" s="7">
        <v>429.67</v>
      </c>
      <c r="I3318" t="s">
        <v>64</v>
      </c>
      <c r="J3318" t="s">
        <v>28</v>
      </c>
      <c r="K3318">
        <v>5</v>
      </c>
      <c r="L3318" s="7">
        <f t="shared" si="154"/>
        <v>2148.35</v>
      </c>
      <c r="M3318" s="7"/>
      <c r="O3318">
        <f t="shared" si="155"/>
        <v>2</v>
      </c>
      <c r="Q3318" t="s">
        <v>65</v>
      </c>
    </row>
    <row r="3319" spans="1:17" x14ac:dyDescent="0.3">
      <c r="A3319" t="s">
        <v>4434</v>
      </c>
      <c r="B3319" s="6">
        <v>44928</v>
      </c>
      <c r="C3319" s="6" t="str">
        <f t="shared" si="153"/>
        <v>Jan</v>
      </c>
      <c r="D3319" t="s">
        <v>1916</v>
      </c>
      <c r="E3319" t="s">
        <v>40</v>
      </c>
      <c r="F3319" t="s">
        <v>128</v>
      </c>
      <c r="G3319">
        <v>9</v>
      </c>
      <c r="H3319" s="7">
        <v>152.78</v>
      </c>
      <c r="I3319" t="s">
        <v>19</v>
      </c>
      <c r="J3319" t="s">
        <v>19</v>
      </c>
      <c r="K3319">
        <v>15</v>
      </c>
      <c r="L3319" s="7">
        <f t="shared" si="154"/>
        <v>1375.02</v>
      </c>
      <c r="M3319" s="7"/>
      <c r="O3319">
        <f t="shared" si="155"/>
        <v>2</v>
      </c>
      <c r="Q3319" t="s">
        <v>19</v>
      </c>
    </row>
    <row r="3320" spans="1:17" x14ac:dyDescent="0.3">
      <c r="A3320" t="s">
        <v>4435</v>
      </c>
      <c r="B3320" s="6">
        <v>45105</v>
      </c>
      <c r="C3320" s="6" t="str">
        <f t="shared" si="153"/>
        <v>Jun</v>
      </c>
      <c r="D3320" t="s">
        <v>3693</v>
      </c>
      <c r="E3320" t="s">
        <v>31</v>
      </c>
      <c r="F3320" t="s">
        <v>214</v>
      </c>
      <c r="G3320">
        <v>9</v>
      </c>
      <c r="H3320" s="7">
        <v>462.25</v>
      </c>
      <c r="I3320" t="s">
        <v>46</v>
      </c>
      <c r="J3320" t="s">
        <v>19</v>
      </c>
      <c r="K3320">
        <v>0</v>
      </c>
      <c r="L3320" s="7">
        <f t="shared" si="154"/>
        <v>4160.25</v>
      </c>
      <c r="M3320" s="7"/>
      <c r="O3320">
        <f t="shared" si="155"/>
        <v>5</v>
      </c>
      <c r="Q3320" t="s">
        <v>47</v>
      </c>
    </row>
    <row r="3321" spans="1:17" x14ac:dyDescent="0.3">
      <c r="A3321" t="s">
        <v>4436</v>
      </c>
      <c r="B3321" s="6">
        <v>45221</v>
      </c>
      <c r="C3321" s="6" t="str">
        <f t="shared" si="153"/>
        <v>Oct</v>
      </c>
      <c r="D3321" t="s">
        <v>133</v>
      </c>
      <c r="E3321" t="s">
        <v>50</v>
      </c>
      <c r="F3321" t="s">
        <v>520</v>
      </c>
      <c r="G3321">
        <v>9</v>
      </c>
      <c r="H3321" s="7">
        <v>118.75</v>
      </c>
      <c r="I3321" t="s">
        <v>103</v>
      </c>
      <c r="J3321" t="s">
        <v>72</v>
      </c>
      <c r="K3321">
        <v>0</v>
      </c>
      <c r="L3321" s="7">
        <f t="shared" si="154"/>
        <v>1068.75</v>
      </c>
      <c r="M3321" s="7"/>
      <c r="O3321">
        <f t="shared" si="155"/>
        <v>2</v>
      </c>
      <c r="Q3321" t="s">
        <v>104</v>
      </c>
    </row>
    <row r="3322" spans="1:17" x14ac:dyDescent="0.3">
      <c r="A3322" t="s">
        <v>4437</v>
      </c>
      <c r="B3322" s="6">
        <v>45088</v>
      </c>
      <c r="C3322" s="6" t="str">
        <f t="shared" si="153"/>
        <v>Jun</v>
      </c>
      <c r="D3322" t="s">
        <v>1254</v>
      </c>
      <c r="E3322" t="s">
        <v>36</v>
      </c>
      <c r="F3322" t="s">
        <v>295</v>
      </c>
      <c r="G3322">
        <v>6</v>
      </c>
      <c r="H3322" s="7">
        <v>376.01</v>
      </c>
      <c r="I3322" t="s">
        <v>46</v>
      </c>
      <c r="J3322" t="s">
        <v>87</v>
      </c>
      <c r="K3322">
        <v>10</v>
      </c>
      <c r="L3322" s="7">
        <f t="shared" si="154"/>
        <v>2256.06</v>
      </c>
      <c r="M3322" s="7"/>
      <c r="O3322">
        <f t="shared" si="155"/>
        <v>2</v>
      </c>
      <c r="Q3322" t="s">
        <v>47</v>
      </c>
    </row>
    <row r="3323" spans="1:17" x14ac:dyDescent="0.3">
      <c r="A3323" t="s">
        <v>4438</v>
      </c>
      <c r="B3323" s="6">
        <v>44946</v>
      </c>
      <c r="C3323" s="6" t="str">
        <f t="shared" si="153"/>
        <v>Jan</v>
      </c>
      <c r="D3323" t="s">
        <v>877</v>
      </c>
      <c r="E3323" t="s">
        <v>31</v>
      </c>
      <c r="F3323" t="s">
        <v>488</v>
      </c>
      <c r="G3323">
        <v>6</v>
      </c>
      <c r="H3323" s="7">
        <v>317.13</v>
      </c>
      <c r="I3323" t="s">
        <v>32</v>
      </c>
      <c r="J3323" t="s">
        <v>42</v>
      </c>
      <c r="K3323">
        <v>15</v>
      </c>
      <c r="L3323" s="7">
        <f t="shared" si="154"/>
        <v>1902.78</v>
      </c>
      <c r="M3323" s="7"/>
      <c r="O3323">
        <f t="shared" si="155"/>
        <v>2</v>
      </c>
      <c r="Q3323" t="s">
        <v>33</v>
      </c>
    </row>
    <row r="3324" spans="1:17" x14ac:dyDescent="0.3">
      <c r="A3324" t="s">
        <v>4439</v>
      </c>
      <c r="B3324" s="6">
        <v>45188</v>
      </c>
      <c r="C3324" s="6" t="str">
        <f t="shared" si="153"/>
        <v>Sep</v>
      </c>
      <c r="D3324" t="s">
        <v>2420</v>
      </c>
      <c r="E3324" t="s">
        <v>26</v>
      </c>
      <c r="F3324" t="s">
        <v>389</v>
      </c>
      <c r="G3324">
        <v>5</v>
      </c>
      <c r="H3324" s="7">
        <v>376.05</v>
      </c>
      <c r="I3324" t="s">
        <v>46</v>
      </c>
      <c r="J3324" t="s">
        <v>19</v>
      </c>
      <c r="K3324">
        <v>5</v>
      </c>
      <c r="L3324" s="7">
        <f t="shared" si="154"/>
        <v>1880.25</v>
      </c>
      <c r="M3324" s="7"/>
      <c r="O3324">
        <f t="shared" si="155"/>
        <v>2</v>
      </c>
      <c r="Q3324" t="s">
        <v>47</v>
      </c>
    </row>
    <row r="3325" spans="1:17" x14ac:dyDescent="0.3">
      <c r="A3325" t="s">
        <v>4440</v>
      </c>
      <c r="B3325" s="6">
        <v>45111</v>
      </c>
      <c r="C3325" s="6" t="str">
        <f t="shared" si="153"/>
        <v>Jul</v>
      </c>
      <c r="D3325" t="s">
        <v>3317</v>
      </c>
      <c r="E3325" t="s">
        <v>19</v>
      </c>
      <c r="F3325" t="s">
        <v>251</v>
      </c>
      <c r="G3325">
        <v>9</v>
      </c>
      <c r="H3325" s="7">
        <v>221.49</v>
      </c>
      <c r="I3325" t="s">
        <v>103</v>
      </c>
      <c r="J3325" t="s">
        <v>28</v>
      </c>
      <c r="K3325">
        <v>0</v>
      </c>
      <c r="L3325" s="7">
        <f t="shared" si="154"/>
        <v>1993.41</v>
      </c>
      <c r="M3325" s="7"/>
      <c r="O3325">
        <f t="shared" si="155"/>
        <v>2</v>
      </c>
      <c r="Q3325" t="s">
        <v>104</v>
      </c>
    </row>
    <row r="3326" spans="1:17" x14ac:dyDescent="0.3">
      <c r="A3326" t="s">
        <v>4441</v>
      </c>
      <c r="B3326" s="6">
        <v>45036</v>
      </c>
      <c r="C3326" s="6" t="str">
        <f t="shared" si="153"/>
        <v>Apr</v>
      </c>
      <c r="D3326" t="s">
        <v>811</v>
      </c>
      <c r="E3326" t="s">
        <v>50</v>
      </c>
      <c r="F3326" t="s">
        <v>472</v>
      </c>
      <c r="G3326">
        <v>8</v>
      </c>
      <c r="H3326" s="7">
        <v>466.66</v>
      </c>
      <c r="I3326" t="s">
        <v>46</v>
      </c>
      <c r="J3326" t="s">
        <v>87</v>
      </c>
      <c r="K3326">
        <v>20</v>
      </c>
      <c r="L3326" s="7">
        <f t="shared" si="154"/>
        <v>3733.28</v>
      </c>
      <c r="M3326" s="7"/>
      <c r="O3326">
        <f t="shared" si="155"/>
        <v>5</v>
      </c>
      <c r="Q3326" t="s">
        <v>47</v>
      </c>
    </row>
    <row r="3327" spans="1:17" x14ac:dyDescent="0.3">
      <c r="A3327" t="s">
        <v>4442</v>
      </c>
      <c r="B3327" s="6">
        <v>44964</v>
      </c>
      <c r="C3327" s="6" t="str">
        <f t="shared" si="153"/>
        <v>Feb</v>
      </c>
      <c r="D3327" t="s">
        <v>300</v>
      </c>
      <c r="E3327" t="s">
        <v>36</v>
      </c>
      <c r="F3327" t="s">
        <v>789</v>
      </c>
      <c r="G3327">
        <v>7</v>
      </c>
      <c r="H3327" s="7">
        <v>318.07</v>
      </c>
      <c r="I3327" t="s">
        <v>103</v>
      </c>
      <c r="J3327" t="s">
        <v>19</v>
      </c>
      <c r="K3327">
        <v>20</v>
      </c>
      <c r="L3327" s="7">
        <f t="shared" si="154"/>
        <v>2226.4899999999998</v>
      </c>
      <c r="M3327" s="7"/>
      <c r="O3327">
        <f t="shared" si="155"/>
        <v>2</v>
      </c>
      <c r="Q3327" t="s">
        <v>104</v>
      </c>
    </row>
    <row r="3328" spans="1:17" x14ac:dyDescent="0.3">
      <c r="A3328" t="s">
        <v>4443</v>
      </c>
      <c r="B3328" s="6">
        <v>44958</v>
      </c>
      <c r="C3328" s="6" t="str">
        <f t="shared" si="153"/>
        <v>Feb</v>
      </c>
      <c r="D3328" t="s">
        <v>447</v>
      </c>
      <c r="E3328" t="s">
        <v>62</v>
      </c>
      <c r="F3328" t="s">
        <v>246</v>
      </c>
      <c r="G3328">
        <v>7</v>
      </c>
      <c r="H3328" s="7">
        <v>147.71</v>
      </c>
      <c r="I3328" t="s">
        <v>32</v>
      </c>
      <c r="J3328" t="s">
        <v>87</v>
      </c>
      <c r="K3328">
        <v>15</v>
      </c>
      <c r="L3328" s="7">
        <f t="shared" si="154"/>
        <v>1033.97</v>
      </c>
      <c r="M3328" s="7"/>
      <c r="O3328">
        <f t="shared" si="155"/>
        <v>2</v>
      </c>
      <c r="Q3328" t="s">
        <v>33</v>
      </c>
    </row>
    <row r="3329" spans="1:17" x14ac:dyDescent="0.3">
      <c r="A3329" t="s">
        <v>4444</v>
      </c>
      <c r="B3329" s="6">
        <v>45224</v>
      </c>
      <c r="C3329" s="6" t="str">
        <f t="shared" si="153"/>
        <v>Oct</v>
      </c>
      <c r="D3329" t="s">
        <v>1775</v>
      </c>
      <c r="E3329" t="s">
        <v>50</v>
      </c>
      <c r="F3329" t="s">
        <v>284</v>
      </c>
      <c r="G3329">
        <v>6</v>
      </c>
      <c r="H3329" s="7">
        <v>321.04000000000002</v>
      </c>
      <c r="I3329" t="s">
        <v>21</v>
      </c>
      <c r="J3329" t="s">
        <v>72</v>
      </c>
      <c r="K3329">
        <v>5</v>
      </c>
      <c r="L3329" s="7">
        <f t="shared" si="154"/>
        <v>1926.2400000000002</v>
      </c>
      <c r="M3329" s="7"/>
      <c r="O3329">
        <f t="shared" si="155"/>
        <v>2</v>
      </c>
      <c r="Q3329" t="s">
        <v>23</v>
      </c>
    </row>
    <row r="3330" spans="1:17" x14ac:dyDescent="0.3">
      <c r="A3330" t="s">
        <v>4445</v>
      </c>
      <c r="B3330" s="6">
        <v>45037</v>
      </c>
      <c r="C3330" s="6" t="str">
        <f t="shared" si="153"/>
        <v>Apr</v>
      </c>
      <c r="D3330" t="s">
        <v>476</v>
      </c>
      <c r="E3330" t="s">
        <v>50</v>
      </c>
      <c r="F3330" t="s">
        <v>231</v>
      </c>
      <c r="G3330">
        <v>5</v>
      </c>
      <c r="H3330" s="7">
        <v>146.97</v>
      </c>
      <c r="I3330" t="s">
        <v>46</v>
      </c>
      <c r="J3330" t="s">
        <v>87</v>
      </c>
      <c r="K3330">
        <v>15</v>
      </c>
      <c r="L3330" s="7">
        <f t="shared" si="154"/>
        <v>734.85</v>
      </c>
      <c r="M3330" s="7"/>
      <c r="O3330">
        <f t="shared" si="155"/>
        <v>2</v>
      </c>
      <c r="Q3330" t="s">
        <v>47</v>
      </c>
    </row>
    <row r="3331" spans="1:17" x14ac:dyDescent="0.3">
      <c r="A3331" t="s">
        <v>4446</v>
      </c>
      <c r="B3331" s="6">
        <v>45001</v>
      </c>
      <c r="C3331" s="6" t="str">
        <f t="shared" ref="C3331:C3394" si="156">TEXT(B3331,"MMM")</f>
        <v>Mar</v>
      </c>
      <c r="D3331" t="s">
        <v>2263</v>
      </c>
      <c r="E3331" t="s">
        <v>19</v>
      </c>
      <c r="F3331" t="s">
        <v>90</v>
      </c>
      <c r="G3331">
        <v>4</v>
      </c>
      <c r="H3331" s="7">
        <v>150.35</v>
      </c>
      <c r="I3331" t="s">
        <v>103</v>
      </c>
      <c r="J3331" t="s">
        <v>28</v>
      </c>
      <c r="K3331">
        <v>0</v>
      </c>
      <c r="L3331" s="7">
        <f t="shared" ref="L3331:L3394" si="157">G3331*H3331</f>
        <v>601.4</v>
      </c>
      <c r="M3331" s="7"/>
      <c r="O3331">
        <f t="shared" si="155"/>
        <v>2</v>
      </c>
      <c r="Q3331" t="s">
        <v>104</v>
      </c>
    </row>
    <row r="3332" spans="1:17" x14ac:dyDescent="0.3">
      <c r="A3332" t="s">
        <v>4447</v>
      </c>
      <c r="B3332" s="6">
        <v>45146</v>
      </c>
      <c r="C3332" s="6" t="str">
        <f t="shared" si="156"/>
        <v>Aug</v>
      </c>
      <c r="D3332" t="s">
        <v>1240</v>
      </c>
      <c r="E3332" t="s">
        <v>36</v>
      </c>
      <c r="F3332" t="s">
        <v>983</v>
      </c>
      <c r="G3332">
        <v>3</v>
      </c>
      <c r="H3332" s="7">
        <v>202.8</v>
      </c>
      <c r="I3332" t="s">
        <v>46</v>
      </c>
      <c r="J3332" t="s">
        <v>22</v>
      </c>
      <c r="K3332">
        <v>20</v>
      </c>
      <c r="L3332" s="7">
        <f t="shared" si="157"/>
        <v>608.40000000000009</v>
      </c>
      <c r="M3332" s="7"/>
      <c r="O3332">
        <f t="shared" ref="O3332:O3395" si="158">IF(L3332&gt;3500,5,IF(L3332&gt;3000,4,IF(L3332&gt;2500,3,IF(L3332&gt;2000,2,IF(L3332&gt;1000,2,2)))))</f>
        <v>2</v>
      </c>
      <c r="Q3332" t="s">
        <v>47</v>
      </c>
    </row>
    <row r="3333" spans="1:17" x14ac:dyDescent="0.3">
      <c r="A3333" t="s">
        <v>4448</v>
      </c>
      <c r="B3333" s="6">
        <v>45225</v>
      </c>
      <c r="C3333" s="6" t="str">
        <f t="shared" si="156"/>
        <v>Oct</v>
      </c>
      <c r="D3333" t="s">
        <v>667</v>
      </c>
      <c r="E3333" t="s">
        <v>26</v>
      </c>
      <c r="F3333" t="s">
        <v>224</v>
      </c>
      <c r="G3333">
        <v>5</v>
      </c>
      <c r="H3333" s="7">
        <v>426.95</v>
      </c>
      <c r="I3333" t="s">
        <v>21</v>
      </c>
      <c r="J3333" t="s">
        <v>42</v>
      </c>
      <c r="K3333">
        <v>10</v>
      </c>
      <c r="L3333" s="7">
        <f t="shared" si="157"/>
        <v>2134.75</v>
      </c>
      <c r="M3333" s="7"/>
      <c r="O3333">
        <f t="shared" si="158"/>
        <v>2</v>
      </c>
      <c r="Q3333" t="s">
        <v>23</v>
      </c>
    </row>
    <row r="3334" spans="1:17" x14ac:dyDescent="0.3">
      <c r="A3334" t="s">
        <v>4449</v>
      </c>
      <c r="B3334" s="6">
        <v>45245</v>
      </c>
      <c r="C3334" s="6" t="str">
        <f t="shared" si="156"/>
        <v>Nov</v>
      </c>
      <c r="D3334" t="s">
        <v>2122</v>
      </c>
      <c r="E3334" t="s">
        <v>62</v>
      </c>
      <c r="F3334" t="s">
        <v>68</v>
      </c>
      <c r="G3334">
        <v>6</v>
      </c>
      <c r="H3334" s="7">
        <v>252.65</v>
      </c>
      <c r="I3334" t="s">
        <v>64</v>
      </c>
      <c r="J3334" t="s">
        <v>42</v>
      </c>
      <c r="K3334">
        <v>15</v>
      </c>
      <c r="L3334" s="7">
        <f t="shared" si="157"/>
        <v>1515.9</v>
      </c>
      <c r="M3334" s="7"/>
      <c r="O3334">
        <f t="shared" si="158"/>
        <v>2</v>
      </c>
      <c r="Q3334" t="s">
        <v>65</v>
      </c>
    </row>
    <row r="3335" spans="1:17" x14ac:dyDescent="0.3">
      <c r="A3335" t="s">
        <v>4450</v>
      </c>
      <c r="B3335" s="6">
        <v>45021</v>
      </c>
      <c r="C3335" s="6" t="str">
        <f t="shared" si="156"/>
        <v>Apr</v>
      </c>
      <c r="D3335" t="s">
        <v>1221</v>
      </c>
      <c r="E3335" t="s">
        <v>40</v>
      </c>
      <c r="F3335" t="s">
        <v>173</v>
      </c>
      <c r="G3335">
        <v>4</v>
      </c>
      <c r="H3335" s="7">
        <v>341.06</v>
      </c>
      <c r="I3335" t="s">
        <v>46</v>
      </c>
      <c r="J3335" t="s">
        <v>19</v>
      </c>
      <c r="K3335">
        <v>10</v>
      </c>
      <c r="L3335" s="7">
        <f t="shared" si="157"/>
        <v>1364.24</v>
      </c>
      <c r="M3335" s="7"/>
      <c r="O3335">
        <f t="shared" si="158"/>
        <v>2</v>
      </c>
      <c r="Q3335" t="s">
        <v>47</v>
      </c>
    </row>
    <row r="3336" spans="1:17" x14ac:dyDescent="0.3">
      <c r="A3336" t="s">
        <v>4451</v>
      </c>
      <c r="B3336" s="6">
        <v>45071</v>
      </c>
      <c r="C3336" s="6" t="str">
        <f t="shared" si="156"/>
        <v>May</v>
      </c>
      <c r="D3336" t="s">
        <v>879</v>
      </c>
      <c r="E3336" t="s">
        <v>50</v>
      </c>
      <c r="F3336" t="s">
        <v>389</v>
      </c>
      <c r="G3336">
        <v>6</v>
      </c>
      <c r="H3336" s="7">
        <v>199.02</v>
      </c>
      <c r="I3336" t="s">
        <v>21</v>
      </c>
      <c r="J3336" t="s">
        <v>42</v>
      </c>
      <c r="K3336">
        <v>10</v>
      </c>
      <c r="L3336" s="7">
        <f t="shared" si="157"/>
        <v>1194.1200000000001</v>
      </c>
      <c r="M3336" s="7"/>
      <c r="O3336">
        <f t="shared" si="158"/>
        <v>2</v>
      </c>
      <c r="Q3336" t="s">
        <v>23</v>
      </c>
    </row>
    <row r="3337" spans="1:17" x14ac:dyDescent="0.3">
      <c r="A3337" t="s">
        <v>4452</v>
      </c>
      <c r="B3337" s="6">
        <v>44961</v>
      </c>
      <c r="C3337" s="6" t="str">
        <f t="shared" si="156"/>
        <v>Feb</v>
      </c>
      <c r="D3337" t="s">
        <v>802</v>
      </c>
      <c r="E3337" t="s">
        <v>26</v>
      </c>
      <c r="F3337" t="s">
        <v>308</v>
      </c>
      <c r="G3337">
        <v>3</v>
      </c>
      <c r="H3337" s="7">
        <v>135.47999999999999</v>
      </c>
      <c r="I3337" t="s">
        <v>103</v>
      </c>
      <c r="J3337" t="s">
        <v>42</v>
      </c>
      <c r="K3337">
        <v>10</v>
      </c>
      <c r="L3337" s="7">
        <f t="shared" si="157"/>
        <v>406.43999999999994</v>
      </c>
      <c r="M3337" s="7"/>
      <c r="O3337">
        <f t="shared" si="158"/>
        <v>2</v>
      </c>
      <c r="Q3337" t="s">
        <v>104</v>
      </c>
    </row>
    <row r="3338" spans="1:17" x14ac:dyDescent="0.3">
      <c r="A3338" t="s">
        <v>4453</v>
      </c>
      <c r="B3338" s="6">
        <v>44977</v>
      </c>
      <c r="C3338" s="6" t="str">
        <f t="shared" si="156"/>
        <v>Feb</v>
      </c>
      <c r="D3338" t="s">
        <v>2329</v>
      </c>
      <c r="E3338" t="s">
        <v>40</v>
      </c>
      <c r="F3338" t="s">
        <v>270</v>
      </c>
      <c r="G3338">
        <v>4</v>
      </c>
      <c r="H3338" s="7">
        <v>477.55</v>
      </c>
      <c r="I3338" t="s">
        <v>103</v>
      </c>
      <c r="J3338" t="s">
        <v>42</v>
      </c>
      <c r="K3338">
        <v>20</v>
      </c>
      <c r="L3338" s="7">
        <f t="shared" si="157"/>
        <v>1910.2</v>
      </c>
      <c r="M3338" s="7"/>
      <c r="O3338">
        <f t="shared" si="158"/>
        <v>2</v>
      </c>
      <c r="Q3338" t="s">
        <v>104</v>
      </c>
    </row>
    <row r="3339" spans="1:17" x14ac:dyDescent="0.3">
      <c r="A3339" t="s">
        <v>4454</v>
      </c>
      <c r="B3339" s="6">
        <v>45024</v>
      </c>
      <c r="C3339" s="6" t="str">
        <f t="shared" si="156"/>
        <v>Apr</v>
      </c>
      <c r="D3339" t="s">
        <v>607</v>
      </c>
      <c r="E3339" t="s">
        <v>62</v>
      </c>
      <c r="F3339" t="s">
        <v>1142</v>
      </c>
      <c r="G3339">
        <v>9</v>
      </c>
      <c r="H3339" s="7">
        <v>303.77</v>
      </c>
      <c r="I3339" t="s">
        <v>46</v>
      </c>
      <c r="J3339" t="s">
        <v>42</v>
      </c>
      <c r="K3339">
        <v>15</v>
      </c>
      <c r="L3339" s="7">
        <f t="shared" si="157"/>
        <v>2733.93</v>
      </c>
      <c r="M3339" s="7"/>
      <c r="O3339">
        <f t="shared" si="158"/>
        <v>3</v>
      </c>
      <c r="Q3339" t="s">
        <v>47</v>
      </c>
    </row>
    <row r="3340" spans="1:17" x14ac:dyDescent="0.3">
      <c r="A3340" t="s">
        <v>4455</v>
      </c>
      <c r="B3340" s="6">
        <v>44946</v>
      </c>
      <c r="C3340" s="6" t="str">
        <f t="shared" si="156"/>
        <v>Jan</v>
      </c>
      <c r="D3340" t="s">
        <v>3400</v>
      </c>
      <c r="E3340" t="s">
        <v>26</v>
      </c>
      <c r="F3340" t="s">
        <v>520</v>
      </c>
      <c r="G3340">
        <v>5</v>
      </c>
      <c r="H3340" s="7">
        <v>467.31</v>
      </c>
      <c r="I3340" t="s">
        <v>21</v>
      </c>
      <c r="J3340" t="s">
        <v>42</v>
      </c>
      <c r="K3340">
        <v>10</v>
      </c>
      <c r="L3340" s="7">
        <f t="shared" si="157"/>
        <v>2336.5500000000002</v>
      </c>
      <c r="M3340" s="7"/>
      <c r="O3340">
        <f t="shared" si="158"/>
        <v>2</v>
      </c>
      <c r="Q3340" t="s">
        <v>23</v>
      </c>
    </row>
    <row r="3341" spans="1:17" x14ac:dyDescent="0.3">
      <c r="A3341" t="s">
        <v>4456</v>
      </c>
      <c r="B3341" s="6">
        <v>45139</v>
      </c>
      <c r="C3341" s="6" t="str">
        <f t="shared" si="156"/>
        <v>Aug</v>
      </c>
      <c r="D3341" t="s">
        <v>772</v>
      </c>
      <c r="E3341" t="s">
        <v>19</v>
      </c>
      <c r="F3341" t="s">
        <v>208</v>
      </c>
      <c r="G3341">
        <v>7</v>
      </c>
      <c r="H3341" s="7">
        <v>105.69</v>
      </c>
      <c r="I3341" t="s">
        <v>103</v>
      </c>
      <c r="J3341" t="s">
        <v>42</v>
      </c>
      <c r="K3341">
        <v>0</v>
      </c>
      <c r="L3341" s="7">
        <f t="shared" si="157"/>
        <v>739.82999999999993</v>
      </c>
      <c r="M3341" s="7"/>
      <c r="O3341">
        <f t="shared" si="158"/>
        <v>2</v>
      </c>
      <c r="Q3341" t="s">
        <v>104</v>
      </c>
    </row>
    <row r="3342" spans="1:17" x14ac:dyDescent="0.3">
      <c r="A3342" t="s">
        <v>4457</v>
      </c>
      <c r="B3342" s="6">
        <v>45018</v>
      </c>
      <c r="C3342" s="6" t="str">
        <f t="shared" si="156"/>
        <v>Apr</v>
      </c>
      <c r="D3342" t="s">
        <v>1775</v>
      </c>
      <c r="E3342" t="s">
        <v>19</v>
      </c>
      <c r="F3342" t="s">
        <v>932</v>
      </c>
      <c r="G3342">
        <v>2</v>
      </c>
      <c r="H3342" s="7">
        <v>77.709999999999994</v>
      </c>
      <c r="I3342" t="s">
        <v>21</v>
      </c>
      <c r="J3342" t="s">
        <v>42</v>
      </c>
      <c r="K3342">
        <v>10</v>
      </c>
      <c r="L3342" s="7">
        <f t="shared" si="157"/>
        <v>155.41999999999999</v>
      </c>
      <c r="M3342" s="7"/>
      <c r="O3342">
        <f t="shared" si="158"/>
        <v>2</v>
      </c>
      <c r="Q3342" t="s">
        <v>23</v>
      </c>
    </row>
    <row r="3343" spans="1:17" x14ac:dyDescent="0.3">
      <c r="A3343" t="s">
        <v>4458</v>
      </c>
      <c r="B3343" s="6">
        <v>45272</v>
      </c>
      <c r="C3343" s="6" t="str">
        <f t="shared" si="156"/>
        <v>Dec</v>
      </c>
      <c r="D3343" t="s">
        <v>4459</v>
      </c>
      <c r="E3343" t="s">
        <v>31</v>
      </c>
      <c r="F3343" t="s">
        <v>1142</v>
      </c>
      <c r="G3343">
        <v>5</v>
      </c>
      <c r="H3343" s="7">
        <v>428.63</v>
      </c>
      <c r="I3343" t="s">
        <v>46</v>
      </c>
      <c r="J3343" t="s">
        <v>72</v>
      </c>
      <c r="K3343">
        <v>5</v>
      </c>
      <c r="L3343" s="7">
        <f t="shared" si="157"/>
        <v>2143.15</v>
      </c>
      <c r="M3343" s="7"/>
      <c r="O3343">
        <f t="shared" si="158"/>
        <v>2</v>
      </c>
      <c r="Q3343" t="s">
        <v>47</v>
      </c>
    </row>
    <row r="3344" spans="1:17" x14ac:dyDescent="0.3">
      <c r="A3344" t="s">
        <v>4460</v>
      </c>
      <c r="B3344" s="6">
        <v>45124</v>
      </c>
      <c r="C3344" s="6" t="str">
        <f t="shared" si="156"/>
        <v>Jul</v>
      </c>
      <c r="D3344" t="s">
        <v>1305</v>
      </c>
      <c r="E3344" t="s">
        <v>19</v>
      </c>
      <c r="F3344" t="s">
        <v>128</v>
      </c>
      <c r="G3344">
        <v>9</v>
      </c>
      <c r="H3344" s="7">
        <v>252.16</v>
      </c>
      <c r="I3344" t="s">
        <v>21</v>
      </c>
      <c r="J3344" t="s">
        <v>22</v>
      </c>
      <c r="K3344">
        <v>10</v>
      </c>
      <c r="L3344" s="7">
        <f t="shared" si="157"/>
        <v>2269.44</v>
      </c>
      <c r="M3344" s="7"/>
      <c r="O3344">
        <f t="shared" si="158"/>
        <v>2</v>
      </c>
      <c r="Q3344" t="s">
        <v>23</v>
      </c>
    </row>
    <row r="3345" spans="1:17" x14ac:dyDescent="0.3">
      <c r="A3345" t="s">
        <v>4461</v>
      </c>
      <c r="B3345" s="6">
        <v>44935</v>
      </c>
      <c r="C3345" s="6" t="str">
        <f t="shared" si="156"/>
        <v>Jan</v>
      </c>
      <c r="D3345" t="s">
        <v>1737</v>
      </c>
      <c r="E3345" t="s">
        <v>19</v>
      </c>
      <c r="F3345" t="s">
        <v>270</v>
      </c>
      <c r="G3345">
        <v>3</v>
      </c>
      <c r="H3345" s="7">
        <v>97.36</v>
      </c>
      <c r="I3345" t="s">
        <v>21</v>
      </c>
      <c r="J3345" t="s">
        <v>19</v>
      </c>
      <c r="K3345">
        <v>5</v>
      </c>
      <c r="L3345" s="7">
        <f t="shared" si="157"/>
        <v>292.08</v>
      </c>
      <c r="M3345" s="7"/>
      <c r="O3345">
        <f t="shared" si="158"/>
        <v>2</v>
      </c>
      <c r="Q3345" t="s">
        <v>23</v>
      </c>
    </row>
    <row r="3346" spans="1:17" x14ac:dyDescent="0.3">
      <c r="A3346" t="s">
        <v>4462</v>
      </c>
      <c r="B3346" s="6">
        <v>45056</v>
      </c>
      <c r="C3346" s="6" t="str">
        <f t="shared" si="156"/>
        <v>May</v>
      </c>
      <c r="D3346" t="s">
        <v>828</v>
      </c>
      <c r="E3346" t="s">
        <v>50</v>
      </c>
      <c r="F3346" t="s">
        <v>145</v>
      </c>
      <c r="G3346">
        <v>9</v>
      </c>
      <c r="H3346" s="7">
        <v>138.33000000000001</v>
      </c>
      <c r="I3346" t="s">
        <v>21</v>
      </c>
      <c r="J3346" t="s">
        <v>42</v>
      </c>
      <c r="K3346">
        <v>20</v>
      </c>
      <c r="L3346" s="7">
        <f t="shared" si="157"/>
        <v>1244.97</v>
      </c>
      <c r="M3346" s="7"/>
      <c r="O3346">
        <f t="shared" si="158"/>
        <v>2</v>
      </c>
      <c r="Q3346" t="s">
        <v>23</v>
      </c>
    </row>
    <row r="3347" spans="1:17" x14ac:dyDescent="0.3">
      <c r="A3347" t="s">
        <v>4463</v>
      </c>
      <c r="B3347" s="6">
        <v>45205</v>
      </c>
      <c r="C3347" s="6" t="str">
        <f t="shared" si="156"/>
        <v>Oct</v>
      </c>
      <c r="D3347" t="s">
        <v>1065</v>
      </c>
      <c r="E3347" t="s">
        <v>26</v>
      </c>
      <c r="F3347" t="s">
        <v>139</v>
      </c>
      <c r="G3347">
        <v>6</v>
      </c>
      <c r="H3347" s="7">
        <v>401.33</v>
      </c>
      <c r="I3347" t="s">
        <v>19</v>
      </c>
      <c r="J3347" t="s">
        <v>19</v>
      </c>
      <c r="K3347">
        <v>15</v>
      </c>
      <c r="L3347" s="7">
        <f t="shared" si="157"/>
        <v>2407.98</v>
      </c>
      <c r="M3347" s="7"/>
      <c r="O3347">
        <f t="shared" si="158"/>
        <v>2</v>
      </c>
      <c r="Q3347" t="s">
        <v>19</v>
      </c>
    </row>
    <row r="3348" spans="1:17" x14ac:dyDescent="0.3">
      <c r="A3348" t="s">
        <v>4464</v>
      </c>
      <c r="B3348" s="6">
        <v>45248</v>
      </c>
      <c r="C3348" s="6" t="str">
        <f t="shared" si="156"/>
        <v>Nov</v>
      </c>
      <c r="D3348" t="s">
        <v>250</v>
      </c>
      <c r="E3348" t="s">
        <v>40</v>
      </c>
      <c r="F3348" t="s">
        <v>81</v>
      </c>
      <c r="G3348">
        <v>4</v>
      </c>
      <c r="H3348" s="7">
        <v>229.66</v>
      </c>
      <c r="I3348" t="s">
        <v>46</v>
      </c>
      <c r="J3348" t="s">
        <v>87</v>
      </c>
      <c r="K3348">
        <v>15</v>
      </c>
      <c r="L3348" s="7">
        <f t="shared" si="157"/>
        <v>918.64</v>
      </c>
      <c r="M3348" s="7"/>
      <c r="O3348">
        <f t="shared" si="158"/>
        <v>2</v>
      </c>
      <c r="Q3348" t="s">
        <v>47</v>
      </c>
    </row>
    <row r="3349" spans="1:17" x14ac:dyDescent="0.3">
      <c r="A3349" t="s">
        <v>4465</v>
      </c>
      <c r="B3349" s="6">
        <v>45132</v>
      </c>
      <c r="C3349" s="6" t="str">
        <f t="shared" si="156"/>
        <v>Jul</v>
      </c>
      <c r="D3349" t="s">
        <v>2590</v>
      </c>
      <c r="E3349" t="s">
        <v>62</v>
      </c>
      <c r="F3349" t="s">
        <v>696</v>
      </c>
      <c r="G3349">
        <v>7</v>
      </c>
      <c r="H3349" s="7">
        <v>336.92</v>
      </c>
      <c r="I3349" t="s">
        <v>32</v>
      </c>
      <c r="J3349" t="s">
        <v>87</v>
      </c>
      <c r="K3349">
        <v>5</v>
      </c>
      <c r="L3349" s="7">
        <f t="shared" si="157"/>
        <v>2358.44</v>
      </c>
      <c r="M3349" s="7"/>
      <c r="O3349">
        <f t="shared" si="158"/>
        <v>2</v>
      </c>
      <c r="Q3349" t="s">
        <v>33</v>
      </c>
    </row>
    <row r="3350" spans="1:17" x14ac:dyDescent="0.3">
      <c r="A3350" t="s">
        <v>4466</v>
      </c>
      <c r="B3350" s="6">
        <v>44966</v>
      </c>
      <c r="C3350" s="6" t="str">
        <f t="shared" si="156"/>
        <v>Feb</v>
      </c>
      <c r="D3350" t="s">
        <v>1298</v>
      </c>
      <c r="E3350" t="s">
        <v>36</v>
      </c>
      <c r="F3350" t="s">
        <v>284</v>
      </c>
      <c r="G3350">
        <v>8</v>
      </c>
      <c r="H3350" s="7">
        <v>162.58000000000001</v>
      </c>
      <c r="I3350" t="s">
        <v>46</v>
      </c>
      <c r="J3350" t="s">
        <v>72</v>
      </c>
      <c r="K3350">
        <v>0</v>
      </c>
      <c r="L3350" s="7">
        <f t="shared" si="157"/>
        <v>1300.6400000000001</v>
      </c>
      <c r="M3350" s="7"/>
      <c r="O3350">
        <f t="shared" si="158"/>
        <v>2</v>
      </c>
      <c r="Q3350" t="s">
        <v>47</v>
      </c>
    </row>
    <row r="3351" spans="1:17" x14ac:dyDescent="0.3">
      <c r="A3351" t="s">
        <v>4467</v>
      </c>
      <c r="B3351" s="6">
        <v>44956</v>
      </c>
      <c r="C3351" s="6" t="str">
        <f t="shared" si="156"/>
        <v>Jan</v>
      </c>
      <c r="D3351" t="s">
        <v>819</v>
      </c>
      <c r="E3351" t="s">
        <v>31</v>
      </c>
      <c r="F3351" t="s">
        <v>234</v>
      </c>
      <c r="G3351">
        <v>6</v>
      </c>
      <c r="H3351" s="7">
        <v>193.71</v>
      </c>
      <c r="I3351" t="s">
        <v>21</v>
      </c>
      <c r="J3351" t="s">
        <v>72</v>
      </c>
      <c r="K3351">
        <v>5</v>
      </c>
      <c r="L3351" s="7">
        <f t="shared" si="157"/>
        <v>1162.26</v>
      </c>
      <c r="M3351" s="7"/>
      <c r="O3351">
        <f t="shared" si="158"/>
        <v>2</v>
      </c>
      <c r="Q3351" t="s">
        <v>23</v>
      </c>
    </row>
    <row r="3352" spans="1:17" x14ac:dyDescent="0.3">
      <c r="A3352" t="s">
        <v>4468</v>
      </c>
      <c r="B3352" s="6">
        <v>44950</v>
      </c>
      <c r="C3352" s="6" t="str">
        <f t="shared" si="156"/>
        <v>Jan</v>
      </c>
      <c r="D3352" t="s">
        <v>692</v>
      </c>
      <c r="E3352" t="s">
        <v>19</v>
      </c>
      <c r="F3352" t="s">
        <v>205</v>
      </c>
      <c r="G3352">
        <v>5</v>
      </c>
      <c r="H3352" s="7">
        <v>495.4</v>
      </c>
      <c r="I3352" t="s">
        <v>64</v>
      </c>
      <c r="J3352" t="s">
        <v>72</v>
      </c>
      <c r="K3352">
        <v>5</v>
      </c>
      <c r="L3352" s="7">
        <f t="shared" si="157"/>
        <v>2477</v>
      </c>
      <c r="M3352" s="7"/>
      <c r="O3352">
        <f t="shared" si="158"/>
        <v>2</v>
      </c>
      <c r="Q3352" t="s">
        <v>65</v>
      </c>
    </row>
    <row r="3353" spans="1:17" x14ac:dyDescent="0.3">
      <c r="A3353" t="s">
        <v>4469</v>
      </c>
      <c r="B3353" s="6">
        <v>44968</v>
      </c>
      <c r="C3353" s="6" t="str">
        <f t="shared" si="156"/>
        <v>Feb</v>
      </c>
      <c r="D3353" t="s">
        <v>4384</v>
      </c>
      <c r="E3353" t="s">
        <v>40</v>
      </c>
      <c r="F3353" t="s">
        <v>657</v>
      </c>
      <c r="G3353">
        <v>6</v>
      </c>
      <c r="H3353" s="7">
        <v>127.57</v>
      </c>
      <c r="I3353" t="s">
        <v>103</v>
      </c>
      <c r="J3353" t="s">
        <v>72</v>
      </c>
      <c r="K3353">
        <v>15</v>
      </c>
      <c r="L3353" s="7">
        <f t="shared" si="157"/>
        <v>765.42</v>
      </c>
      <c r="M3353" s="7"/>
      <c r="O3353">
        <f t="shared" si="158"/>
        <v>2</v>
      </c>
      <c r="Q3353" t="s">
        <v>104</v>
      </c>
    </row>
    <row r="3354" spans="1:17" x14ac:dyDescent="0.3">
      <c r="A3354" t="s">
        <v>4470</v>
      </c>
      <c r="B3354" s="6">
        <v>45200</v>
      </c>
      <c r="C3354" s="6" t="str">
        <f t="shared" si="156"/>
        <v>Oct</v>
      </c>
      <c r="D3354" t="s">
        <v>1140</v>
      </c>
      <c r="E3354" t="s">
        <v>31</v>
      </c>
      <c r="F3354" t="s">
        <v>182</v>
      </c>
      <c r="G3354">
        <v>5</v>
      </c>
      <c r="H3354" s="7">
        <v>255.7</v>
      </c>
      <c r="I3354" t="s">
        <v>32</v>
      </c>
      <c r="J3354" t="s">
        <v>19</v>
      </c>
      <c r="K3354">
        <v>10</v>
      </c>
      <c r="L3354" s="7">
        <f t="shared" si="157"/>
        <v>1278.5</v>
      </c>
      <c r="M3354" s="7"/>
      <c r="O3354">
        <f t="shared" si="158"/>
        <v>2</v>
      </c>
      <c r="Q3354" t="s">
        <v>33</v>
      </c>
    </row>
    <row r="3355" spans="1:17" x14ac:dyDescent="0.3">
      <c r="A3355" t="s">
        <v>4471</v>
      </c>
      <c r="B3355" s="6">
        <v>45221</v>
      </c>
      <c r="C3355" s="6" t="str">
        <f t="shared" si="156"/>
        <v>Oct</v>
      </c>
      <c r="D3355" t="s">
        <v>275</v>
      </c>
      <c r="E3355" t="s">
        <v>19</v>
      </c>
      <c r="F3355" t="s">
        <v>789</v>
      </c>
      <c r="G3355">
        <v>8</v>
      </c>
      <c r="H3355" s="7">
        <v>422.98</v>
      </c>
      <c r="I3355" t="s">
        <v>32</v>
      </c>
      <c r="J3355" t="s">
        <v>42</v>
      </c>
      <c r="K3355">
        <v>0</v>
      </c>
      <c r="L3355" s="7">
        <f t="shared" si="157"/>
        <v>3383.84</v>
      </c>
      <c r="M3355" s="7"/>
      <c r="O3355">
        <f t="shared" si="158"/>
        <v>4</v>
      </c>
      <c r="Q3355" t="s">
        <v>33</v>
      </c>
    </row>
    <row r="3356" spans="1:17" x14ac:dyDescent="0.3">
      <c r="A3356" t="s">
        <v>4472</v>
      </c>
      <c r="B3356" s="6">
        <v>45112</v>
      </c>
      <c r="C3356" s="6" t="str">
        <f t="shared" si="156"/>
        <v>Jul</v>
      </c>
      <c r="D3356" t="s">
        <v>86</v>
      </c>
      <c r="E3356" t="s">
        <v>62</v>
      </c>
      <c r="F3356" t="s">
        <v>415</v>
      </c>
      <c r="G3356">
        <v>1</v>
      </c>
      <c r="H3356" s="7">
        <v>123.42</v>
      </c>
      <c r="I3356" t="s">
        <v>32</v>
      </c>
      <c r="J3356" t="s">
        <v>87</v>
      </c>
      <c r="K3356">
        <v>15</v>
      </c>
      <c r="L3356" s="7">
        <f t="shared" si="157"/>
        <v>123.42</v>
      </c>
      <c r="M3356" s="7"/>
      <c r="O3356">
        <f t="shared" si="158"/>
        <v>2</v>
      </c>
      <c r="Q3356" t="s">
        <v>33</v>
      </c>
    </row>
    <row r="3357" spans="1:17" x14ac:dyDescent="0.3">
      <c r="A3357" t="s">
        <v>4473</v>
      </c>
      <c r="B3357" s="6">
        <v>45076</v>
      </c>
      <c r="C3357" s="6" t="str">
        <f t="shared" si="156"/>
        <v>May</v>
      </c>
      <c r="D3357" t="s">
        <v>1236</v>
      </c>
      <c r="E3357" t="s">
        <v>19</v>
      </c>
      <c r="F3357" t="s">
        <v>988</v>
      </c>
      <c r="G3357">
        <v>7</v>
      </c>
      <c r="H3357" s="7">
        <v>210.53</v>
      </c>
      <c r="I3357" t="s">
        <v>103</v>
      </c>
      <c r="J3357" t="s">
        <v>87</v>
      </c>
      <c r="K3357">
        <v>10</v>
      </c>
      <c r="L3357" s="7">
        <f t="shared" si="157"/>
        <v>1473.71</v>
      </c>
      <c r="M3357" s="7"/>
      <c r="O3357">
        <f t="shared" si="158"/>
        <v>2</v>
      </c>
      <c r="Q3357" t="s">
        <v>104</v>
      </c>
    </row>
    <row r="3358" spans="1:17" x14ac:dyDescent="0.3">
      <c r="A3358" t="s">
        <v>4474</v>
      </c>
      <c r="B3358" s="6">
        <v>45171</v>
      </c>
      <c r="C3358" s="6" t="str">
        <f t="shared" si="156"/>
        <v>Sep</v>
      </c>
      <c r="D3358" t="s">
        <v>1625</v>
      </c>
      <c r="E3358" t="s">
        <v>26</v>
      </c>
      <c r="F3358" t="s">
        <v>983</v>
      </c>
      <c r="G3358">
        <v>2</v>
      </c>
      <c r="H3358" s="7">
        <v>309.47000000000003</v>
      </c>
      <c r="I3358" t="s">
        <v>32</v>
      </c>
      <c r="J3358" t="s">
        <v>87</v>
      </c>
      <c r="K3358">
        <v>5</v>
      </c>
      <c r="L3358" s="7">
        <f t="shared" si="157"/>
        <v>618.94000000000005</v>
      </c>
      <c r="M3358" s="7"/>
      <c r="O3358">
        <f t="shared" si="158"/>
        <v>2</v>
      </c>
      <c r="Q3358" t="s">
        <v>33</v>
      </c>
    </row>
    <row r="3359" spans="1:17" x14ac:dyDescent="0.3">
      <c r="A3359" t="s">
        <v>4475</v>
      </c>
      <c r="B3359" s="6">
        <v>45055</v>
      </c>
      <c r="C3359" s="6" t="str">
        <f t="shared" si="156"/>
        <v>May</v>
      </c>
      <c r="D3359" t="s">
        <v>1684</v>
      </c>
      <c r="E3359" t="s">
        <v>62</v>
      </c>
      <c r="F3359" t="s">
        <v>231</v>
      </c>
      <c r="G3359">
        <v>9</v>
      </c>
      <c r="H3359" s="7">
        <v>243.19</v>
      </c>
      <c r="I3359" t="s">
        <v>64</v>
      </c>
      <c r="J3359" t="s">
        <v>28</v>
      </c>
      <c r="K3359">
        <v>10</v>
      </c>
      <c r="L3359" s="7">
        <f t="shared" si="157"/>
        <v>2188.71</v>
      </c>
      <c r="M3359" s="7"/>
      <c r="O3359">
        <f t="shared" si="158"/>
        <v>2</v>
      </c>
      <c r="Q3359" t="s">
        <v>65</v>
      </c>
    </row>
    <row r="3360" spans="1:17" x14ac:dyDescent="0.3">
      <c r="A3360" t="s">
        <v>4476</v>
      </c>
      <c r="B3360" s="6">
        <v>45181</v>
      </c>
      <c r="C3360" s="6" t="str">
        <f t="shared" si="156"/>
        <v>Sep</v>
      </c>
      <c r="D3360" t="s">
        <v>2327</v>
      </c>
      <c r="E3360" t="s">
        <v>50</v>
      </c>
      <c r="F3360" t="s">
        <v>217</v>
      </c>
      <c r="G3360">
        <v>1</v>
      </c>
      <c r="H3360" s="7">
        <v>232.45</v>
      </c>
      <c r="I3360" t="s">
        <v>103</v>
      </c>
      <c r="J3360" t="s">
        <v>72</v>
      </c>
      <c r="K3360">
        <v>0</v>
      </c>
      <c r="L3360" s="7">
        <f t="shared" si="157"/>
        <v>232.45</v>
      </c>
      <c r="M3360" s="7"/>
      <c r="O3360">
        <f t="shared" si="158"/>
        <v>2</v>
      </c>
      <c r="Q3360" t="s">
        <v>104</v>
      </c>
    </row>
    <row r="3361" spans="1:17" x14ac:dyDescent="0.3">
      <c r="A3361" t="s">
        <v>4477</v>
      </c>
      <c r="B3361" s="6">
        <v>44987</v>
      </c>
      <c r="C3361" s="6" t="str">
        <f t="shared" si="156"/>
        <v>Mar</v>
      </c>
      <c r="D3361" t="s">
        <v>1247</v>
      </c>
      <c r="E3361" t="s">
        <v>19</v>
      </c>
      <c r="F3361" t="s">
        <v>281</v>
      </c>
      <c r="G3361">
        <v>6</v>
      </c>
      <c r="H3361" s="7">
        <v>184.44</v>
      </c>
      <c r="I3361" t="s">
        <v>32</v>
      </c>
      <c r="J3361" t="s">
        <v>28</v>
      </c>
      <c r="K3361">
        <v>20</v>
      </c>
      <c r="L3361" s="7">
        <f t="shared" si="157"/>
        <v>1106.6399999999999</v>
      </c>
      <c r="M3361" s="7"/>
      <c r="O3361">
        <f t="shared" si="158"/>
        <v>2</v>
      </c>
      <c r="Q3361" t="s">
        <v>33</v>
      </c>
    </row>
    <row r="3362" spans="1:17" x14ac:dyDescent="0.3">
      <c r="A3362" t="s">
        <v>4478</v>
      </c>
      <c r="B3362" s="6">
        <v>45129</v>
      </c>
      <c r="C3362" s="6" t="str">
        <f t="shared" si="156"/>
        <v>Jul</v>
      </c>
      <c r="D3362" t="s">
        <v>3751</v>
      </c>
      <c r="E3362" t="s">
        <v>40</v>
      </c>
      <c r="F3362" t="s">
        <v>469</v>
      </c>
      <c r="G3362">
        <v>9</v>
      </c>
      <c r="H3362" s="7">
        <v>295.39</v>
      </c>
      <c r="I3362" t="s">
        <v>103</v>
      </c>
      <c r="J3362" t="s">
        <v>19</v>
      </c>
      <c r="K3362">
        <v>0</v>
      </c>
      <c r="L3362" s="7">
        <f t="shared" si="157"/>
        <v>2658.5099999999998</v>
      </c>
      <c r="M3362" s="7"/>
      <c r="O3362">
        <f t="shared" si="158"/>
        <v>3</v>
      </c>
      <c r="Q3362" t="s">
        <v>104</v>
      </c>
    </row>
    <row r="3363" spans="1:17" x14ac:dyDescent="0.3">
      <c r="A3363" t="s">
        <v>4479</v>
      </c>
      <c r="B3363" s="6">
        <v>45265</v>
      </c>
      <c r="C3363" s="6" t="str">
        <f t="shared" si="156"/>
        <v>Dec</v>
      </c>
      <c r="D3363" t="s">
        <v>1203</v>
      </c>
      <c r="E3363" t="s">
        <v>50</v>
      </c>
      <c r="F3363" t="s">
        <v>157</v>
      </c>
      <c r="G3363">
        <v>1</v>
      </c>
      <c r="H3363" s="7">
        <v>314.06</v>
      </c>
      <c r="I3363" t="s">
        <v>64</v>
      </c>
      <c r="J3363" t="s">
        <v>19</v>
      </c>
      <c r="K3363">
        <v>0</v>
      </c>
      <c r="L3363" s="7">
        <f t="shared" si="157"/>
        <v>314.06</v>
      </c>
      <c r="M3363" s="7"/>
      <c r="O3363">
        <f t="shared" si="158"/>
        <v>2</v>
      </c>
      <c r="Q3363" t="s">
        <v>65</v>
      </c>
    </row>
    <row r="3364" spans="1:17" x14ac:dyDescent="0.3">
      <c r="A3364" t="s">
        <v>4480</v>
      </c>
      <c r="B3364" s="6">
        <v>45078</v>
      </c>
      <c r="C3364" s="6" t="str">
        <f t="shared" si="156"/>
        <v>Jun</v>
      </c>
      <c r="D3364" t="s">
        <v>391</v>
      </c>
      <c r="E3364" t="s">
        <v>26</v>
      </c>
      <c r="F3364" t="s">
        <v>523</v>
      </c>
      <c r="G3364">
        <v>4</v>
      </c>
      <c r="H3364" s="7">
        <v>328.38</v>
      </c>
      <c r="I3364" t="s">
        <v>103</v>
      </c>
      <c r="J3364" t="s">
        <v>87</v>
      </c>
      <c r="K3364">
        <v>5</v>
      </c>
      <c r="L3364" s="7">
        <f t="shared" si="157"/>
        <v>1313.52</v>
      </c>
      <c r="M3364" s="7"/>
      <c r="O3364">
        <f t="shared" si="158"/>
        <v>2</v>
      </c>
      <c r="Q3364" t="s">
        <v>104</v>
      </c>
    </row>
    <row r="3365" spans="1:17" x14ac:dyDescent="0.3">
      <c r="A3365" t="s">
        <v>4481</v>
      </c>
      <c r="B3365" s="6">
        <v>45284</v>
      </c>
      <c r="C3365" s="6" t="str">
        <f t="shared" si="156"/>
        <v>Dec</v>
      </c>
      <c r="D3365" t="s">
        <v>2244</v>
      </c>
      <c r="E3365" t="s">
        <v>50</v>
      </c>
      <c r="F3365" t="s">
        <v>137</v>
      </c>
      <c r="G3365">
        <v>4</v>
      </c>
      <c r="H3365" s="7">
        <v>39.83</v>
      </c>
      <c r="I3365" t="s">
        <v>46</v>
      </c>
      <c r="J3365" t="s">
        <v>19</v>
      </c>
      <c r="K3365">
        <v>5</v>
      </c>
      <c r="L3365" s="7">
        <f t="shared" si="157"/>
        <v>159.32</v>
      </c>
      <c r="M3365" s="7"/>
      <c r="O3365">
        <f t="shared" si="158"/>
        <v>2</v>
      </c>
      <c r="Q3365" t="s">
        <v>47</v>
      </c>
    </row>
    <row r="3366" spans="1:17" x14ac:dyDescent="0.3">
      <c r="A3366" t="s">
        <v>4482</v>
      </c>
      <c r="B3366" s="6">
        <v>45117</v>
      </c>
      <c r="C3366" s="6" t="str">
        <f t="shared" si="156"/>
        <v>Jul</v>
      </c>
      <c r="D3366" t="s">
        <v>1883</v>
      </c>
      <c r="E3366" t="s">
        <v>31</v>
      </c>
      <c r="F3366" t="s">
        <v>975</v>
      </c>
      <c r="G3366">
        <v>9</v>
      </c>
      <c r="H3366" s="7">
        <v>252.16</v>
      </c>
      <c r="I3366" t="s">
        <v>64</v>
      </c>
      <c r="J3366" t="s">
        <v>72</v>
      </c>
      <c r="K3366">
        <v>20</v>
      </c>
      <c r="L3366" s="7">
        <f t="shared" si="157"/>
        <v>2269.44</v>
      </c>
      <c r="M3366" s="7"/>
      <c r="O3366">
        <f t="shared" si="158"/>
        <v>2</v>
      </c>
      <c r="Q3366" t="s">
        <v>65</v>
      </c>
    </row>
    <row r="3367" spans="1:17" x14ac:dyDescent="0.3">
      <c r="A3367" t="s">
        <v>4483</v>
      </c>
      <c r="B3367" s="6">
        <v>45005</v>
      </c>
      <c r="C3367" s="6" t="str">
        <f t="shared" si="156"/>
        <v>Mar</v>
      </c>
      <c r="D3367" t="s">
        <v>2801</v>
      </c>
      <c r="E3367" t="s">
        <v>40</v>
      </c>
      <c r="F3367" t="s">
        <v>1182</v>
      </c>
      <c r="G3367">
        <v>5</v>
      </c>
      <c r="H3367" s="7">
        <v>476.85</v>
      </c>
      <c r="I3367" t="s">
        <v>19</v>
      </c>
      <c r="J3367" t="s">
        <v>22</v>
      </c>
      <c r="K3367">
        <v>20</v>
      </c>
      <c r="L3367" s="7">
        <f t="shared" si="157"/>
        <v>2384.25</v>
      </c>
      <c r="M3367" s="7"/>
      <c r="O3367">
        <f t="shared" si="158"/>
        <v>2</v>
      </c>
      <c r="Q3367" t="s">
        <v>19</v>
      </c>
    </row>
    <row r="3368" spans="1:17" x14ac:dyDescent="0.3">
      <c r="A3368" t="s">
        <v>4484</v>
      </c>
      <c r="B3368" s="6">
        <v>45241</v>
      </c>
      <c r="C3368" s="6" t="str">
        <f t="shared" si="156"/>
        <v>Nov</v>
      </c>
      <c r="D3368" t="s">
        <v>2059</v>
      </c>
      <c r="E3368" t="s">
        <v>62</v>
      </c>
      <c r="F3368" t="s">
        <v>182</v>
      </c>
      <c r="G3368">
        <v>5</v>
      </c>
      <c r="H3368" s="7">
        <v>272.79000000000002</v>
      </c>
      <c r="I3368" t="s">
        <v>32</v>
      </c>
      <c r="J3368" t="s">
        <v>42</v>
      </c>
      <c r="K3368">
        <v>20</v>
      </c>
      <c r="L3368" s="7">
        <f t="shared" si="157"/>
        <v>1363.95</v>
      </c>
      <c r="M3368" s="7"/>
      <c r="O3368">
        <f t="shared" si="158"/>
        <v>2</v>
      </c>
      <c r="Q3368" t="s">
        <v>33</v>
      </c>
    </row>
    <row r="3369" spans="1:17" x14ac:dyDescent="0.3">
      <c r="A3369" t="s">
        <v>4485</v>
      </c>
      <c r="B3369" s="6">
        <v>45092</v>
      </c>
      <c r="C3369" s="6" t="str">
        <f t="shared" si="156"/>
        <v>Jun</v>
      </c>
      <c r="D3369" t="s">
        <v>546</v>
      </c>
      <c r="E3369" t="s">
        <v>31</v>
      </c>
      <c r="F3369" t="s">
        <v>41</v>
      </c>
      <c r="G3369">
        <v>6</v>
      </c>
      <c r="H3369" s="7">
        <v>359.06</v>
      </c>
      <c r="I3369" t="s">
        <v>103</v>
      </c>
      <c r="J3369" t="s">
        <v>72</v>
      </c>
      <c r="K3369">
        <v>15</v>
      </c>
      <c r="L3369" s="7">
        <f t="shared" si="157"/>
        <v>2154.36</v>
      </c>
      <c r="M3369" s="7"/>
      <c r="O3369">
        <f t="shared" si="158"/>
        <v>2</v>
      </c>
      <c r="Q3369" t="s">
        <v>104</v>
      </c>
    </row>
    <row r="3370" spans="1:17" x14ac:dyDescent="0.3">
      <c r="A3370" t="s">
        <v>4486</v>
      </c>
      <c r="B3370" s="6">
        <v>45289</v>
      </c>
      <c r="C3370" s="6" t="str">
        <f t="shared" si="156"/>
        <v>Dec</v>
      </c>
      <c r="D3370" t="s">
        <v>236</v>
      </c>
      <c r="E3370" t="s">
        <v>40</v>
      </c>
      <c r="F3370" t="s">
        <v>434</v>
      </c>
      <c r="G3370">
        <v>1</v>
      </c>
      <c r="H3370" s="7">
        <v>280.58</v>
      </c>
      <c r="I3370" t="s">
        <v>21</v>
      </c>
      <c r="J3370" t="s">
        <v>28</v>
      </c>
      <c r="K3370">
        <v>15</v>
      </c>
      <c r="L3370" s="7">
        <f t="shared" si="157"/>
        <v>280.58</v>
      </c>
      <c r="M3370" s="7"/>
      <c r="O3370">
        <f t="shared" si="158"/>
        <v>2</v>
      </c>
      <c r="Q3370" t="s">
        <v>23</v>
      </c>
    </row>
    <row r="3371" spans="1:17" x14ac:dyDescent="0.3">
      <c r="A3371" t="s">
        <v>4487</v>
      </c>
      <c r="B3371" s="6">
        <v>45236</v>
      </c>
      <c r="C3371" s="6" t="str">
        <f t="shared" si="156"/>
        <v>Nov</v>
      </c>
      <c r="D3371" t="s">
        <v>725</v>
      </c>
      <c r="E3371" t="s">
        <v>31</v>
      </c>
      <c r="F3371" t="s">
        <v>856</v>
      </c>
      <c r="G3371">
        <v>1</v>
      </c>
      <c r="H3371" s="7">
        <v>428.1</v>
      </c>
      <c r="I3371" t="s">
        <v>19</v>
      </c>
      <c r="J3371" t="s">
        <v>22</v>
      </c>
      <c r="K3371">
        <v>5</v>
      </c>
      <c r="L3371" s="7">
        <f t="shared" si="157"/>
        <v>428.1</v>
      </c>
      <c r="M3371" s="7"/>
      <c r="O3371">
        <f t="shared" si="158"/>
        <v>2</v>
      </c>
      <c r="Q3371" t="s">
        <v>19</v>
      </c>
    </row>
    <row r="3372" spans="1:17" x14ac:dyDescent="0.3">
      <c r="A3372" t="s">
        <v>4488</v>
      </c>
      <c r="B3372" s="6">
        <v>45181</v>
      </c>
      <c r="C3372" s="6" t="str">
        <f t="shared" si="156"/>
        <v>Sep</v>
      </c>
      <c r="D3372" t="s">
        <v>609</v>
      </c>
      <c r="E3372" t="s">
        <v>19</v>
      </c>
      <c r="F3372" t="s">
        <v>51</v>
      </c>
      <c r="G3372">
        <v>5</v>
      </c>
      <c r="H3372" s="7">
        <v>465.14</v>
      </c>
      <c r="I3372" t="s">
        <v>19</v>
      </c>
      <c r="J3372" t="s">
        <v>19</v>
      </c>
      <c r="K3372">
        <v>5</v>
      </c>
      <c r="L3372" s="7">
        <f t="shared" si="157"/>
        <v>2325.6999999999998</v>
      </c>
      <c r="M3372" s="7"/>
      <c r="O3372">
        <f t="shared" si="158"/>
        <v>2</v>
      </c>
      <c r="Q3372" t="s">
        <v>19</v>
      </c>
    </row>
    <row r="3373" spans="1:17" x14ac:dyDescent="0.3">
      <c r="A3373" t="s">
        <v>4489</v>
      </c>
      <c r="B3373" s="6">
        <v>45016</v>
      </c>
      <c r="C3373" s="6" t="str">
        <f t="shared" si="156"/>
        <v>Mar</v>
      </c>
      <c r="D3373" t="s">
        <v>830</v>
      </c>
      <c r="E3373" t="s">
        <v>31</v>
      </c>
      <c r="F3373" t="s">
        <v>662</v>
      </c>
      <c r="G3373">
        <v>3</v>
      </c>
      <c r="H3373" s="7">
        <v>96.19</v>
      </c>
      <c r="I3373" t="s">
        <v>21</v>
      </c>
      <c r="J3373" t="s">
        <v>19</v>
      </c>
      <c r="K3373">
        <v>20</v>
      </c>
      <c r="L3373" s="7">
        <f t="shared" si="157"/>
        <v>288.57</v>
      </c>
      <c r="M3373" s="7"/>
      <c r="O3373">
        <f t="shared" si="158"/>
        <v>2</v>
      </c>
      <c r="Q3373" t="s">
        <v>23</v>
      </c>
    </row>
    <row r="3374" spans="1:17" x14ac:dyDescent="0.3">
      <c r="A3374" t="s">
        <v>4490</v>
      </c>
      <c r="B3374" s="6">
        <v>44927</v>
      </c>
      <c r="C3374" s="6" t="str">
        <f t="shared" si="156"/>
        <v>Jan</v>
      </c>
      <c r="D3374" t="s">
        <v>2222</v>
      </c>
      <c r="E3374" t="s">
        <v>19</v>
      </c>
      <c r="F3374" t="s">
        <v>706</v>
      </c>
      <c r="G3374">
        <v>4</v>
      </c>
      <c r="H3374" s="7">
        <v>221.25</v>
      </c>
      <c r="I3374" t="s">
        <v>103</v>
      </c>
      <c r="J3374" t="s">
        <v>42</v>
      </c>
      <c r="K3374">
        <v>15</v>
      </c>
      <c r="L3374" s="7">
        <f t="shared" si="157"/>
        <v>885</v>
      </c>
      <c r="M3374" s="7"/>
      <c r="O3374">
        <f t="shared" si="158"/>
        <v>2</v>
      </c>
      <c r="Q3374" t="s">
        <v>104</v>
      </c>
    </row>
    <row r="3375" spans="1:17" x14ac:dyDescent="0.3">
      <c r="A3375" t="s">
        <v>4491</v>
      </c>
      <c r="B3375" s="6">
        <v>45040</v>
      </c>
      <c r="C3375" s="6" t="str">
        <f t="shared" si="156"/>
        <v>Apr</v>
      </c>
      <c r="D3375" t="s">
        <v>1418</v>
      </c>
      <c r="E3375" t="s">
        <v>36</v>
      </c>
      <c r="F3375" t="s">
        <v>263</v>
      </c>
      <c r="G3375">
        <v>1</v>
      </c>
      <c r="H3375" s="7">
        <v>199.23</v>
      </c>
      <c r="I3375" t="s">
        <v>103</v>
      </c>
      <c r="J3375" t="s">
        <v>22</v>
      </c>
      <c r="K3375">
        <v>10</v>
      </c>
      <c r="L3375" s="7">
        <f t="shared" si="157"/>
        <v>199.23</v>
      </c>
      <c r="M3375" s="7"/>
      <c r="O3375">
        <f t="shared" si="158"/>
        <v>2</v>
      </c>
      <c r="Q3375" t="s">
        <v>104</v>
      </c>
    </row>
    <row r="3376" spans="1:17" x14ac:dyDescent="0.3">
      <c r="A3376" t="s">
        <v>4492</v>
      </c>
      <c r="B3376" s="6">
        <v>45016</v>
      </c>
      <c r="C3376" s="6" t="str">
        <f t="shared" si="156"/>
        <v>Mar</v>
      </c>
      <c r="D3376" t="s">
        <v>1968</v>
      </c>
      <c r="E3376" t="s">
        <v>36</v>
      </c>
      <c r="F3376" t="s">
        <v>708</v>
      </c>
      <c r="G3376">
        <v>9</v>
      </c>
      <c r="H3376" s="7">
        <v>205.58</v>
      </c>
      <c r="I3376" t="s">
        <v>46</v>
      </c>
      <c r="J3376" t="s">
        <v>87</v>
      </c>
      <c r="K3376">
        <v>15</v>
      </c>
      <c r="L3376" s="7">
        <f t="shared" si="157"/>
        <v>1850.22</v>
      </c>
      <c r="M3376" s="7"/>
      <c r="O3376">
        <f t="shared" si="158"/>
        <v>2</v>
      </c>
      <c r="Q3376" t="s">
        <v>47</v>
      </c>
    </row>
    <row r="3377" spans="1:17" x14ac:dyDescent="0.3">
      <c r="A3377" t="s">
        <v>4493</v>
      </c>
      <c r="B3377" s="6">
        <v>44949</v>
      </c>
      <c r="C3377" s="6" t="str">
        <f t="shared" si="156"/>
        <v>Jan</v>
      </c>
      <c r="D3377" t="s">
        <v>1916</v>
      </c>
      <c r="E3377" t="s">
        <v>40</v>
      </c>
      <c r="F3377" t="s">
        <v>341</v>
      </c>
      <c r="G3377">
        <v>8</v>
      </c>
      <c r="H3377" s="7">
        <v>67.13</v>
      </c>
      <c r="I3377" t="s">
        <v>21</v>
      </c>
      <c r="J3377" t="s">
        <v>28</v>
      </c>
      <c r="K3377">
        <v>5</v>
      </c>
      <c r="L3377" s="7">
        <f t="shared" si="157"/>
        <v>537.04</v>
      </c>
      <c r="M3377" s="7"/>
      <c r="O3377">
        <f t="shared" si="158"/>
        <v>2</v>
      </c>
      <c r="Q3377" t="s">
        <v>23</v>
      </c>
    </row>
    <row r="3378" spans="1:17" x14ac:dyDescent="0.3">
      <c r="A3378" t="s">
        <v>4494</v>
      </c>
      <c r="B3378" s="6">
        <v>45220</v>
      </c>
      <c r="C3378" s="6" t="str">
        <f t="shared" si="156"/>
        <v>Oct</v>
      </c>
      <c r="D3378" t="s">
        <v>440</v>
      </c>
      <c r="E3378" t="s">
        <v>62</v>
      </c>
      <c r="F3378" t="s">
        <v>267</v>
      </c>
      <c r="G3378">
        <v>2</v>
      </c>
      <c r="H3378" s="7">
        <v>407.74</v>
      </c>
      <c r="I3378" t="s">
        <v>21</v>
      </c>
      <c r="J3378" t="s">
        <v>87</v>
      </c>
      <c r="K3378">
        <v>15</v>
      </c>
      <c r="L3378" s="7">
        <f t="shared" si="157"/>
        <v>815.48</v>
      </c>
      <c r="M3378" s="7"/>
      <c r="O3378">
        <f t="shared" si="158"/>
        <v>2</v>
      </c>
      <c r="Q3378" t="s">
        <v>23</v>
      </c>
    </row>
    <row r="3379" spans="1:17" x14ac:dyDescent="0.3">
      <c r="A3379" t="s">
        <v>4495</v>
      </c>
      <c r="B3379" s="6">
        <v>45290</v>
      </c>
      <c r="C3379" s="6" t="str">
        <f t="shared" si="156"/>
        <v>Dec</v>
      </c>
      <c r="D3379" t="s">
        <v>490</v>
      </c>
      <c r="E3379" t="s">
        <v>19</v>
      </c>
      <c r="F3379" t="s">
        <v>176</v>
      </c>
      <c r="G3379">
        <v>8</v>
      </c>
      <c r="H3379" s="7">
        <v>22.7</v>
      </c>
      <c r="I3379" t="s">
        <v>46</v>
      </c>
      <c r="J3379" t="s">
        <v>22</v>
      </c>
      <c r="K3379">
        <v>5</v>
      </c>
      <c r="L3379" s="7">
        <f t="shared" si="157"/>
        <v>181.6</v>
      </c>
      <c r="M3379" s="7"/>
      <c r="O3379">
        <f t="shared" si="158"/>
        <v>2</v>
      </c>
      <c r="Q3379" t="s">
        <v>47</v>
      </c>
    </row>
    <row r="3380" spans="1:17" x14ac:dyDescent="0.3">
      <c r="A3380" t="s">
        <v>4496</v>
      </c>
      <c r="B3380" s="6">
        <v>45138</v>
      </c>
      <c r="C3380" s="6" t="str">
        <f t="shared" si="156"/>
        <v>Jul</v>
      </c>
      <c r="D3380" t="s">
        <v>1060</v>
      </c>
      <c r="E3380" t="s">
        <v>62</v>
      </c>
      <c r="F3380" t="s">
        <v>1568</v>
      </c>
      <c r="G3380">
        <v>7</v>
      </c>
      <c r="H3380" s="7">
        <v>266.47000000000003</v>
      </c>
      <c r="I3380" t="s">
        <v>46</v>
      </c>
      <c r="J3380" t="s">
        <v>87</v>
      </c>
      <c r="K3380">
        <v>20</v>
      </c>
      <c r="L3380" s="7">
        <f t="shared" si="157"/>
        <v>1865.2900000000002</v>
      </c>
      <c r="M3380" s="7"/>
      <c r="O3380">
        <f t="shared" si="158"/>
        <v>2</v>
      </c>
      <c r="Q3380" t="s">
        <v>47</v>
      </c>
    </row>
    <row r="3381" spans="1:17" x14ac:dyDescent="0.3">
      <c r="A3381" t="s">
        <v>4497</v>
      </c>
      <c r="B3381" s="6">
        <v>45191</v>
      </c>
      <c r="C3381" s="6" t="str">
        <f t="shared" si="156"/>
        <v>Sep</v>
      </c>
      <c r="D3381" t="s">
        <v>1116</v>
      </c>
      <c r="E3381" t="s">
        <v>19</v>
      </c>
      <c r="F3381" t="s">
        <v>722</v>
      </c>
      <c r="G3381">
        <v>5</v>
      </c>
      <c r="H3381" s="7">
        <v>332.63</v>
      </c>
      <c r="I3381" t="s">
        <v>19</v>
      </c>
      <c r="J3381" t="s">
        <v>22</v>
      </c>
      <c r="K3381">
        <v>20</v>
      </c>
      <c r="L3381" s="7">
        <f t="shared" si="157"/>
        <v>1663.15</v>
      </c>
      <c r="M3381" s="7"/>
      <c r="O3381">
        <f t="shared" si="158"/>
        <v>2</v>
      </c>
      <c r="Q3381" t="s">
        <v>19</v>
      </c>
    </row>
    <row r="3382" spans="1:17" x14ac:dyDescent="0.3">
      <c r="A3382" t="s">
        <v>4498</v>
      </c>
      <c r="B3382" s="6">
        <v>45269</v>
      </c>
      <c r="C3382" s="6" t="str">
        <f t="shared" si="156"/>
        <v>Dec</v>
      </c>
      <c r="D3382" t="s">
        <v>650</v>
      </c>
      <c r="E3382" t="s">
        <v>50</v>
      </c>
      <c r="F3382" t="s">
        <v>598</v>
      </c>
      <c r="G3382">
        <v>1</v>
      </c>
      <c r="H3382" s="7">
        <v>107.7</v>
      </c>
      <c r="I3382" t="s">
        <v>103</v>
      </c>
      <c r="J3382" t="s">
        <v>42</v>
      </c>
      <c r="K3382">
        <v>20</v>
      </c>
      <c r="L3382" s="7">
        <f t="shared" si="157"/>
        <v>107.7</v>
      </c>
      <c r="M3382" s="7"/>
      <c r="O3382">
        <f t="shared" si="158"/>
        <v>2</v>
      </c>
      <c r="Q3382" t="s">
        <v>104</v>
      </c>
    </row>
    <row r="3383" spans="1:17" x14ac:dyDescent="0.3">
      <c r="A3383" t="s">
        <v>4499</v>
      </c>
      <c r="B3383" s="6">
        <v>44999</v>
      </c>
      <c r="C3383" s="6" t="str">
        <f t="shared" si="156"/>
        <v>Mar</v>
      </c>
      <c r="D3383" t="s">
        <v>245</v>
      </c>
      <c r="E3383" t="s">
        <v>50</v>
      </c>
      <c r="F3383" t="s">
        <v>432</v>
      </c>
      <c r="G3383">
        <v>7</v>
      </c>
      <c r="H3383" s="7">
        <v>453.4</v>
      </c>
      <c r="I3383" t="s">
        <v>19</v>
      </c>
      <c r="J3383" t="s">
        <v>19</v>
      </c>
      <c r="K3383">
        <v>10</v>
      </c>
      <c r="L3383" s="7">
        <f t="shared" si="157"/>
        <v>3173.7999999999997</v>
      </c>
      <c r="M3383" s="7"/>
      <c r="O3383">
        <f t="shared" si="158"/>
        <v>4</v>
      </c>
      <c r="Q3383" t="s">
        <v>19</v>
      </c>
    </row>
    <row r="3384" spans="1:17" x14ac:dyDescent="0.3">
      <c r="A3384" t="s">
        <v>4500</v>
      </c>
      <c r="B3384" s="6">
        <v>45288</v>
      </c>
      <c r="C3384" s="6" t="str">
        <f t="shared" si="156"/>
        <v>Dec</v>
      </c>
      <c r="D3384" t="s">
        <v>1492</v>
      </c>
      <c r="E3384" t="s">
        <v>40</v>
      </c>
      <c r="F3384" t="s">
        <v>1182</v>
      </c>
      <c r="G3384">
        <v>7</v>
      </c>
      <c r="H3384" s="7">
        <v>420.08</v>
      </c>
      <c r="I3384" t="s">
        <v>64</v>
      </c>
      <c r="J3384" t="s">
        <v>28</v>
      </c>
      <c r="K3384">
        <v>10</v>
      </c>
      <c r="L3384" s="7">
        <f t="shared" si="157"/>
        <v>2940.56</v>
      </c>
      <c r="M3384" s="7"/>
      <c r="O3384">
        <f t="shared" si="158"/>
        <v>3</v>
      </c>
      <c r="Q3384" t="s">
        <v>65</v>
      </c>
    </row>
    <row r="3385" spans="1:17" x14ac:dyDescent="0.3">
      <c r="A3385" t="s">
        <v>4501</v>
      </c>
      <c r="B3385" s="6">
        <v>45252</v>
      </c>
      <c r="C3385" s="6" t="str">
        <f t="shared" si="156"/>
        <v>Nov</v>
      </c>
      <c r="D3385" t="s">
        <v>2048</v>
      </c>
      <c r="E3385" t="s">
        <v>19</v>
      </c>
      <c r="F3385" t="s">
        <v>1851</v>
      </c>
      <c r="G3385">
        <v>9</v>
      </c>
      <c r="H3385" s="7">
        <v>238.19</v>
      </c>
      <c r="I3385" t="s">
        <v>21</v>
      </c>
      <c r="J3385" t="s">
        <v>22</v>
      </c>
      <c r="K3385">
        <v>5</v>
      </c>
      <c r="L3385" s="7">
        <f t="shared" si="157"/>
        <v>2143.71</v>
      </c>
      <c r="M3385" s="7"/>
      <c r="O3385">
        <f t="shared" si="158"/>
        <v>2</v>
      </c>
      <c r="Q3385" t="s">
        <v>23</v>
      </c>
    </row>
    <row r="3386" spans="1:17" x14ac:dyDescent="0.3">
      <c r="A3386" t="s">
        <v>4502</v>
      </c>
      <c r="B3386" s="6">
        <v>45099</v>
      </c>
      <c r="C3386" s="6" t="str">
        <f t="shared" si="156"/>
        <v>Jun</v>
      </c>
      <c r="D3386" t="s">
        <v>1759</v>
      </c>
      <c r="E3386" t="s">
        <v>62</v>
      </c>
      <c r="F3386" t="s">
        <v>350</v>
      </c>
      <c r="G3386">
        <v>1</v>
      </c>
      <c r="H3386" s="7">
        <v>208.52</v>
      </c>
      <c r="I3386" t="s">
        <v>64</v>
      </c>
      <c r="J3386" t="s">
        <v>19</v>
      </c>
      <c r="K3386">
        <v>0</v>
      </c>
      <c r="L3386" s="7">
        <f t="shared" si="157"/>
        <v>208.52</v>
      </c>
      <c r="M3386" s="7"/>
      <c r="O3386">
        <f t="shared" si="158"/>
        <v>2</v>
      </c>
      <c r="Q3386" t="s">
        <v>65</v>
      </c>
    </row>
    <row r="3387" spans="1:17" x14ac:dyDescent="0.3">
      <c r="A3387" t="s">
        <v>4503</v>
      </c>
      <c r="B3387" s="6">
        <v>45123</v>
      </c>
      <c r="C3387" s="6" t="str">
        <f t="shared" si="156"/>
        <v>Jul</v>
      </c>
      <c r="D3387" t="s">
        <v>4380</v>
      </c>
      <c r="E3387" t="s">
        <v>62</v>
      </c>
      <c r="F3387" t="s">
        <v>134</v>
      </c>
      <c r="G3387">
        <v>2</v>
      </c>
      <c r="H3387" s="7">
        <v>122.1</v>
      </c>
      <c r="I3387" t="s">
        <v>46</v>
      </c>
      <c r="J3387" t="s">
        <v>72</v>
      </c>
      <c r="K3387">
        <v>10</v>
      </c>
      <c r="L3387" s="7">
        <f t="shared" si="157"/>
        <v>244.2</v>
      </c>
      <c r="M3387" s="7"/>
      <c r="O3387">
        <f t="shared" si="158"/>
        <v>2</v>
      </c>
      <c r="Q3387" t="s">
        <v>47</v>
      </c>
    </row>
    <row r="3388" spans="1:17" x14ac:dyDescent="0.3">
      <c r="A3388" t="s">
        <v>4504</v>
      </c>
      <c r="B3388" s="6">
        <v>44931</v>
      </c>
      <c r="C3388" s="6" t="str">
        <f t="shared" si="156"/>
        <v>Jan</v>
      </c>
      <c r="D3388" t="s">
        <v>774</v>
      </c>
      <c r="E3388" t="s">
        <v>50</v>
      </c>
      <c r="F3388" t="s">
        <v>861</v>
      </c>
      <c r="G3388">
        <v>9</v>
      </c>
      <c r="H3388" s="7">
        <v>366.35</v>
      </c>
      <c r="I3388" t="s">
        <v>46</v>
      </c>
      <c r="J3388" t="s">
        <v>22</v>
      </c>
      <c r="K3388">
        <v>10</v>
      </c>
      <c r="L3388" s="7">
        <f t="shared" si="157"/>
        <v>3297.15</v>
      </c>
      <c r="M3388" s="7"/>
      <c r="O3388">
        <f t="shared" si="158"/>
        <v>4</v>
      </c>
      <c r="Q3388" t="s">
        <v>47</v>
      </c>
    </row>
    <row r="3389" spans="1:17" x14ac:dyDescent="0.3">
      <c r="A3389" t="s">
        <v>4505</v>
      </c>
      <c r="B3389" s="6">
        <v>45084</v>
      </c>
      <c r="C3389" s="6" t="str">
        <f t="shared" si="156"/>
        <v>Jun</v>
      </c>
      <c r="D3389" t="s">
        <v>315</v>
      </c>
      <c r="E3389" t="s">
        <v>26</v>
      </c>
      <c r="F3389" t="s">
        <v>1142</v>
      </c>
      <c r="G3389">
        <v>9</v>
      </c>
      <c r="H3389" s="7">
        <v>70.209999999999994</v>
      </c>
      <c r="I3389" t="s">
        <v>64</v>
      </c>
      <c r="J3389" t="s">
        <v>19</v>
      </c>
      <c r="K3389">
        <v>5</v>
      </c>
      <c r="L3389" s="7">
        <f t="shared" si="157"/>
        <v>631.89</v>
      </c>
      <c r="M3389" s="7"/>
      <c r="O3389">
        <f t="shared" si="158"/>
        <v>2</v>
      </c>
      <c r="Q3389" t="s">
        <v>65</v>
      </c>
    </row>
    <row r="3390" spans="1:17" x14ac:dyDescent="0.3">
      <c r="A3390" t="s">
        <v>4506</v>
      </c>
      <c r="B3390" s="6">
        <v>45115</v>
      </c>
      <c r="C3390" s="6" t="str">
        <f t="shared" si="156"/>
        <v>Jul</v>
      </c>
      <c r="D3390" t="s">
        <v>3325</v>
      </c>
      <c r="E3390" t="s">
        <v>50</v>
      </c>
      <c r="F3390" t="s">
        <v>1182</v>
      </c>
      <c r="G3390">
        <v>6</v>
      </c>
      <c r="H3390" s="7">
        <v>341.72</v>
      </c>
      <c r="I3390" t="s">
        <v>21</v>
      </c>
      <c r="J3390" t="s">
        <v>87</v>
      </c>
      <c r="K3390">
        <v>15</v>
      </c>
      <c r="L3390" s="7">
        <f t="shared" si="157"/>
        <v>2050.3200000000002</v>
      </c>
      <c r="M3390" s="7"/>
      <c r="O3390">
        <f t="shared" si="158"/>
        <v>2</v>
      </c>
      <c r="Q3390" t="s">
        <v>23</v>
      </c>
    </row>
    <row r="3391" spans="1:17" x14ac:dyDescent="0.3">
      <c r="A3391" t="s">
        <v>4507</v>
      </c>
      <c r="B3391" s="6">
        <v>45010</v>
      </c>
      <c r="C3391" s="6" t="str">
        <f t="shared" si="156"/>
        <v>Mar</v>
      </c>
      <c r="D3391" t="s">
        <v>1603</v>
      </c>
      <c r="E3391" t="s">
        <v>36</v>
      </c>
      <c r="F3391" t="s">
        <v>298</v>
      </c>
      <c r="G3391">
        <v>5</v>
      </c>
      <c r="H3391" s="7">
        <v>422.02</v>
      </c>
      <c r="I3391" t="s">
        <v>32</v>
      </c>
      <c r="J3391" t="s">
        <v>22</v>
      </c>
      <c r="K3391">
        <v>20</v>
      </c>
      <c r="L3391" s="7">
        <f t="shared" si="157"/>
        <v>2110.1</v>
      </c>
      <c r="M3391" s="7"/>
      <c r="O3391">
        <f t="shared" si="158"/>
        <v>2</v>
      </c>
      <c r="Q3391" t="s">
        <v>33</v>
      </c>
    </row>
    <row r="3392" spans="1:17" x14ac:dyDescent="0.3">
      <c r="A3392" t="s">
        <v>4508</v>
      </c>
      <c r="B3392" s="6">
        <v>45291</v>
      </c>
      <c r="C3392" s="6" t="str">
        <f t="shared" si="156"/>
        <v>Dec</v>
      </c>
      <c r="D3392" t="s">
        <v>312</v>
      </c>
      <c r="E3392" t="s">
        <v>36</v>
      </c>
      <c r="F3392" t="s">
        <v>375</v>
      </c>
      <c r="G3392">
        <v>4</v>
      </c>
      <c r="H3392" s="7">
        <v>118.09</v>
      </c>
      <c r="I3392" t="s">
        <v>46</v>
      </c>
      <c r="J3392" t="s">
        <v>42</v>
      </c>
      <c r="K3392">
        <v>20</v>
      </c>
      <c r="L3392" s="7">
        <f t="shared" si="157"/>
        <v>472.36</v>
      </c>
      <c r="M3392" s="7"/>
      <c r="O3392">
        <f t="shared" si="158"/>
        <v>2</v>
      </c>
      <c r="Q3392" t="s">
        <v>47</v>
      </c>
    </row>
    <row r="3393" spans="1:17" x14ac:dyDescent="0.3">
      <c r="A3393" t="s">
        <v>4509</v>
      </c>
      <c r="B3393" s="6">
        <v>45157</v>
      </c>
      <c r="C3393" s="6" t="str">
        <f t="shared" si="156"/>
        <v>Aug</v>
      </c>
      <c r="D3393" t="s">
        <v>692</v>
      </c>
      <c r="E3393" t="s">
        <v>50</v>
      </c>
      <c r="F3393" t="s">
        <v>198</v>
      </c>
      <c r="G3393">
        <v>4</v>
      </c>
      <c r="H3393" s="7">
        <v>433.88</v>
      </c>
      <c r="I3393" t="s">
        <v>46</v>
      </c>
      <c r="J3393" t="s">
        <v>87</v>
      </c>
      <c r="K3393">
        <v>20</v>
      </c>
      <c r="L3393" s="7">
        <f t="shared" si="157"/>
        <v>1735.52</v>
      </c>
      <c r="M3393" s="7"/>
      <c r="O3393">
        <f t="shared" si="158"/>
        <v>2</v>
      </c>
      <c r="Q3393" t="s">
        <v>47</v>
      </c>
    </row>
    <row r="3394" spans="1:17" x14ac:dyDescent="0.3">
      <c r="A3394" t="s">
        <v>4510</v>
      </c>
      <c r="B3394" s="6">
        <v>45135</v>
      </c>
      <c r="C3394" s="6" t="str">
        <f t="shared" si="156"/>
        <v>Jul</v>
      </c>
      <c r="D3394" t="s">
        <v>824</v>
      </c>
      <c r="E3394" t="s">
        <v>62</v>
      </c>
      <c r="F3394" t="s">
        <v>59</v>
      </c>
      <c r="G3394">
        <v>5</v>
      </c>
      <c r="H3394" s="7">
        <v>21.49</v>
      </c>
      <c r="I3394" t="s">
        <v>21</v>
      </c>
      <c r="J3394" t="s">
        <v>87</v>
      </c>
      <c r="K3394">
        <v>5</v>
      </c>
      <c r="L3394" s="7">
        <f t="shared" si="157"/>
        <v>107.44999999999999</v>
      </c>
      <c r="M3394" s="7"/>
      <c r="O3394">
        <f t="shared" si="158"/>
        <v>2</v>
      </c>
      <c r="Q3394" t="s">
        <v>23</v>
      </c>
    </row>
    <row r="3395" spans="1:17" x14ac:dyDescent="0.3">
      <c r="A3395" t="s">
        <v>4511</v>
      </c>
      <c r="B3395" s="6">
        <v>45214</v>
      </c>
      <c r="C3395" s="6" t="str">
        <f t="shared" ref="C3395:C3458" si="159">TEXT(B3395,"MMM")</f>
        <v>Oct</v>
      </c>
      <c r="D3395" t="s">
        <v>3009</v>
      </c>
      <c r="E3395" t="s">
        <v>50</v>
      </c>
      <c r="F3395" t="s">
        <v>420</v>
      </c>
      <c r="G3395">
        <v>3</v>
      </c>
      <c r="H3395" s="7">
        <v>456.83</v>
      </c>
      <c r="I3395" t="s">
        <v>46</v>
      </c>
      <c r="J3395" t="s">
        <v>28</v>
      </c>
      <c r="K3395">
        <v>20</v>
      </c>
      <c r="L3395" s="7">
        <f t="shared" ref="L3395:L3458" si="160">G3395*H3395</f>
        <v>1370.49</v>
      </c>
      <c r="M3395" s="7"/>
      <c r="O3395">
        <f t="shared" si="158"/>
        <v>2</v>
      </c>
      <c r="Q3395" t="s">
        <v>47</v>
      </c>
    </row>
    <row r="3396" spans="1:17" x14ac:dyDescent="0.3">
      <c r="A3396" t="s">
        <v>4512</v>
      </c>
      <c r="B3396" s="6">
        <v>45196</v>
      </c>
      <c r="C3396" s="6" t="str">
        <f t="shared" si="159"/>
        <v>Sep</v>
      </c>
      <c r="D3396" t="s">
        <v>1114</v>
      </c>
      <c r="E3396" t="s">
        <v>50</v>
      </c>
      <c r="F3396" t="s">
        <v>289</v>
      </c>
      <c r="G3396">
        <v>1</v>
      </c>
      <c r="H3396" s="7">
        <v>63.59</v>
      </c>
      <c r="I3396" t="s">
        <v>64</v>
      </c>
      <c r="J3396" t="s">
        <v>87</v>
      </c>
      <c r="K3396">
        <v>10</v>
      </c>
      <c r="L3396" s="7">
        <f t="shared" si="160"/>
        <v>63.59</v>
      </c>
      <c r="M3396" s="7"/>
      <c r="O3396">
        <f t="shared" ref="O3396:O3459" si="161">IF(L3396&gt;3500,5,IF(L3396&gt;3000,4,IF(L3396&gt;2500,3,IF(L3396&gt;2000,2,IF(L3396&gt;1000,2,2)))))</f>
        <v>2</v>
      </c>
      <c r="Q3396" t="s">
        <v>65</v>
      </c>
    </row>
    <row r="3397" spans="1:17" x14ac:dyDescent="0.3">
      <c r="A3397" t="s">
        <v>4513</v>
      </c>
      <c r="B3397" s="6">
        <v>44964</v>
      </c>
      <c r="C3397" s="6" t="str">
        <f t="shared" si="159"/>
        <v>Feb</v>
      </c>
      <c r="D3397" t="s">
        <v>127</v>
      </c>
      <c r="E3397" t="s">
        <v>31</v>
      </c>
      <c r="F3397" t="s">
        <v>214</v>
      </c>
      <c r="G3397">
        <v>1</v>
      </c>
      <c r="H3397" s="7">
        <v>324.64999999999998</v>
      </c>
      <c r="I3397" t="s">
        <v>64</v>
      </c>
      <c r="J3397" t="s">
        <v>87</v>
      </c>
      <c r="K3397">
        <v>15</v>
      </c>
      <c r="L3397" s="7">
        <f t="shared" si="160"/>
        <v>324.64999999999998</v>
      </c>
      <c r="M3397" s="7"/>
      <c r="O3397">
        <f t="shared" si="161"/>
        <v>2</v>
      </c>
      <c r="Q3397" t="s">
        <v>65</v>
      </c>
    </row>
    <row r="3398" spans="1:17" x14ac:dyDescent="0.3">
      <c r="A3398" t="s">
        <v>4514</v>
      </c>
      <c r="B3398" s="6">
        <v>45000</v>
      </c>
      <c r="C3398" s="6" t="str">
        <f t="shared" si="159"/>
        <v>Mar</v>
      </c>
      <c r="D3398" t="s">
        <v>3391</v>
      </c>
      <c r="E3398" t="s">
        <v>19</v>
      </c>
      <c r="F3398" t="s">
        <v>270</v>
      </c>
      <c r="G3398">
        <v>7</v>
      </c>
      <c r="H3398" s="7">
        <v>128.79</v>
      </c>
      <c r="I3398" t="s">
        <v>46</v>
      </c>
      <c r="J3398" t="s">
        <v>19</v>
      </c>
      <c r="K3398">
        <v>20</v>
      </c>
      <c r="L3398" s="7">
        <f t="shared" si="160"/>
        <v>901.53</v>
      </c>
      <c r="M3398" s="7"/>
      <c r="O3398">
        <f t="shared" si="161"/>
        <v>2</v>
      </c>
      <c r="Q3398" t="s">
        <v>47</v>
      </c>
    </row>
    <row r="3399" spans="1:17" x14ac:dyDescent="0.3">
      <c r="A3399" t="s">
        <v>4515</v>
      </c>
      <c r="B3399" s="6">
        <v>45292</v>
      </c>
      <c r="C3399" s="6" t="str">
        <f t="shared" si="159"/>
        <v>Jan</v>
      </c>
      <c r="D3399" t="s">
        <v>3565</v>
      </c>
      <c r="E3399" t="s">
        <v>62</v>
      </c>
      <c r="F3399" t="s">
        <v>538</v>
      </c>
      <c r="G3399">
        <v>1</v>
      </c>
      <c r="H3399" s="7">
        <v>419.09</v>
      </c>
      <c r="I3399" t="s">
        <v>64</v>
      </c>
      <c r="J3399" t="s">
        <v>72</v>
      </c>
      <c r="K3399">
        <v>5</v>
      </c>
      <c r="L3399" s="7">
        <f t="shared" si="160"/>
        <v>419.09</v>
      </c>
      <c r="M3399" s="7"/>
      <c r="O3399">
        <f t="shared" si="161"/>
        <v>2</v>
      </c>
      <c r="Q3399" t="s">
        <v>65</v>
      </c>
    </row>
    <row r="3400" spans="1:17" x14ac:dyDescent="0.3">
      <c r="A3400" t="s">
        <v>4516</v>
      </c>
      <c r="B3400" s="6">
        <v>44953</v>
      </c>
      <c r="C3400" s="6" t="str">
        <f t="shared" si="159"/>
        <v>Jan</v>
      </c>
      <c r="D3400" t="s">
        <v>1093</v>
      </c>
      <c r="E3400" t="s">
        <v>62</v>
      </c>
      <c r="F3400" t="s">
        <v>102</v>
      </c>
      <c r="G3400">
        <v>1</v>
      </c>
      <c r="H3400" s="7">
        <v>258.58999999999997</v>
      </c>
      <c r="I3400" t="s">
        <v>21</v>
      </c>
      <c r="J3400" t="s">
        <v>22</v>
      </c>
      <c r="K3400">
        <v>15</v>
      </c>
      <c r="L3400" s="7">
        <f t="shared" si="160"/>
        <v>258.58999999999997</v>
      </c>
      <c r="M3400" s="7"/>
      <c r="O3400">
        <f t="shared" si="161"/>
        <v>2</v>
      </c>
      <c r="Q3400" t="s">
        <v>23</v>
      </c>
    </row>
    <row r="3401" spans="1:17" x14ac:dyDescent="0.3">
      <c r="A3401" t="s">
        <v>4517</v>
      </c>
      <c r="B3401" s="6">
        <v>45132</v>
      </c>
      <c r="C3401" s="6" t="str">
        <f t="shared" si="159"/>
        <v>Jul</v>
      </c>
      <c r="D3401" t="s">
        <v>2634</v>
      </c>
      <c r="E3401" t="s">
        <v>50</v>
      </c>
      <c r="F3401" t="s">
        <v>1251</v>
      </c>
      <c r="G3401">
        <v>3</v>
      </c>
      <c r="H3401" s="7">
        <v>71.94</v>
      </c>
      <c r="I3401" t="s">
        <v>32</v>
      </c>
      <c r="J3401" t="s">
        <v>28</v>
      </c>
      <c r="K3401">
        <v>20</v>
      </c>
      <c r="L3401" s="7">
        <f t="shared" si="160"/>
        <v>215.82</v>
      </c>
      <c r="M3401" s="7"/>
      <c r="O3401">
        <f t="shared" si="161"/>
        <v>2</v>
      </c>
      <c r="Q3401" t="s">
        <v>33</v>
      </c>
    </row>
    <row r="3402" spans="1:17" x14ac:dyDescent="0.3">
      <c r="A3402" t="s">
        <v>4518</v>
      </c>
      <c r="B3402" s="6">
        <v>45239</v>
      </c>
      <c r="C3402" s="6" t="str">
        <f t="shared" si="159"/>
        <v>Nov</v>
      </c>
      <c r="D3402" t="s">
        <v>1129</v>
      </c>
      <c r="E3402" t="s">
        <v>26</v>
      </c>
      <c r="F3402" t="s">
        <v>84</v>
      </c>
      <c r="G3402">
        <v>4</v>
      </c>
      <c r="H3402" s="7">
        <v>287.64</v>
      </c>
      <c r="I3402" t="s">
        <v>103</v>
      </c>
      <c r="J3402" t="s">
        <v>28</v>
      </c>
      <c r="K3402">
        <v>0</v>
      </c>
      <c r="L3402" s="7">
        <f t="shared" si="160"/>
        <v>1150.56</v>
      </c>
      <c r="M3402" s="7"/>
      <c r="O3402">
        <f t="shared" si="161"/>
        <v>2</v>
      </c>
      <c r="Q3402" t="s">
        <v>104</v>
      </c>
    </row>
    <row r="3403" spans="1:17" x14ac:dyDescent="0.3">
      <c r="A3403" t="s">
        <v>4519</v>
      </c>
      <c r="B3403" s="6">
        <v>45125</v>
      </c>
      <c r="C3403" s="6" t="str">
        <f t="shared" si="159"/>
        <v>Jul</v>
      </c>
      <c r="D3403" t="s">
        <v>3295</v>
      </c>
      <c r="E3403" t="s">
        <v>36</v>
      </c>
      <c r="F3403" t="s">
        <v>409</v>
      </c>
      <c r="G3403">
        <v>4</v>
      </c>
      <c r="H3403" s="7">
        <v>252.16</v>
      </c>
      <c r="I3403" t="s">
        <v>64</v>
      </c>
      <c r="J3403" t="s">
        <v>72</v>
      </c>
      <c r="K3403">
        <v>20</v>
      </c>
      <c r="L3403" s="7">
        <f t="shared" si="160"/>
        <v>1008.64</v>
      </c>
      <c r="M3403" s="7"/>
      <c r="O3403">
        <f t="shared" si="161"/>
        <v>2</v>
      </c>
      <c r="Q3403" t="s">
        <v>65</v>
      </c>
    </row>
    <row r="3404" spans="1:17" x14ac:dyDescent="0.3">
      <c r="A3404" t="s">
        <v>4520</v>
      </c>
      <c r="B3404" s="6">
        <v>44939</v>
      </c>
      <c r="C3404" s="6" t="str">
        <f t="shared" si="159"/>
        <v>Jan</v>
      </c>
      <c r="D3404" t="s">
        <v>1625</v>
      </c>
      <c r="E3404" t="s">
        <v>36</v>
      </c>
      <c r="F3404" t="s">
        <v>154</v>
      </c>
      <c r="G3404">
        <v>2</v>
      </c>
      <c r="H3404" s="7">
        <v>332.42</v>
      </c>
      <c r="I3404" t="s">
        <v>46</v>
      </c>
      <c r="J3404" t="s">
        <v>42</v>
      </c>
      <c r="K3404">
        <v>10</v>
      </c>
      <c r="L3404" s="7">
        <f t="shared" si="160"/>
        <v>664.84</v>
      </c>
      <c r="M3404" s="7"/>
      <c r="O3404">
        <f t="shared" si="161"/>
        <v>2</v>
      </c>
      <c r="Q3404" t="s">
        <v>47</v>
      </c>
    </row>
    <row r="3405" spans="1:17" x14ac:dyDescent="0.3">
      <c r="A3405" t="s">
        <v>4521</v>
      </c>
      <c r="B3405" s="6">
        <v>45253</v>
      </c>
      <c r="C3405" s="6" t="str">
        <f t="shared" si="159"/>
        <v>Nov</v>
      </c>
      <c r="D3405" t="s">
        <v>673</v>
      </c>
      <c r="E3405" t="s">
        <v>50</v>
      </c>
      <c r="F3405" t="s">
        <v>1237</v>
      </c>
      <c r="G3405">
        <v>1</v>
      </c>
      <c r="H3405" s="7">
        <v>441.54</v>
      </c>
      <c r="I3405" t="s">
        <v>21</v>
      </c>
      <c r="J3405" t="s">
        <v>42</v>
      </c>
      <c r="K3405">
        <v>10</v>
      </c>
      <c r="L3405" s="7">
        <f t="shared" si="160"/>
        <v>441.54</v>
      </c>
      <c r="M3405" s="7"/>
      <c r="O3405">
        <f t="shared" si="161"/>
        <v>2</v>
      </c>
      <c r="Q3405" t="s">
        <v>23</v>
      </c>
    </row>
    <row r="3406" spans="1:17" x14ac:dyDescent="0.3">
      <c r="A3406" t="s">
        <v>4522</v>
      </c>
      <c r="B3406" s="6">
        <v>45043</v>
      </c>
      <c r="C3406" s="6" t="str">
        <f t="shared" si="159"/>
        <v>Apr</v>
      </c>
      <c r="D3406" t="s">
        <v>4523</v>
      </c>
      <c r="E3406" t="s">
        <v>40</v>
      </c>
      <c r="F3406" t="s">
        <v>627</v>
      </c>
      <c r="G3406">
        <v>3</v>
      </c>
      <c r="H3406" s="7">
        <v>207.65</v>
      </c>
      <c r="I3406" t="s">
        <v>21</v>
      </c>
      <c r="J3406" t="s">
        <v>22</v>
      </c>
      <c r="K3406">
        <v>15</v>
      </c>
      <c r="L3406" s="7">
        <f t="shared" si="160"/>
        <v>622.95000000000005</v>
      </c>
      <c r="M3406" s="7"/>
      <c r="O3406">
        <f t="shared" si="161"/>
        <v>2</v>
      </c>
      <c r="Q3406" t="s">
        <v>23</v>
      </c>
    </row>
    <row r="3407" spans="1:17" x14ac:dyDescent="0.3">
      <c r="A3407" t="s">
        <v>4524</v>
      </c>
      <c r="B3407" s="6">
        <v>44966</v>
      </c>
      <c r="C3407" s="6" t="str">
        <f t="shared" si="159"/>
        <v>Feb</v>
      </c>
      <c r="D3407" t="s">
        <v>2513</v>
      </c>
      <c r="E3407" t="s">
        <v>19</v>
      </c>
      <c r="F3407" t="s">
        <v>137</v>
      </c>
      <c r="G3407">
        <v>4</v>
      </c>
      <c r="H3407" s="7">
        <v>148.49</v>
      </c>
      <c r="I3407" t="s">
        <v>21</v>
      </c>
      <c r="J3407" t="s">
        <v>28</v>
      </c>
      <c r="K3407">
        <v>10</v>
      </c>
      <c r="L3407" s="7">
        <f t="shared" si="160"/>
        <v>593.96</v>
      </c>
      <c r="M3407" s="7"/>
      <c r="O3407">
        <f t="shared" si="161"/>
        <v>2</v>
      </c>
      <c r="Q3407" t="s">
        <v>23</v>
      </c>
    </row>
    <row r="3408" spans="1:17" x14ac:dyDescent="0.3">
      <c r="A3408" t="s">
        <v>4525</v>
      </c>
      <c r="B3408" s="6">
        <v>45222</v>
      </c>
      <c r="C3408" s="6" t="str">
        <f t="shared" si="159"/>
        <v>Oct</v>
      </c>
      <c r="D3408" t="s">
        <v>970</v>
      </c>
      <c r="E3408" t="s">
        <v>31</v>
      </c>
      <c r="F3408" t="s">
        <v>398</v>
      </c>
      <c r="G3408">
        <v>3</v>
      </c>
      <c r="H3408" s="7">
        <v>12.18</v>
      </c>
      <c r="I3408" t="s">
        <v>46</v>
      </c>
      <c r="J3408" t="s">
        <v>28</v>
      </c>
      <c r="K3408">
        <v>0</v>
      </c>
      <c r="L3408" s="7">
        <f t="shared" si="160"/>
        <v>36.54</v>
      </c>
      <c r="M3408" s="7"/>
      <c r="O3408">
        <f t="shared" si="161"/>
        <v>2</v>
      </c>
      <c r="Q3408" t="s">
        <v>47</v>
      </c>
    </row>
    <row r="3409" spans="1:17" x14ac:dyDescent="0.3">
      <c r="A3409" t="s">
        <v>4526</v>
      </c>
      <c r="B3409" s="6">
        <v>45193</v>
      </c>
      <c r="C3409" s="6" t="str">
        <f t="shared" si="159"/>
        <v>Sep</v>
      </c>
      <c r="D3409" t="s">
        <v>783</v>
      </c>
      <c r="E3409" t="s">
        <v>50</v>
      </c>
      <c r="F3409" t="s">
        <v>1182</v>
      </c>
      <c r="G3409">
        <v>8</v>
      </c>
      <c r="H3409" s="7">
        <v>289.55</v>
      </c>
      <c r="I3409" t="s">
        <v>46</v>
      </c>
      <c r="J3409" t="s">
        <v>87</v>
      </c>
      <c r="K3409">
        <v>0</v>
      </c>
      <c r="L3409" s="7">
        <f t="shared" si="160"/>
        <v>2316.4</v>
      </c>
      <c r="M3409" s="7"/>
      <c r="O3409">
        <f t="shared" si="161"/>
        <v>2</v>
      </c>
      <c r="Q3409" t="s">
        <v>47</v>
      </c>
    </row>
    <row r="3410" spans="1:17" x14ac:dyDescent="0.3">
      <c r="A3410" t="s">
        <v>4527</v>
      </c>
      <c r="B3410" s="6">
        <v>44967</v>
      </c>
      <c r="C3410" s="6" t="str">
        <f t="shared" si="159"/>
        <v>Feb</v>
      </c>
      <c r="D3410" t="s">
        <v>101</v>
      </c>
      <c r="E3410" t="s">
        <v>40</v>
      </c>
      <c r="F3410" t="s">
        <v>134</v>
      </c>
      <c r="G3410">
        <v>1</v>
      </c>
      <c r="H3410" s="7">
        <v>204.13</v>
      </c>
      <c r="I3410" t="s">
        <v>19</v>
      </c>
      <c r="J3410" t="s">
        <v>22</v>
      </c>
      <c r="K3410">
        <v>10</v>
      </c>
      <c r="L3410" s="7">
        <f t="shared" si="160"/>
        <v>204.13</v>
      </c>
      <c r="M3410" s="7"/>
      <c r="O3410">
        <f t="shared" si="161"/>
        <v>2</v>
      </c>
      <c r="Q3410" t="s">
        <v>19</v>
      </c>
    </row>
    <row r="3411" spans="1:17" x14ac:dyDescent="0.3">
      <c r="A3411" t="s">
        <v>4528</v>
      </c>
      <c r="B3411" s="6">
        <v>45161</v>
      </c>
      <c r="C3411" s="6" t="str">
        <f t="shared" si="159"/>
        <v>Aug</v>
      </c>
      <c r="D3411" t="s">
        <v>1209</v>
      </c>
      <c r="E3411" t="s">
        <v>50</v>
      </c>
      <c r="F3411" t="s">
        <v>328</v>
      </c>
      <c r="G3411">
        <v>2</v>
      </c>
      <c r="H3411" s="7">
        <v>190.45</v>
      </c>
      <c r="I3411" t="s">
        <v>32</v>
      </c>
      <c r="J3411" t="s">
        <v>28</v>
      </c>
      <c r="K3411">
        <v>10</v>
      </c>
      <c r="L3411" s="7">
        <f t="shared" si="160"/>
        <v>380.9</v>
      </c>
      <c r="M3411" s="7"/>
      <c r="O3411">
        <f t="shared" si="161"/>
        <v>2</v>
      </c>
      <c r="Q3411" t="s">
        <v>33</v>
      </c>
    </row>
    <row r="3412" spans="1:17" x14ac:dyDescent="0.3">
      <c r="A3412" t="s">
        <v>4529</v>
      </c>
      <c r="B3412" s="6">
        <v>45017</v>
      </c>
      <c r="C3412" s="6" t="str">
        <f t="shared" si="159"/>
        <v>Apr</v>
      </c>
      <c r="D3412" t="s">
        <v>1968</v>
      </c>
      <c r="E3412" t="s">
        <v>62</v>
      </c>
      <c r="F3412" t="s">
        <v>657</v>
      </c>
      <c r="G3412">
        <v>7</v>
      </c>
      <c r="H3412" s="7">
        <v>95.55</v>
      </c>
      <c r="I3412" t="s">
        <v>21</v>
      </c>
      <c r="J3412" t="s">
        <v>28</v>
      </c>
      <c r="K3412">
        <v>15</v>
      </c>
      <c r="L3412" s="7">
        <f t="shared" si="160"/>
        <v>668.85</v>
      </c>
      <c r="M3412" s="7"/>
      <c r="O3412">
        <f t="shared" si="161"/>
        <v>2</v>
      </c>
      <c r="Q3412" t="s">
        <v>23</v>
      </c>
    </row>
    <row r="3413" spans="1:17" x14ac:dyDescent="0.3">
      <c r="A3413" t="s">
        <v>4530</v>
      </c>
      <c r="B3413" s="6">
        <v>45060</v>
      </c>
      <c r="C3413" s="6" t="str">
        <f t="shared" si="159"/>
        <v>May</v>
      </c>
      <c r="D3413" t="s">
        <v>101</v>
      </c>
      <c r="E3413" t="s">
        <v>19</v>
      </c>
      <c r="F3413" t="s">
        <v>1182</v>
      </c>
      <c r="G3413">
        <v>4</v>
      </c>
      <c r="H3413" s="7">
        <v>217.88</v>
      </c>
      <c r="I3413" t="s">
        <v>19</v>
      </c>
      <c r="J3413" t="s">
        <v>87</v>
      </c>
      <c r="K3413">
        <v>0</v>
      </c>
      <c r="L3413" s="7">
        <f t="shared" si="160"/>
        <v>871.52</v>
      </c>
      <c r="M3413" s="7"/>
      <c r="O3413">
        <f t="shared" si="161"/>
        <v>2</v>
      </c>
      <c r="Q3413" t="s">
        <v>19</v>
      </c>
    </row>
    <row r="3414" spans="1:17" x14ac:dyDescent="0.3">
      <c r="A3414" t="s">
        <v>4531</v>
      </c>
      <c r="B3414" s="6">
        <v>45167</v>
      </c>
      <c r="C3414" s="6" t="str">
        <f t="shared" si="159"/>
        <v>Aug</v>
      </c>
      <c r="D3414" t="s">
        <v>1525</v>
      </c>
      <c r="E3414" t="s">
        <v>31</v>
      </c>
      <c r="F3414" t="s">
        <v>472</v>
      </c>
      <c r="G3414">
        <v>8</v>
      </c>
      <c r="H3414" s="7">
        <v>492.3</v>
      </c>
      <c r="I3414" t="s">
        <v>46</v>
      </c>
      <c r="J3414" t="s">
        <v>28</v>
      </c>
      <c r="K3414">
        <v>0</v>
      </c>
      <c r="L3414" s="7">
        <f t="shared" si="160"/>
        <v>3938.4</v>
      </c>
      <c r="M3414" s="7"/>
      <c r="O3414">
        <f t="shared" si="161"/>
        <v>5</v>
      </c>
      <c r="Q3414" t="s">
        <v>47</v>
      </c>
    </row>
    <row r="3415" spans="1:17" x14ac:dyDescent="0.3">
      <c r="A3415" t="s">
        <v>4532</v>
      </c>
      <c r="B3415" s="6">
        <v>45073</v>
      </c>
      <c r="C3415" s="6" t="str">
        <f t="shared" si="159"/>
        <v>May</v>
      </c>
      <c r="D3415" t="s">
        <v>3409</v>
      </c>
      <c r="E3415" t="s">
        <v>62</v>
      </c>
      <c r="F3415" t="s">
        <v>278</v>
      </c>
      <c r="G3415">
        <v>3</v>
      </c>
      <c r="H3415" s="7">
        <v>152.38999999999999</v>
      </c>
      <c r="I3415" t="s">
        <v>103</v>
      </c>
      <c r="J3415" t="s">
        <v>19</v>
      </c>
      <c r="K3415">
        <v>20</v>
      </c>
      <c r="L3415" s="7">
        <f t="shared" si="160"/>
        <v>457.16999999999996</v>
      </c>
      <c r="M3415" s="7"/>
      <c r="O3415">
        <f t="shared" si="161"/>
        <v>2</v>
      </c>
      <c r="Q3415" t="s">
        <v>104</v>
      </c>
    </row>
    <row r="3416" spans="1:17" x14ac:dyDescent="0.3">
      <c r="A3416" t="s">
        <v>4533</v>
      </c>
      <c r="B3416" s="6">
        <v>45251</v>
      </c>
      <c r="C3416" s="6" t="str">
        <f t="shared" si="159"/>
        <v>Nov</v>
      </c>
      <c r="D3416" t="s">
        <v>1516</v>
      </c>
      <c r="E3416" t="s">
        <v>31</v>
      </c>
      <c r="F3416" t="s">
        <v>504</v>
      </c>
      <c r="G3416">
        <v>6</v>
      </c>
      <c r="H3416" s="7">
        <v>301.85000000000002</v>
      </c>
      <c r="I3416" t="s">
        <v>19</v>
      </c>
      <c r="J3416" t="s">
        <v>42</v>
      </c>
      <c r="K3416">
        <v>10</v>
      </c>
      <c r="L3416" s="7">
        <f t="shared" si="160"/>
        <v>1811.1000000000001</v>
      </c>
      <c r="M3416" s="7"/>
      <c r="O3416">
        <f t="shared" si="161"/>
        <v>2</v>
      </c>
      <c r="Q3416" t="s">
        <v>19</v>
      </c>
    </row>
    <row r="3417" spans="1:17" x14ac:dyDescent="0.3">
      <c r="A3417" t="s">
        <v>4534</v>
      </c>
      <c r="B3417" s="6">
        <v>45082</v>
      </c>
      <c r="C3417" s="6" t="str">
        <f t="shared" si="159"/>
        <v>Jun</v>
      </c>
      <c r="D3417" t="s">
        <v>391</v>
      </c>
      <c r="E3417" t="s">
        <v>40</v>
      </c>
      <c r="F3417" t="s">
        <v>598</v>
      </c>
      <c r="G3417">
        <v>9</v>
      </c>
      <c r="H3417" s="7">
        <v>389.36</v>
      </c>
      <c r="I3417" t="s">
        <v>32</v>
      </c>
      <c r="J3417" t="s">
        <v>19</v>
      </c>
      <c r="K3417">
        <v>5</v>
      </c>
      <c r="L3417" s="7">
        <f t="shared" si="160"/>
        <v>3504.2400000000002</v>
      </c>
      <c r="M3417" s="7"/>
      <c r="O3417">
        <f t="shared" si="161"/>
        <v>5</v>
      </c>
      <c r="Q3417" t="s">
        <v>33</v>
      </c>
    </row>
    <row r="3418" spans="1:17" x14ac:dyDescent="0.3">
      <c r="A3418" t="s">
        <v>4535</v>
      </c>
      <c r="B3418" s="6">
        <v>45009</v>
      </c>
      <c r="C3418" s="6" t="str">
        <f t="shared" si="159"/>
        <v>Mar</v>
      </c>
      <c r="D3418" t="s">
        <v>3036</v>
      </c>
      <c r="E3418" t="s">
        <v>19</v>
      </c>
      <c r="F3418" t="s">
        <v>20</v>
      </c>
      <c r="G3418">
        <v>1</v>
      </c>
      <c r="H3418" s="7">
        <v>375.83</v>
      </c>
      <c r="I3418" t="s">
        <v>64</v>
      </c>
      <c r="J3418" t="s">
        <v>19</v>
      </c>
      <c r="K3418">
        <v>0</v>
      </c>
      <c r="L3418" s="7">
        <f t="shared" si="160"/>
        <v>375.83</v>
      </c>
      <c r="M3418" s="7"/>
      <c r="O3418">
        <f t="shared" si="161"/>
        <v>2</v>
      </c>
      <c r="Q3418" t="s">
        <v>65</v>
      </c>
    </row>
    <row r="3419" spans="1:17" x14ac:dyDescent="0.3">
      <c r="A3419" t="s">
        <v>4536</v>
      </c>
      <c r="B3419" s="6">
        <v>44975</v>
      </c>
      <c r="C3419" s="6" t="str">
        <f t="shared" si="159"/>
        <v>Feb</v>
      </c>
      <c r="D3419" t="s">
        <v>53</v>
      </c>
      <c r="E3419" t="s">
        <v>36</v>
      </c>
      <c r="F3419" t="s">
        <v>239</v>
      </c>
      <c r="G3419">
        <v>1</v>
      </c>
      <c r="H3419" s="7">
        <v>167.74</v>
      </c>
      <c r="I3419" t="s">
        <v>103</v>
      </c>
      <c r="J3419" t="s">
        <v>28</v>
      </c>
      <c r="K3419">
        <v>15</v>
      </c>
      <c r="L3419" s="7">
        <f t="shared" si="160"/>
        <v>167.74</v>
      </c>
      <c r="M3419" s="7"/>
      <c r="O3419">
        <f t="shared" si="161"/>
        <v>2</v>
      </c>
      <c r="Q3419" t="s">
        <v>104</v>
      </c>
    </row>
    <row r="3420" spans="1:17" x14ac:dyDescent="0.3">
      <c r="A3420" t="s">
        <v>4537</v>
      </c>
      <c r="B3420" s="6">
        <v>45031</v>
      </c>
      <c r="C3420" s="6" t="str">
        <f t="shared" si="159"/>
        <v>Apr</v>
      </c>
      <c r="D3420" t="s">
        <v>1754</v>
      </c>
      <c r="E3420" t="s">
        <v>36</v>
      </c>
      <c r="F3420" t="s">
        <v>231</v>
      </c>
      <c r="G3420">
        <v>8</v>
      </c>
      <c r="H3420" s="7">
        <v>307.38</v>
      </c>
      <c r="I3420" t="s">
        <v>64</v>
      </c>
      <c r="J3420" t="s">
        <v>42</v>
      </c>
      <c r="K3420">
        <v>15</v>
      </c>
      <c r="L3420" s="7">
        <f t="shared" si="160"/>
        <v>2459.04</v>
      </c>
      <c r="M3420" s="7"/>
      <c r="O3420">
        <f t="shared" si="161"/>
        <v>2</v>
      </c>
      <c r="Q3420" t="s">
        <v>65</v>
      </c>
    </row>
    <row r="3421" spans="1:17" x14ac:dyDescent="0.3">
      <c r="A3421" t="s">
        <v>4538</v>
      </c>
      <c r="B3421" s="6">
        <v>44938</v>
      </c>
      <c r="C3421" s="6" t="str">
        <f t="shared" si="159"/>
        <v>Jan</v>
      </c>
      <c r="D3421" t="s">
        <v>1067</v>
      </c>
      <c r="E3421" t="s">
        <v>62</v>
      </c>
      <c r="F3421" t="s">
        <v>251</v>
      </c>
      <c r="G3421">
        <v>3</v>
      </c>
      <c r="H3421" s="7">
        <v>436.28</v>
      </c>
      <c r="I3421" t="s">
        <v>64</v>
      </c>
      <c r="J3421" t="s">
        <v>42</v>
      </c>
      <c r="K3421">
        <v>20</v>
      </c>
      <c r="L3421" s="7">
        <f t="shared" si="160"/>
        <v>1308.8399999999999</v>
      </c>
      <c r="M3421" s="7"/>
      <c r="O3421">
        <f t="shared" si="161"/>
        <v>2</v>
      </c>
      <c r="Q3421" t="s">
        <v>65</v>
      </c>
    </row>
    <row r="3422" spans="1:17" x14ac:dyDescent="0.3">
      <c r="A3422" t="s">
        <v>4539</v>
      </c>
      <c r="B3422" s="6">
        <v>44937</v>
      </c>
      <c r="C3422" s="6" t="str">
        <f t="shared" si="159"/>
        <v>Jan</v>
      </c>
      <c r="D3422" t="s">
        <v>1032</v>
      </c>
      <c r="E3422" t="s">
        <v>19</v>
      </c>
      <c r="F3422" t="s">
        <v>322</v>
      </c>
      <c r="G3422">
        <v>5</v>
      </c>
      <c r="H3422" s="7">
        <v>12.65</v>
      </c>
      <c r="I3422" t="s">
        <v>21</v>
      </c>
      <c r="J3422" t="s">
        <v>42</v>
      </c>
      <c r="K3422">
        <v>15</v>
      </c>
      <c r="L3422" s="7">
        <f t="shared" si="160"/>
        <v>63.25</v>
      </c>
      <c r="M3422" s="7"/>
      <c r="O3422">
        <f t="shared" si="161"/>
        <v>2</v>
      </c>
      <c r="Q3422" t="s">
        <v>23</v>
      </c>
    </row>
    <row r="3423" spans="1:17" x14ac:dyDescent="0.3">
      <c r="A3423" t="s">
        <v>4540</v>
      </c>
      <c r="B3423" s="6">
        <v>45133</v>
      </c>
      <c r="C3423" s="6" t="str">
        <f t="shared" si="159"/>
        <v>Jul</v>
      </c>
      <c r="D3423" t="s">
        <v>1710</v>
      </c>
      <c r="E3423" t="s">
        <v>50</v>
      </c>
      <c r="F3423" t="s">
        <v>822</v>
      </c>
      <c r="G3423">
        <v>1</v>
      </c>
      <c r="H3423" s="7">
        <v>220.69</v>
      </c>
      <c r="I3423" t="s">
        <v>46</v>
      </c>
      <c r="J3423" t="s">
        <v>19</v>
      </c>
      <c r="K3423">
        <v>20</v>
      </c>
      <c r="L3423" s="7">
        <f t="shared" si="160"/>
        <v>220.69</v>
      </c>
      <c r="M3423" s="7"/>
      <c r="O3423">
        <f t="shared" si="161"/>
        <v>2</v>
      </c>
      <c r="Q3423" t="s">
        <v>47</v>
      </c>
    </row>
    <row r="3424" spans="1:17" x14ac:dyDescent="0.3">
      <c r="A3424" t="s">
        <v>4541</v>
      </c>
      <c r="B3424" s="6">
        <v>45265</v>
      </c>
      <c r="C3424" s="6" t="str">
        <f t="shared" si="159"/>
        <v>Dec</v>
      </c>
      <c r="D3424" t="s">
        <v>130</v>
      </c>
      <c r="E3424" t="s">
        <v>40</v>
      </c>
      <c r="F3424" t="s">
        <v>188</v>
      </c>
      <c r="G3424">
        <v>5</v>
      </c>
      <c r="H3424" s="7">
        <v>116.02</v>
      </c>
      <c r="I3424" t="s">
        <v>64</v>
      </c>
      <c r="J3424" t="s">
        <v>72</v>
      </c>
      <c r="K3424">
        <v>0</v>
      </c>
      <c r="L3424" s="7">
        <f t="shared" si="160"/>
        <v>580.1</v>
      </c>
      <c r="M3424" s="7"/>
      <c r="O3424">
        <f t="shared" si="161"/>
        <v>2</v>
      </c>
      <c r="Q3424" t="s">
        <v>65</v>
      </c>
    </row>
    <row r="3425" spans="1:17" x14ac:dyDescent="0.3">
      <c r="A3425" t="s">
        <v>4542</v>
      </c>
      <c r="B3425" s="6">
        <v>45195</v>
      </c>
      <c r="C3425" s="6" t="str">
        <f t="shared" si="159"/>
        <v>Sep</v>
      </c>
      <c r="D3425" t="s">
        <v>4543</v>
      </c>
      <c r="E3425" t="s">
        <v>26</v>
      </c>
      <c r="F3425" t="s">
        <v>84</v>
      </c>
      <c r="G3425">
        <v>6</v>
      </c>
      <c r="H3425" s="7">
        <v>197.37</v>
      </c>
      <c r="I3425" t="s">
        <v>19</v>
      </c>
      <c r="J3425" t="s">
        <v>19</v>
      </c>
      <c r="K3425">
        <v>0</v>
      </c>
      <c r="L3425" s="7">
        <f t="shared" si="160"/>
        <v>1184.22</v>
      </c>
      <c r="M3425" s="7"/>
      <c r="O3425">
        <f t="shared" si="161"/>
        <v>2</v>
      </c>
      <c r="Q3425" t="s">
        <v>19</v>
      </c>
    </row>
    <row r="3426" spans="1:17" x14ac:dyDescent="0.3">
      <c r="A3426" t="s">
        <v>4544</v>
      </c>
      <c r="B3426" s="6">
        <v>45076</v>
      </c>
      <c r="C3426" s="6" t="str">
        <f t="shared" si="159"/>
        <v>May</v>
      </c>
      <c r="D3426" t="s">
        <v>1073</v>
      </c>
      <c r="E3426" t="s">
        <v>31</v>
      </c>
      <c r="F3426" t="s">
        <v>856</v>
      </c>
      <c r="G3426">
        <v>8</v>
      </c>
      <c r="H3426" s="7">
        <v>210.91</v>
      </c>
      <c r="I3426" t="s">
        <v>32</v>
      </c>
      <c r="J3426" t="s">
        <v>42</v>
      </c>
      <c r="K3426">
        <v>0</v>
      </c>
      <c r="L3426" s="7">
        <f t="shared" si="160"/>
        <v>1687.28</v>
      </c>
      <c r="M3426" s="7"/>
      <c r="O3426">
        <f t="shared" si="161"/>
        <v>2</v>
      </c>
      <c r="Q3426" t="s">
        <v>33</v>
      </c>
    </row>
    <row r="3427" spans="1:17" x14ac:dyDescent="0.3">
      <c r="A3427" t="s">
        <v>4545</v>
      </c>
      <c r="B3427" s="6">
        <v>44982</v>
      </c>
      <c r="C3427" s="6" t="str">
        <f t="shared" si="159"/>
        <v>Feb</v>
      </c>
      <c r="D3427" t="s">
        <v>2754</v>
      </c>
      <c r="E3427" t="s">
        <v>36</v>
      </c>
      <c r="F3427" t="s">
        <v>165</v>
      </c>
      <c r="G3427">
        <v>3</v>
      </c>
      <c r="H3427" s="7">
        <v>374.6</v>
      </c>
      <c r="I3427" t="s">
        <v>64</v>
      </c>
      <c r="J3427" t="s">
        <v>22</v>
      </c>
      <c r="K3427">
        <v>0</v>
      </c>
      <c r="L3427" s="7">
        <f t="shared" si="160"/>
        <v>1123.8000000000002</v>
      </c>
      <c r="M3427" s="7"/>
      <c r="O3427">
        <f t="shared" si="161"/>
        <v>2</v>
      </c>
      <c r="Q3427" t="s">
        <v>65</v>
      </c>
    </row>
    <row r="3428" spans="1:17" x14ac:dyDescent="0.3">
      <c r="A3428" t="s">
        <v>4546</v>
      </c>
      <c r="B3428" s="6">
        <v>45267</v>
      </c>
      <c r="C3428" s="6" t="str">
        <f t="shared" si="159"/>
        <v>Dec</v>
      </c>
      <c r="D3428" t="s">
        <v>1017</v>
      </c>
      <c r="E3428" t="s">
        <v>62</v>
      </c>
      <c r="F3428" t="s">
        <v>474</v>
      </c>
      <c r="G3428">
        <v>3</v>
      </c>
      <c r="H3428" s="7">
        <v>51.44</v>
      </c>
      <c r="I3428" t="s">
        <v>64</v>
      </c>
      <c r="J3428" t="s">
        <v>42</v>
      </c>
      <c r="K3428">
        <v>5</v>
      </c>
      <c r="L3428" s="7">
        <f t="shared" si="160"/>
        <v>154.32</v>
      </c>
      <c r="M3428" s="7"/>
      <c r="O3428">
        <f t="shared" si="161"/>
        <v>2</v>
      </c>
      <c r="Q3428" t="s">
        <v>65</v>
      </c>
    </row>
    <row r="3429" spans="1:17" x14ac:dyDescent="0.3">
      <c r="A3429" t="s">
        <v>4547</v>
      </c>
      <c r="B3429" s="6">
        <v>45162</v>
      </c>
      <c r="C3429" s="6" t="str">
        <f t="shared" si="159"/>
        <v>Aug</v>
      </c>
      <c r="D3429" t="s">
        <v>705</v>
      </c>
      <c r="E3429" t="s">
        <v>26</v>
      </c>
      <c r="F3429" t="s">
        <v>170</v>
      </c>
      <c r="G3429">
        <v>9</v>
      </c>
      <c r="H3429" s="7">
        <v>258.73</v>
      </c>
      <c r="I3429" t="s">
        <v>64</v>
      </c>
      <c r="J3429" t="s">
        <v>19</v>
      </c>
      <c r="K3429">
        <v>10</v>
      </c>
      <c r="L3429" s="7">
        <f t="shared" si="160"/>
        <v>2328.5700000000002</v>
      </c>
      <c r="M3429" s="7"/>
      <c r="O3429">
        <f t="shared" si="161"/>
        <v>2</v>
      </c>
      <c r="Q3429" t="s">
        <v>65</v>
      </c>
    </row>
    <row r="3430" spans="1:17" x14ac:dyDescent="0.3">
      <c r="A3430" t="s">
        <v>4548</v>
      </c>
      <c r="B3430" s="6">
        <v>45170</v>
      </c>
      <c r="C3430" s="6" t="str">
        <f t="shared" si="159"/>
        <v>Sep</v>
      </c>
      <c r="D3430" t="s">
        <v>1527</v>
      </c>
      <c r="E3430" t="s">
        <v>19</v>
      </c>
      <c r="F3430" t="s">
        <v>303</v>
      </c>
      <c r="G3430">
        <v>4</v>
      </c>
      <c r="H3430" s="7">
        <v>284.27999999999997</v>
      </c>
      <c r="I3430" t="s">
        <v>46</v>
      </c>
      <c r="J3430" t="s">
        <v>28</v>
      </c>
      <c r="K3430">
        <v>10</v>
      </c>
      <c r="L3430" s="7">
        <f t="shared" si="160"/>
        <v>1137.1199999999999</v>
      </c>
      <c r="M3430" s="7"/>
      <c r="O3430">
        <f t="shared" si="161"/>
        <v>2</v>
      </c>
      <c r="Q3430" t="s">
        <v>47</v>
      </c>
    </row>
    <row r="3431" spans="1:17" x14ac:dyDescent="0.3">
      <c r="A3431" t="s">
        <v>4549</v>
      </c>
      <c r="B3431" s="6">
        <v>45190</v>
      </c>
      <c r="C3431" s="6" t="str">
        <f t="shared" si="159"/>
        <v>Sep</v>
      </c>
      <c r="D3431" t="s">
        <v>596</v>
      </c>
      <c r="E3431" t="s">
        <v>31</v>
      </c>
      <c r="F3431" t="s">
        <v>730</v>
      </c>
      <c r="G3431">
        <v>4</v>
      </c>
      <c r="H3431" s="7">
        <v>249.61</v>
      </c>
      <c r="I3431" t="s">
        <v>103</v>
      </c>
      <c r="J3431" t="s">
        <v>22</v>
      </c>
      <c r="K3431">
        <v>5</v>
      </c>
      <c r="L3431" s="7">
        <f t="shared" si="160"/>
        <v>998.44</v>
      </c>
      <c r="M3431" s="7"/>
      <c r="O3431">
        <f t="shared" si="161"/>
        <v>2</v>
      </c>
      <c r="Q3431" t="s">
        <v>104</v>
      </c>
    </row>
    <row r="3432" spans="1:17" x14ac:dyDescent="0.3">
      <c r="A3432" t="s">
        <v>4550</v>
      </c>
      <c r="B3432" s="6">
        <v>45012</v>
      </c>
      <c r="C3432" s="6" t="str">
        <f t="shared" si="159"/>
        <v>Mar</v>
      </c>
      <c r="D3432" t="s">
        <v>1171</v>
      </c>
      <c r="E3432" t="s">
        <v>26</v>
      </c>
      <c r="F3432" t="s">
        <v>706</v>
      </c>
      <c r="G3432">
        <v>7</v>
      </c>
      <c r="H3432" s="7">
        <v>367.28</v>
      </c>
      <c r="I3432" t="s">
        <v>21</v>
      </c>
      <c r="J3432" t="s">
        <v>28</v>
      </c>
      <c r="K3432">
        <v>0</v>
      </c>
      <c r="L3432" s="7">
        <f t="shared" si="160"/>
        <v>2570.96</v>
      </c>
      <c r="M3432" s="7"/>
      <c r="O3432">
        <f t="shared" si="161"/>
        <v>3</v>
      </c>
      <c r="Q3432" t="s">
        <v>23</v>
      </c>
    </row>
    <row r="3433" spans="1:17" x14ac:dyDescent="0.3">
      <c r="A3433" t="s">
        <v>4551</v>
      </c>
      <c r="B3433" s="6">
        <v>45056</v>
      </c>
      <c r="C3433" s="6" t="str">
        <f t="shared" si="159"/>
        <v>May</v>
      </c>
      <c r="D3433" t="s">
        <v>675</v>
      </c>
      <c r="E3433" t="s">
        <v>31</v>
      </c>
      <c r="F3433" t="s">
        <v>434</v>
      </c>
      <c r="G3433">
        <v>2</v>
      </c>
      <c r="H3433" s="7">
        <v>194.98</v>
      </c>
      <c r="I3433" t="s">
        <v>46</v>
      </c>
      <c r="J3433" t="s">
        <v>19</v>
      </c>
      <c r="K3433">
        <v>15</v>
      </c>
      <c r="L3433" s="7">
        <f t="shared" si="160"/>
        <v>389.96</v>
      </c>
      <c r="M3433" s="7"/>
      <c r="O3433">
        <f t="shared" si="161"/>
        <v>2</v>
      </c>
      <c r="Q3433" t="s">
        <v>47</v>
      </c>
    </row>
    <row r="3434" spans="1:17" x14ac:dyDescent="0.3">
      <c r="A3434" t="s">
        <v>4552</v>
      </c>
      <c r="B3434" s="6">
        <v>44953</v>
      </c>
      <c r="C3434" s="6" t="str">
        <f t="shared" si="159"/>
        <v>Jan</v>
      </c>
      <c r="D3434" t="s">
        <v>621</v>
      </c>
      <c r="E3434" t="s">
        <v>36</v>
      </c>
      <c r="F3434" t="s">
        <v>1085</v>
      </c>
      <c r="G3434">
        <v>8</v>
      </c>
      <c r="H3434" s="7">
        <v>472.76</v>
      </c>
      <c r="I3434" t="s">
        <v>32</v>
      </c>
      <c r="J3434" t="s">
        <v>42</v>
      </c>
      <c r="K3434">
        <v>20</v>
      </c>
      <c r="L3434" s="7">
        <f t="shared" si="160"/>
        <v>3782.08</v>
      </c>
      <c r="M3434" s="7"/>
      <c r="O3434">
        <f t="shared" si="161"/>
        <v>5</v>
      </c>
      <c r="Q3434" t="s">
        <v>33</v>
      </c>
    </row>
    <row r="3435" spans="1:17" x14ac:dyDescent="0.3">
      <c r="A3435" t="s">
        <v>4553</v>
      </c>
      <c r="B3435" s="6">
        <v>45106</v>
      </c>
      <c r="C3435" s="6" t="str">
        <f t="shared" si="159"/>
        <v>Jun</v>
      </c>
      <c r="D3435" t="s">
        <v>1850</v>
      </c>
      <c r="E3435" t="s">
        <v>26</v>
      </c>
      <c r="F3435" t="s">
        <v>257</v>
      </c>
      <c r="G3435">
        <v>6</v>
      </c>
      <c r="H3435" s="7">
        <v>243.49</v>
      </c>
      <c r="I3435" t="s">
        <v>64</v>
      </c>
      <c r="J3435" t="s">
        <v>87</v>
      </c>
      <c r="K3435">
        <v>10</v>
      </c>
      <c r="L3435" s="7">
        <f t="shared" si="160"/>
        <v>1460.94</v>
      </c>
      <c r="M3435" s="7"/>
      <c r="O3435">
        <f t="shared" si="161"/>
        <v>2</v>
      </c>
      <c r="Q3435" t="s">
        <v>65</v>
      </c>
    </row>
    <row r="3436" spans="1:17" x14ac:dyDescent="0.3">
      <c r="A3436" t="s">
        <v>4554</v>
      </c>
      <c r="B3436" s="6">
        <v>45003</v>
      </c>
      <c r="C3436" s="6" t="str">
        <f t="shared" si="159"/>
        <v>Mar</v>
      </c>
      <c r="D3436" t="s">
        <v>427</v>
      </c>
      <c r="E3436" t="s">
        <v>26</v>
      </c>
      <c r="F3436" t="s">
        <v>128</v>
      </c>
      <c r="G3436">
        <v>3</v>
      </c>
      <c r="H3436" s="7">
        <v>287.75</v>
      </c>
      <c r="I3436" t="s">
        <v>46</v>
      </c>
      <c r="J3436" t="s">
        <v>72</v>
      </c>
      <c r="K3436">
        <v>10</v>
      </c>
      <c r="L3436" s="7">
        <f t="shared" si="160"/>
        <v>863.25</v>
      </c>
      <c r="M3436" s="7"/>
      <c r="O3436">
        <f t="shared" si="161"/>
        <v>2</v>
      </c>
      <c r="Q3436" t="s">
        <v>47</v>
      </c>
    </row>
    <row r="3437" spans="1:17" x14ac:dyDescent="0.3">
      <c r="A3437" t="s">
        <v>4555</v>
      </c>
      <c r="B3437" s="6">
        <v>45067</v>
      </c>
      <c r="C3437" s="6" t="str">
        <f t="shared" si="159"/>
        <v>May</v>
      </c>
      <c r="D3437" t="s">
        <v>1154</v>
      </c>
      <c r="E3437" t="s">
        <v>40</v>
      </c>
      <c r="F3437" t="s">
        <v>486</v>
      </c>
      <c r="G3437">
        <v>9</v>
      </c>
      <c r="H3437" s="7">
        <v>413.64</v>
      </c>
      <c r="I3437" t="s">
        <v>64</v>
      </c>
      <c r="J3437" t="s">
        <v>87</v>
      </c>
      <c r="K3437">
        <v>20</v>
      </c>
      <c r="L3437" s="7">
        <f t="shared" si="160"/>
        <v>3722.7599999999998</v>
      </c>
      <c r="M3437" s="7"/>
      <c r="O3437">
        <f t="shared" si="161"/>
        <v>5</v>
      </c>
      <c r="Q3437" t="s">
        <v>65</v>
      </c>
    </row>
    <row r="3438" spans="1:17" x14ac:dyDescent="0.3">
      <c r="A3438" t="s">
        <v>4556</v>
      </c>
      <c r="B3438" s="6">
        <v>44964</v>
      </c>
      <c r="C3438" s="6" t="str">
        <f t="shared" si="159"/>
        <v>Feb</v>
      </c>
      <c r="D3438" t="s">
        <v>2746</v>
      </c>
      <c r="E3438" t="s">
        <v>40</v>
      </c>
      <c r="F3438" t="s">
        <v>708</v>
      </c>
      <c r="G3438">
        <v>5</v>
      </c>
      <c r="H3438" s="7">
        <v>141.24</v>
      </c>
      <c r="I3438" t="s">
        <v>32</v>
      </c>
      <c r="J3438" t="s">
        <v>19</v>
      </c>
      <c r="K3438">
        <v>10</v>
      </c>
      <c r="L3438" s="7">
        <f t="shared" si="160"/>
        <v>706.2</v>
      </c>
      <c r="M3438" s="7"/>
      <c r="O3438">
        <f t="shared" si="161"/>
        <v>2</v>
      </c>
      <c r="Q3438" t="s">
        <v>33</v>
      </c>
    </row>
    <row r="3439" spans="1:17" x14ac:dyDescent="0.3">
      <c r="A3439" t="s">
        <v>4557</v>
      </c>
      <c r="B3439" s="6">
        <v>45248</v>
      </c>
      <c r="C3439" s="6" t="str">
        <f t="shared" si="159"/>
        <v>Nov</v>
      </c>
      <c r="D3439" t="s">
        <v>2680</v>
      </c>
      <c r="E3439" t="s">
        <v>62</v>
      </c>
      <c r="F3439" t="s">
        <v>257</v>
      </c>
      <c r="G3439">
        <v>8</v>
      </c>
      <c r="H3439" s="7">
        <v>42.23</v>
      </c>
      <c r="I3439" t="s">
        <v>32</v>
      </c>
      <c r="J3439" t="s">
        <v>22</v>
      </c>
      <c r="K3439">
        <v>10</v>
      </c>
      <c r="L3439" s="7">
        <f t="shared" si="160"/>
        <v>337.84</v>
      </c>
      <c r="M3439" s="7"/>
      <c r="O3439">
        <f t="shared" si="161"/>
        <v>2</v>
      </c>
      <c r="Q3439" t="s">
        <v>33</v>
      </c>
    </row>
    <row r="3440" spans="1:17" x14ac:dyDescent="0.3">
      <c r="A3440" t="s">
        <v>4558</v>
      </c>
      <c r="B3440" s="6">
        <v>44964</v>
      </c>
      <c r="C3440" s="6" t="str">
        <f t="shared" si="159"/>
        <v>Feb</v>
      </c>
      <c r="D3440" t="s">
        <v>1594</v>
      </c>
      <c r="E3440" t="s">
        <v>19</v>
      </c>
      <c r="F3440" t="s">
        <v>1328</v>
      </c>
      <c r="G3440">
        <v>7</v>
      </c>
      <c r="H3440" s="7">
        <v>355.35</v>
      </c>
      <c r="I3440" t="s">
        <v>32</v>
      </c>
      <c r="J3440" t="s">
        <v>22</v>
      </c>
      <c r="K3440">
        <v>0</v>
      </c>
      <c r="L3440" s="7">
        <f t="shared" si="160"/>
        <v>2487.4500000000003</v>
      </c>
      <c r="M3440" s="7"/>
      <c r="O3440">
        <f t="shared" si="161"/>
        <v>2</v>
      </c>
      <c r="Q3440" t="s">
        <v>33</v>
      </c>
    </row>
    <row r="3441" spans="1:17" x14ac:dyDescent="0.3">
      <c r="A3441" t="s">
        <v>4559</v>
      </c>
      <c r="B3441" s="6">
        <v>45066</v>
      </c>
      <c r="C3441" s="6" t="str">
        <f t="shared" si="159"/>
        <v>May</v>
      </c>
      <c r="D3441" t="s">
        <v>1975</v>
      </c>
      <c r="E3441" t="s">
        <v>19</v>
      </c>
      <c r="F3441" t="s">
        <v>706</v>
      </c>
      <c r="G3441">
        <v>8</v>
      </c>
      <c r="H3441" s="7">
        <v>244.09</v>
      </c>
      <c r="I3441" t="s">
        <v>64</v>
      </c>
      <c r="J3441" t="s">
        <v>19</v>
      </c>
      <c r="K3441">
        <v>10</v>
      </c>
      <c r="L3441" s="7">
        <f t="shared" si="160"/>
        <v>1952.72</v>
      </c>
      <c r="M3441" s="7"/>
      <c r="O3441">
        <f t="shared" si="161"/>
        <v>2</v>
      </c>
      <c r="Q3441" t="s">
        <v>65</v>
      </c>
    </row>
    <row r="3442" spans="1:17" x14ac:dyDescent="0.3">
      <c r="A3442" t="s">
        <v>4560</v>
      </c>
      <c r="B3442" s="6">
        <v>45114</v>
      </c>
      <c r="C3442" s="6" t="str">
        <f t="shared" si="159"/>
        <v>Jul</v>
      </c>
      <c r="D3442" t="s">
        <v>2154</v>
      </c>
      <c r="E3442" t="s">
        <v>26</v>
      </c>
      <c r="F3442" t="s">
        <v>398</v>
      </c>
      <c r="G3442">
        <v>7</v>
      </c>
      <c r="H3442" s="7">
        <v>448.77</v>
      </c>
      <c r="I3442" t="s">
        <v>19</v>
      </c>
      <c r="J3442" t="s">
        <v>19</v>
      </c>
      <c r="K3442">
        <v>0</v>
      </c>
      <c r="L3442" s="7">
        <f t="shared" si="160"/>
        <v>3141.39</v>
      </c>
      <c r="M3442" s="7"/>
      <c r="O3442">
        <f t="shared" si="161"/>
        <v>4</v>
      </c>
      <c r="Q3442" t="s">
        <v>19</v>
      </c>
    </row>
    <row r="3443" spans="1:17" x14ac:dyDescent="0.3">
      <c r="A3443" t="s">
        <v>4561</v>
      </c>
      <c r="B3443" s="6">
        <v>45189</v>
      </c>
      <c r="C3443" s="6" t="str">
        <f t="shared" si="159"/>
        <v>Sep</v>
      </c>
      <c r="D3443" t="s">
        <v>682</v>
      </c>
      <c r="E3443" t="s">
        <v>50</v>
      </c>
      <c r="F3443" t="s">
        <v>142</v>
      </c>
      <c r="G3443">
        <v>3</v>
      </c>
      <c r="H3443" s="7">
        <v>491.43</v>
      </c>
      <c r="I3443" t="s">
        <v>64</v>
      </c>
      <c r="J3443" t="s">
        <v>72</v>
      </c>
      <c r="K3443">
        <v>5</v>
      </c>
      <c r="L3443" s="7">
        <f t="shared" si="160"/>
        <v>1474.29</v>
      </c>
      <c r="M3443" s="7"/>
      <c r="O3443">
        <f t="shared" si="161"/>
        <v>2</v>
      </c>
      <c r="Q3443" t="s">
        <v>65</v>
      </c>
    </row>
    <row r="3444" spans="1:17" x14ac:dyDescent="0.3">
      <c r="A3444" t="s">
        <v>4562</v>
      </c>
      <c r="B3444" s="6">
        <v>45141</v>
      </c>
      <c r="C3444" s="6" t="str">
        <f t="shared" si="159"/>
        <v>Aug</v>
      </c>
      <c r="D3444" t="s">
        <v>2717</v>
      </c>
      <c r="E3444" t="s">
        <v>40</v>
      </c>
      <c r="F3444" t="s">
        <v>211</v>
      </c>
      <c r="G3444">
        <v>2</v>
      </c>
      <c r="H3444" s="7">
        <v>202.56</v>
      </c>
      <c r="I3444" t="s">
        <v>103</v>
      </c>
      <c r="J3444" t="s">
        <v>72</v>
      </c>
      <c r="K3444">
        <v>15</v>
      </c>
      <c r="L3444" s="7">
        <f t="shared" si="160"/>
        <v>405.12</v>
      </c>
      <c r="M3444" s="7"/>
      <c r="O3444">
        <f t="shared" si="161"/>
        <v>2</v>
      </c>
      <c r="Q3444" t="s">
        <v>104</v>
      </c>
    </row>
    <row r="3445" spans="1:17" x14ac:dyDescent="0.3">
      <c r="A3445" t="s">
        <v>4563</v>
      </c>
      <c r="B3445" s="6">
        <v>45277</v>
      </c>
      <c r="C3445" s="6" t="str">
        <f t="shared" si="159"/>
        <v>Dec</v>
      </c>
      <c r="D3445" t="s">
        <v>1212</v>
      </c>
      <c r="E3445" t="s">
        <v>40</v>
      </c>
      <c r="F3445" t="s">
        <v>139</v>
      </c>
      <c r="G3445">
        <v>7</v>
      </c>
      <c r="H3445" s="7">
        <v>210.64</v>
      </c>
      <c r="I3445" t="s">
        <v>46</v>
      </c>
      <c r="J3445" t="s">
        <v>72</v>
      </c>
      <c r="K3445">
        <v>10</v>
      </c>
      <c r="L3445" s="7">
        <f t="shared" si="160"/>
        <v>1474.48</v>
      </c>
      <c r="M3445" s="7"/>
      <c r="O3445">
        <f t="shared" si="161"/>
        <v>2</v>
      </c>
      <c r="Q3445" t="s">
        <v>47</v>
      </c>
    </row>
    <row r="3446" spans="1:17" x14ac:dyDescent="0.3">
      <c r="A3446" t="s">
        <v>4564</v>
      </c>
      <c r="B3446" s="6">
        <v>45058</v>
      </c>
      <c r="C3446" s="6" t="str">
        <f t="shared" si="159"/>
        <v>May</v>
      </c>
      <c r="D3446" t="s">
        <v>425</v>
      </c>
      <c r="E3446" t="s">
        <v>26</v>
      </c>
      <c r="F3446" t="s">
        <v>165</v>
      </c>
      <c r="G3446">
        <v>3</v>
      </c>
      <c r="H3446" s="7">
        <v>206.94</v>
      </c>
      <c r="I3446" t="s">
        <v>21</v>
      </c>
      <c r="J3446" t="s">
        <v>87</v>
      </c>
      <c r="K3446">
        <v>15</v>
      </c>
      <c r="L3446" s="7">
        <f t="shared" si="160"/>
        <v>620.81999999999994</v>
      </c>
      <c r="M3446" s="7"/>
      <c r="O3446">
        <f t="shared" si="161"/>
        <v>2</v>
      </c>
      <c r="Q3446" t="s">
        <v>23</v>
      </c>
    </row>
    <row r="3447" spans="1:17" x14ac:dyDescent="0.3">
      <c r="A3447" t="s">
        <v>4565</v>
      </c>
      <c r="B3447" s="6">
        <v>45245</v>
      </c>
      <c r="C3447" s="6" t="str">
        <f t="shared" si="159"/>
        <v>Nov</v>
      </c>
      <c r="D3447" t="s">
        <v>156</v>
      </c>
      <c r="E3447" t="s">
        <v>26</v>
      </c>
      <c r="F3447" t="s">
        <v>445</v>
      </c>
      <c r="G3447">
        <v>3</v>
      </c>
      <c r="H3447" s="7">
        <v>165.65</v>
      </c>
      <c r="I3447" t="s">
        <v>64</v>
      </c>
      <c r="J3447" t="s">
        <v>72</v>
      </c>
      <c r="K3447">
        <v>0</v>
      </c>
      <c r="L3447" s="7">
        <f t="shared" si="160"/>
        <v>496.95000000000005</v>
      </c>
      <c r="M3447" s="7"/>
      <c r="O3447">
        <f t="shared" si="161"/>
        <v>2</v>
      </c>
      <c r="Q3447" t="s">
        <v>65</v>
      </c>
    </row>
    <row r="3448" spans="1:17" x14ac:dyDescent="0.3">
      <c r="A3448" t="s">
        <v>4566</v>
      </c>
      <c r="B3448" s="6">
        <v>45186</v>
      </c>
      <c r="C3448" s="6" t="str">
        <f t="shared" si="159"/>
        <v>Sep</v>
      </c>
      <c r="D3448" t="s">
        <v>427</v>
      </c>
      <c r="E3448" t="s">
        <v>19</v>
      </c>
      <c r="F3448" t="s">
        <v>378</v>
      </c>
      <c r="G3448">
        <v>2</v>
      </c>
      <c r="H3448" s="7">
        <v>391.94</v>
      </c>
      <c r="I3448" t="s">
        <v>32</v>
      </c>
      <c r="J3448" t="s">
        <v>19</v>
      </c>
      <c r="K3448">
        <v>10</v>
      </c>
      <c r="L3448" s="7">
        <f t="shared" si="160"/>
        <v>783.88</v>
      </c>
      <c r="M3448" s="7"/>
      <c r="O3448">
        <f t="shared" si="161"/>
        <v>2</v>
      </c>
      <c r="Q3448" t="s">
        <v>33</v>
      </c>
    </row>
    <row r="3449" spans="1:17" x14ac:dyDescent="0.3">
      <c r="A3449" t="s">
        <v>4567</v>
      </c>
      <c r="B3449" s="6">
        <v>45235</v>
      </c>
      <c r="C3449" s="6" t="str">
        <f t="shared" si="159"/>
        <v>Nov</v>
      </c>
      <c r="D3449" t="s">
        <v>740</v>
      </c>
      <c r="E3449" t="s">
        <v>31</v>
      </c>
      <c r="F3449" t="s">
        <v>378</v>
      </c>
      <c r="G3449">
        <v>4</v>
      </c>
      <c r="H3449" s="7">
        <v>380.7</v>
      </c>
      <c r="I3449" t="s">
        <v>64</v>
      </c>
      <c r="J3449" t="s">
        <v>72</v>
      </c>
      <c r="K3449">
        <v>20</v>
      </c>
      <c r="L3449" s="7">
        <f t="shared" si="160"/>
        <v>1522.8</v>
      </c>
      <c r="M3449" s="7"/>
      <c r="O3449">
        <f t="shared" si="161"/>
        <v>2</v>
      </c>
      <c r="Q3449" t="s">
        <v>65</v>
      </c>
    </row>
    <row r="3450" spans="1:17" x14ac:dyDescent="0.3">
      <c r="A3450" t="s">
        <v>4568</v>
      </c>
      <c r="B3450" s="6">
        <v>45188</v>
      </c>
      <c r="C3450" s="6" t="str">
        <f t="shared" si="159"/>
        <v>Sep</v>
      </c>
      <c r="D3450" t="s">
        <v>609</v>
      </c>
      <c r="E3450" t="s">
        <v>40</v>
      </c>
      <c r="F3450" t="s">
        <v>110</v>
      </c>
      <c r="G3450">
        <v>8</v>
      </c>
      <c r="H3450" s="7">
        <v>241.93</v>
      </c>
      <c r="I3450" t="s">
        <v>32</v>
      </c>
      <c r="J3450" t="s">
        <v>72</v>
      </c>
      <c r="K3450">
        <v>5</v>
      </c>
      <c r="L3450" s="7">
        <f t="shared" si="160"/>
        <v>1935.44</v>
      </c>
      <c r="M3450" s="7"/>
      <c r="O3450">
        <f t="shared" si="161"/>
        <v>2</v>
      </c>
      <c r="Q3450" t="s">
        <v>33</v>
      </c>
    </row>
    <row r="3451" spans="1:17" x14ac:dyDescent="0.3">
      <c r="A3451" t="s">
        <v>4569</v>
      </c>
      <c r="B3451" s="6">
        <v>45192</v>
      </c>
      <c r="C3451" s="6" t="str">
        <f t="shared" si="159"/>
        <v>Sep</v>
      </c>
      <c r="D3451" t="s">
        <v>1378</v>
      </c>
      <c r="E3451" t="s">
        <v>19</v>
      </c>
      <c r="F3451" t="s">
        <v>586</v>
      </c>
      <c r="G3451">
        <v>1</v>
      </c>
      <c r="H3451" s="7">
        <v>27.11</v>
      </c>
      <c r="I3451" t="s">
        <v>64</v>
      </c>
      <c r="J3451" t="s">
        <v>42</v>
      </c>
      <c r="K3451">
        <v>10</v>
      </c>
      <c r="L3451" s="7">
        <f t="shared" si="160"/>
        <v>27.11</v>
      </c>
      <c r="M3451" s="7"/>
      <c r="O3451">
        <f t="shared" si="161"/>
        <v>2</v>
      </c>
      <c r="Q3451" t="s">
        <v>65</v>
      </c>
    </row>
    <row r="3452" spans="1:17" x14ac:dyDescent="0.3">
      <c r="A3452" t="s">
        <v>4570</v>
      </c>
      <c r="B3452" s="6">
        <v>45001</v>
      </c>
      <c r="C3452" s="6" t="str">
        <f t="shared" si="159"/>
        <v>Mar</v>
      </c>
      <c r="D3452" t="s">
        <v>1525</v>
      </c>
      <c r="E3452" t="s">
        <v>19</v>
      </c>
      <c r="F3452" t="s">
        <v>662</v>
      </c>
      <c r="G3452">
        <v>1</v>
      </c>
      <c r="H3452" s="7">
        <v>158.22999999999999</v>
      </c>
      <c r="I3452" t="s">
        <v>32</v>
      </c>
      <c r="J3452" t="s">
        <v>72</v>
      </c>
      <c r="K3452">
        <v>5</v>
      </c>
      <c r="L3452" s="7">
        <f t="shared" si="160"/>
        <v>158.22999999999999</v>
      </c>
      <c r="M3452" s="7"/>
      <c r="O3452">
        <f t="shared" si="161"/>
        <v>2</v>
      </c>
      <c r="Q3452" t="s">
        <v>33</v>
      </c>
    </row>
    <row r="3453" spans="1:17" x14ac:dyDescent="0.3">
      <c r="A3453" t="s">
        <v>4571</v>
      </c>
      <c r="B3453" s="6">
        <v>45144</v>
      </c>
      <c r="C3453" s="6" t="str">
        <f t="shared" si="159"/>
        <v>Aug</v>
      </c>
      <c r="D3453" t="s">
        <v>1824</v>
      </c>
      <c r="E3453" t="s">
        <v>62</v>
      </c>
      <c r="F3453" t="s">
        <v>932</v>
      </c>
      <c r="G3453">
        <v>5</v>
      </c>
      <c r="H3453" s="7">
        <v>149.69</v>
      </c>
      <c r="I3453" t="s">
        <v>19</v>
      </c>
      <c r="J3453" t="s">
        <v>72</v>
      </c>
      <c r="K3453">
        <v>10</v>
      </c>
      <c r="L3453" s="7">
        <f t="shared" si="160"/>
        <v>748.45</v>
      </c>
      <c r="M3453" s="7"/>
      <c r="O3453">
        <f t="shared" si="161"/>
        <v>2</v>
      </c>
      <c r="Q3453" t="s">
        <v>19</v>
      </c>
    </row>
    <row r="3454" spans="1:17" x14ac:dyDescent="0.3">
      <c r="A3454" t="s">
        <v>4572</v>
      </c>
      <c r="B3454" s="6">
        <v>44966</v>
      </c>
      <c r="C3454" s="6" t="str">
        <f t="shared" si="159"/>
        <v>Feb</v>
      </c>
      <c r="D3454" t="s">
        <v>4048</v>
      </c>
      <c r="E3454" t="s">
        <v>19</v>
      </c>
      <c r="F3454" t="s">
        <v>78</v>
      </c>
      <c r="G3454">
        <v>5</v>
      </c>
      <c r="H3454" s="7">
        <v>406.49</v>
      </c>
      <c r="I3454" t="s">
        <v>32</v>
      </c>
      <c r="J3454" t="s">
        <v>22</v>
      </c>
      <c r="K3454">
        <v>5</v>
      </c>
      <c r="L3454" s="7">
        <f t="shared" si="160"/>
        <v>2032.45</v>
      </c>
      <c r="M3454" s="7"/>
      <c r="O3454">
        <f t="shared" si="161"/>
        <v>2</v>
      </c>
      <c r="Q3454" t="s">
        <v>33</v>
      </c>
    </row>
    <row r="3455" spans="1:17" x14ac:dyDescent="0.3">
      <c r="A3455" t="s">
        <v>4573</v>
      </c>
      <c r="B3455" s="6">
        <v>45258</v>
      </c>
      <c r="C3455" s="6" t="str">
        <f t="shared" si="159"/>
        <v>Nov</v>
      </c>
      <c r="D3455" t="s">
        <v>3059</v>
      </c>
      <c r="E3455" t="s">
        <v>40</v>
      </c>
      <c r="F3455" t="s">
        <v>1023</v>
      </c>
      <c r="G3455">
        <v>1</v>
      </c>
      <c r="H3455" s="7">
        <v>48.35</v>
      </c>
      <c r="I3455" t="s">
        <v>46</v>
      </c>
      <c r="J3455" t="s">
        <v>22</v>
      </c>
      <c r="K3455">
        <v>10</v>
      </c>
      <c r="L3455" s="7">
        <f t="shared" si="160"/>
        <v>48.35</v>
      </c>
      <c r="M3455" s="7"/>
      <c r="O3455">
        <f t="shared" si="161"/>
        <v>2</v>
      </c>
      <c r="Q3455" t="s">
        <v>47</v>
      </c>
    </row>
    <row r="3456" spans="1:17" x14ac:dyDescent="0.3">
      <c r="A3456" t="s">
        <v>4574</v>
      </c>
      <c r="B3456" s="6">
        <v>44973</v>
      </c>
      <c r="C3456" s="6" t="str">
        <f t="shared" si="159"/>
        <v>Feb</v>
      </c>
      <c r="D3456" t="s">
        <v>25</v>
      </c>
      <c r="E3456" t="s">
        <v>26</v>
      </c>
      <c r="F3456" t="s">
        <v>154</v>
      </c>
      <c r="G3456">
        <v>6</v>
      </c>
      <c r="H3456" s="7">
        <v>403.81</v>
      </c>
      <c r="I3456" t="s">
        <v>64</v>
      </c>
      <c r="J3456" t="s">
        <v>87</v>
      </c>
      <c r="K3456">
        <v>20</v>
      </c>
      <c r="L3456" s="7">
        <f t="shared" si="160"/>
        <v>2422.86</v>
      </c>
      <c r="M3456" s="7"/>
      <c r="O3456">
        <f t="shared" si="161"/>
        <v>2</v>
      </c>
      <c r="Q3456" t="s">
        <v>65</v>
      </c>
    </row>
    <row r="3457" spans="1:17" x14ac:dyDescent="0.3">
      <c r="A3457" t="s">
        <v>4575</v>
      </c>
      <c r="B3457" s="6">
        <v>45116</v>
      </c>
      <c r="C3457" s="6" t="str">
        <f t="shared" si="159"/>
        <v>Jul</v>
      </c>
      <c r="D3457" t="s">
        <v>280</v>
      </c>
      <c r="E3457" t="s">
        <v>31</v>
      </c>
      <c r="F3457" t="s">
        <v>68</v>
      </c>
      <c r="G3457">
        <v>1</v>
      </c>
      <c r="H3457" s="7">
        <v>336.25</v>
      </c>
      <c r="I3457" t="s">
        <v>21</v>
      </c>
      <c r="J3457" t="s">
        <v>87</v>
      </c>
      <c r="K3457">
        <v>15</v>
      </c>
      <c r="L3457" s="7">
        <f t="shared" si="160"/>
        <v>336.25</v>
      </c>
      <c r="M3457" s="7"/>
      <c r="O3457">
        <f t="shared" si="161"/>
        <v>2</v>
      </c>
      <c r="Q3457" t="s">
        <v>23</v>
      </c>
    </row>
    <row r="3458" spans="1:17" x14ac:dyDescent="0.3">
      <c r="A3458" t="s">
        <v>4576</v>
      </c>
      <c r="B3458" s="6">
        <v>45049</v>
      </c>
      <c r="C3458" s="6" t="str">
        <f t="shared" si="159"/>
        <v>May</v>
      </c>
      <c r="D3458" t="s">
        <v>2329</v>
      </c>
      <c r="E3458" t="s">
        <v>31</v>
      </c>
      <c r="F3458" t="s">
        <v>198</v>
      </c>
      <c r="G3458">
        <v>5</v>
      </c>
      <c r="H3458" s="7">
        <v>367.56</v>
      </c>
      <c r="I3458" t="s">
        <v>21</v>
      </c>
      <c r="J3458" t="s">
        <v>19</v>
      </c>
      <c r="K3458">
        <v>20</v>
      </c>
      <c r="L3458" s="7">
        <f t="shared" si="160"/>
        <v>1837.8</v>
      </c>
      <c r="M3458" s="7"/>
      <c r="O3458">
        <f t="shared" si="161"/>
        <v>2</v>
      </c>
      <c r="Q3458" t="s">
        <v>23</v>
      </c>
    </row>
    <row r="3459" spans="1:17" x14ac:dyDescent="0.3">
      <c r="A3459" t="s">
        <v>4577</v>
      </c>
      <c r="B3459" s="6">
        <v>45237</v>
      </c>
      <c r="C3459" s="6" t="str">
        <f t="shared" ref="C3459:C3522" si="162">TEXT(B3459,"MMM")</f>
        <v>Nov</v>
      </c>
      <c r="D3459" t="s">
        <v>2585</v>
      </c>
      <c r="E3459" t="s">
        <v>19</v>
      </c>
      <c r="F3459" t="s">
        <v>417</v>
      </c>
      <c r="G3459">
        <v>5</v>
      </c>
      <c r="H3459" s="7">
        <v>218.95</v>
      </c>
      <c r="I3459" t="s">
        <v>19</v>
      </c>
      <c r="J3459" t="s">
        <v>72</v>
      </c>
      <c r="K3459">
        <v>5</v>
      </c>
      <c r="L3459" s="7">
        <f t="shared" ref="L3459:L3522" si="163">G3459*H3459</f>
        <v>1094.75</v>
      </c>
      <c r="M3459" s="7"/>
      <c r="O3459">
        <f t="shared" si="161"/>
        <v>2</v>
      </c>
      <c r="Q3459" t="s">
        <v>19</v>
      </c>
    </row>
    <row r="3460" spans="1:17" x14ac:dyDescent="0.3">
      <c r="A3460" t="s">
        <v>4578</v>
      </c>
      <c r="B3460" s="6">
        <v>45111</v>
      </c>
      <c r="C3460" s="6" t="str">
        <f t="shared" si="162"/>
        <v>Jul</v>
      </c>
      <c r="D3460" t="s">
        <v>2097</v>
      </c>
      <c r="E3460" t="s">
        <v>31</v>
      </c>
      <c r="F3460" t="s">
        <v>472</v>
      </c>
      <c r="G3460">
        <v>5</v>
      </c>
      <c r="H3460" s="7">
        <v>341.46</v>
      </c>
      <c r="I3460" t="s">
        <v>19</v>
      </c>
      <c r="J3460" t="s">
        <v>19</v>
      </c>
      <c r="K3460">
        <v>10</v>
      </c>
      <c r="L3460" s="7">
        <f t="shared" si="163"/>
        <v>1707.3</v>
      </c>
      <c r="M3460" s="7"/>
      <c r="O3460">
        <f t="shared" ref="O3460:O3523" si="164">IF(L3460&gt;3500,5,IF(L3460&gt;3000,4,IF(L3460&gt;2500,3,IF(L3460&gt;2000,2,IF(L3460&gt;1000,2,2)))))</f>
        <v>2</v>
      </c>
      <c r="Q3460" t="s">
        <v>19</v>
      </c>
    </row>
    <row r="3461" spans="1:17" x14ac:dyDescent="0.3">
      <c r="A3461" t="s">
        <v>4579</v>
      </c>
      <c r="B3461" s="6">
        <v>44973</v>
      </c>
      <c r="C3461" s="6" t="str">
        <f t="shared" si="162"/>
        <v>Feb</v>
      </c>
      <c r="D3461" t="s">
        <v>2832</v>
      </c>
      <c r="E3461" t="s">
        <v>36</v>
      </c>
      <c r="F3461" t="s">
        <v>1023</v>
      </c>
      <c r="G3461">
        <v>6</v>
      </c>
      <c r="H3461" s="7">
        <v>306.47000000000003</v>
      </c>
      <c r="I3461" t="s">
        <v>32</v>
      </c>
      <c r="J3461" t="s">
        <v>72</v>
      </c>
      <c r="K3461">
        <v>15</v>
      </c>
      <c r="L3461" s="7">
        <f t="shared" si="163"/>
        <v>1838.8200000000002</v>
      </c>
      <c r="M3461" s="7"/>
      <c r="O3461">
        <f t="shared" si="164"/>
        <v>2</v>
      </c>
      <c r="Q3461" t="s">
        <v>33</v>
      </c>
    </row>
    <row r="3462" spans="1:17" x14ac:dyDescent="0.3">
      <c r="A3462" t="s">
        <v>4580</v>
      </c>
      <c r="B3462" s="6">
        <v>44927</v>
      </c>
      <c r="C3462" s="6" t="str">
        <f t="shared" si="162"/>
        <v>Jan</v>
      </c>
      <c r="D3462" t="s">
        <v>1173</v>
      </c>
      <c r="E3462" t="s">
        <v>26</v>
      </c>
      <c r="F3462" t="s">
        <v>254</v>
      </c>
      <c r="G3462">
        <v>8</v>
      </c>
      <c r="H3462" s="7">
        <v>385.65</v>
      </c>
      <c r="I3462" t="s">
        <v>64</v>
      </c>
      <c r="J3462" t="s">
        <v>19</v>
      </c>
      <c r="K3462">
        <v>10</v>
      </c>
      <c r="L3462" s="7">
        <f t="shared" si="163"/>
        <v>3085.2</v>
      </c>
      <c r="M3462" s="7"/>
      <c r="O3462">
        <f t="shared" si="164"/>
        <v>4</v>
      </c>
      <c r="Q3462" t="s">
        <v>65</v>
      </c>
    </row>
    <row r="3463" spans="1:17" x14ac:dyDescent="0.3">
      <c r="A3463" t="s">
        <v>4581</v>
      </c>
      <c r="B3463" s="6">
        <v>45062</v>
      </c>
      <c r="C3463" s="6" t="str">
        <f t="shared" si="162"/>
        <v>May</v>
      </c>
      <c r="D3463" t="s">
        <v>219</v>
      </c>
      <c r="E3463" t="s">
        <v>26</v>
      </c>
      <c r="F3463" t="s">
        <v>517</v>
      </c>
      <c r="G3463">
        <v>1</v>
      </c>
      <c r="H3463" s="7">
        <v>226.15</v>
      </c>
      <c r="I3463" t="s">
        <v>32</v>
      </c>
      <c r="J3463" t="s">
        <v>87</v>
      </c>
      <c r="K3463">
        <v>20</v>
      </c>
      <c r="L3463" s="7">
        <f t="shared" si="163"/>
        <v>226.15</v>
      </c>
      <c r="M3463" s="7"/>
      <c r="O3463">
        <f t="shared" si="164"/>
        <v>2</v>
      </c>
      <c r="Q3463" t="s">
        <v>33</v>
      </c>
    </row>
    <row r="3464" spans="1:17" x14ac:dyDescent="0.3">
      <c r="A3464" t="s">
        <v>4582</v>
      </c>
      <c r="B3464" s="6">
        <v>44927</v>
      </c>
      <c r="C3464" s="6" t="str">
        <f t="shared" si="162"/>
        <v>Jan</v>
      </c>
      <c r="D3464" t="s">
        <v>779</v>
      </c>
      <c r="E3464" t="s">
        <v>19</v>
      </c>
      <c r="F3464" t="s">
        <v>1461</v>
      </c>
      <c r="G3464">
        <v>2</v>
      </c>
      <c r="H3464" s="7">
        <v>239.05</v>
      </c>
      <c r="I3464" t="s">
        <v>64</v>
      </c>
      <c r="J3464" t="s">
        <v>42</v>
      </c>
      <c r="K3464">
        <v>0</v>
      </c>
      <c r="L3464" s="7">
        <f t="shared" si="163"/>
        <v>478.1</v>
      </c>
      <c r="M3464" s="7"/>
      <c r="O3464">
        <f t="shared" si="164"/>
        <v>2</v>
      </c>
      <c r="Q3464" t="s">
        <v>65</v>
      </c>
    </row>
    <row r="3465" spans="1:17" x14ac:dyDescent="0.3">
      <c r="A3465" t="s">
        <v>4583</v>
      </c>
      <c r="B3465" s="6">
        <v>45245</v>
      </c>
      <c r="C3465" s="6" t="str">
        <f t="shared" si="162"/>
        <v>Nov</v>
      </c>
      <c r="D3465" t="s">
        <v>541</v>
      </c>
      <c r="E3465" t="s">
        <v>19</v>
      </c>
      <c r="F3465" t="s">
        <v>1693</v>
      </c>
      <c r="G3465">
        <v>9</v>
      </c>
      <c r="H3465" s="7">
        <v>323.57</v>
      </c>
      <c r="I3465" t="s">
        <v>64</v>
      </c>
      <c r="J3465" t="s">
        <v>22</v>
      </c>
      <c r="K3465">
        <v>0</v>
      </c>
      <c r="L3465" s="7">
        <f t="shared" si="163"/>
        <v>2912.13</v>
      </c>
      <c r="M3465" s="7"/>
      <c r="O3465">
        <f t="shared" si="164"/>
        <v>3</v>
      </c>
      <c r="Q3465" t="s">
        <v>65</v>
      </c>
    </row>
    <row r="3466" spans="1:17" x14ac:dyDescent="0.3">
      <c r="A3466" t="s">
        <v>4584</v>
      </c>
      <c r="B3466" s="6">
        <v>44940</v>
      </c>
      <c r="C3466" s="6" t="str">
        <f t="shared" si="162"/>
        <v>Jan</v>
      </c>
      <c r="D3466" t="s">
        <v>1273</v>
      </c>
      <c r="E3466" t="s">
        <v>19</v>
      </c>
      <c r="F3466" t="s">
        <v>363</v>
      </c>
      <c r="G3466">
        <v>3</v>
      </c>
      <c r="H3466" s="7">
        <v>58.5</v>
      </c>
      <c r="I3466" t="s">
        <v>64</v>
      </c>
      <c r="J3466" t="s">
        <v>19</v>
      </c>
      <c r="K3466">
        <v>15</v>
      </c>
      <c r="L3466" s="7">
        <f t="shared" si="163"/>
        <v>175.5</v>
      </c>
      <c r="M3466" s="7"/>
      <c r="O3466">
        <f t="shared" si="164"/>
        <v>2</v>
      </c>
      <c r="Q3466" t="s">
        <v>65</v>
      </c>
    </row>
    <row r="3467" spans="1:17" x14ac:dyDescent="0.3">
      <c r="A3467" t="s">
        <v>4585</v>
      </c>
      <c r="B3467" s="6">
        <v>45217</v>
      </c>
      <c r="C3467" s="6" t="str">
        <f t="shared" si="162"/>
        <v>Oct</v>
      </c>
      <c r="D3467" t="s">
        <v>2173</v>
      </c>
      <c r="E3467" t="s">
        <v>19</v>
      </c>
      <c r="F3467" t="s">
        <v>499</v>
      </c>
      <c r="G3467">
        <v>5</v>
      </c>
      <c r="H3467" s="7">
        <v>220.94</v>
      </c>
      <c r="I3467" t="s">
        <v>64</v>
      </c>
      <c r="J3467" t="s">
        <v>72</v>
      </c>
      <c r="K3467">
        <v>15</v>
      </c>
      <c r="L3467" s="7">
        <f t="shared" si="163"/>
        <v>1104.7</v>
      </c>
      <c r="M3467" s="7"/>
      <c r="O3467">
        <f t="shared" si="164"/>
        <v>2</v>
      </c>
      <c r="Q3467" t="s">
        <v>65</v>
      </c>
    </row>
    <row r="3468" spans="1:17" x14ac:dyDescent="0.3">
      <c r="A3468" t="s">
        <v>4586</v>
      </c>
      <c r="B3468" s="6">
        <v>45076</v>
      </c>
      <c r="C3468" s="6" t="str">
        <f t="shared" si="162"/>
        <v>May</v>
      </c>
      <c r="D3468" t="s">
        <v>340</v>
      </c>
      <c r="E3468" t="s">
        <v>40</v>
      </c>
      <c r="F3468" t="s">
        <v>331</v>
      </c>
      <c r="G3468">
        <v>5</v>
      </c>
      <c r="H3468" s="7">
        <v>486.12</v>
      </c>
      <c r="I3468" t="s">
        <v>19</v>
      </c>
      <c r="J3468" t="s">
        <v>22</v>
      </c>
      <c r="K3468">
        <v>15</v>
      </c>
      <c r="L3468" s="7">
        <f t="shared" si="163"/>
        <v>2430.6</v>
      </c>
      <c r="M3468" s="7"/>
      <c r="O3468">
        <f t="shared" si="164"/>
        <v>2</v>
      </c>
      <c r="Q3468" t="s">
        <v>19</v>
      </c>
    </row>
    <row r="3469" spans="1:17" x14ac:dyDescent="0.3">
      <c r="A3469" t="s">
        <v>4587</v>
      </c>
      <c r="B3469" s="6">
        <v>45054</v>
      </c>
      <c r="C3469" s="6" t="str">
        <f t="shared" si="162"/>
        <v>May</v>
      </c>
      <c r="D3469" t="s">
        <v>2380</v>
      </c>
      <c r="E3469" t="s">
        <v>62</v>
      </c>
      <c r="F3469" t="s">
        <v>84</v>
      </c>
      <c r="G3469">
        <v>2</v>
      </c>
      <c r="H3469" s="7">
        <v>23.59</v>
      </c>
      <c r="I3469" t="s">
        <v>32</v>
      </c>
      <c r="J3469" t="s">
        <v>19</v>
      </c>
      <c r="K3469">
        <v>0</v>
      </c>
      <c r="L3469" s="7">
        <f t="shared" si="163"/>
        <v>47.18</v>
      </c>
      <c r="M3469" s="7"/>
      <c r="O3469">
        <f t="shared" si="164"/>
        <v>2</v>
      </c>
      <c r="Q3469" t="s">
        <v>33</v>
      </c>
    </row>
    <row r="3470" spans="1:17" x14ac:dyDescent="0.3">
      <c r="A3470" t="s">
        <v>4588</v>
      </c>
      <c r="B3470" s="6">
        <v>45203</v>
      </c>
      <c r="C3470" s="6" t="str">
        <f t="shared" si="162"/>
        <v>Oct</v>
      </c>
      <c r="D3470" t="s">
        <v>1321</v>
      </c>
      <c r="E3470" t="s">
        <v>26</v>
      </c>
      <c r="F3470" t="s">
        <v>939</v>
      </c>
      <c r="G3470">
        <v>7</v>
      </c>
      <c r="H3470" s="7">
        <v>161.41999999999999</v>
      </c>
      <c r="I3470" t="s">
        <v>103</v>
      </c>
      <c r="J3470" t="s">
        <v>42</v>
      </c>
      <c r="K3470">
        <v>20</v>
      </c>
      <c r="L3470" s="7">
        <f t="shared" si="163"/>
        <v>1129.9399999999998</v>
      </c>
      <c r="M3470" s="7"/>
      <c r="O3470">
        <f t="shared" si="164"/>
        <v>2</v>
      </c>
      <c r="Q3470" t="s">
        <v>104</v>
      </c>
    </row>
    <row r="3471" spans="1:17" x14ac:dyDescent="0.3">
      <c r="A3471" t="s">
        <v>4589</v>
      </c>
      <c r="B3471" s="6">
        <v>44972</v>
      </c>
      <c r="C3471" s="6" t="str">
        <f t="shared" si="162"/>
        <v>Feb</v>
      </c>
      <c r="D3471" t="s">
        <v>1458</v>
      </c>
      <c r="E3471" t="s">
        <v>26</v>
      </c>
      <c r="F3471" t="s">
        <v>54</v>
      </c>
      <c r="G3471">
        <v>4</v>
      </c>
      <c r="H3471" s="7">
        <v>160.47999999999999</v>
      </c>
      <c r="I3471" t="s">
        <v>64</v>
      </c>
      <c r="J3471" t="s">
        <v>42</v>
      </c>
      <c r="K3471">
        <v>15</v>
      </c>
      <c r="L3471" s="7">
        <f t="shared" si="163"/>
        <v>641.91999999999996</v>
      </c>
      <c r="M3471" s="7"/>
      <c r="O3471">
        <f t="shared" si="164"/>
        <v>2</v>
      </c>
      <c r="Q3471" t="s">
        <v>65</v>
      </c>
    </row>
    <row r="3472" spans="1:17" x14ac:dyDescent="0.3">
      <c r="A3472" t="s">
        <v>4590</v>
      </c>
      <c r="B3472" s="6">
        <v>45275</v>
      </c>
      <c r="C3472" s="6" t="str">
        <f t="shared" si="162"/>
        <v>Dec</v>
      </c>
      <c r="D3472" t="s">
        <v>1342</v>
      </c>
      <c r="E3472" t="s">
        <v>36</v>
      </c>
      <c r="F3472" t="s">
        <v>913</v>
      </c>
      <c r="G3472">
        <v>1</v>
      </c>
      <c r="H3472" s="7">
        <v>318.56</v>
      </c>
      <c r="I3472" t="s">
        <v>46</v>
      </c>
      <c r="J3472" t="s">
        <v>87</v>
      </c>
      <c r="K3472">
        <v>0</v>
      </c>
      <c r="L3472" s="7">
        <f t="shared" si="163"/>
        <v>318.56</v>
      </c>
      <c r="M3472" s="7"/>
      <c r="O3472">
        <f t="shared" si="164"/>
        <v>2</v>
      </c>
      <c r="Q3472" t="s">
        <v>47</v>
      </c>
    </row>
    <row r="3473" spans="1:17" x14ac:dyDescent="0.3">
      <c r="A3473" t="s">
        <v>4591</v>
      </c>
      <c r="B3473" s="6">
        <v>45086</v>
      </c>
      <c r="C3473" s="6" t="str">
        <f t="shared" si="162"/>
        <v>Jun</v>
      </c>
      <c r="D3473" t="s">
        <v>4592</v>
      </c>
      <c r="E3473" t="s">
        <v>50</v>
      </c>
      <c r="F3473" t="s">
        <v>523</v>
      </c>
      <c r="G3473">
        <v>4</v>
      </c>
      <c r="H3473" s="7">
        <v>57.37</v>
      </c>
      <c r="I3473" t="s">
        <v>19</v>
      </c>
      <c r="J3473" t="s">
        <v>87</v>
      </c>
      <c r="K3473">
        <v>15</v>
      </c>
      <c r="L3473" s="7">
        <f t="shared" si="163"/>
        <v>229.48</v>
      </c>
      <c r="M3473" s="7"/>
      <c r="O3473">
        <f t="shared" si="164"/>
        <v>2</v>
      </c>
      <c r="Q3473" t="s">
        <v>19</v>
      </c>
    </row>
    <row r="3474" spans="1:17" x14ac:dyDescent="0.3">
      <c r="A3474" t="s">
        <v>4593</v>
      </c>
      <c r="B3474" s="6">
        <v>45080</v>
      </c>
      <c r="C3474" s="6" t="str">
        <f t="shared" si="162"/>
        <v>Jun</v>
      </c>
      <c r="D3474" t="s">
        <v>2726</v>
      </c>
      <c r="E3474" t="s">
        <v>50</v>
      </c>
      <c r="F3474" t="s">
        <v>389</v>
      </c>
      <c r="G3474">
        <v>6</v>
      </c>
      <c r="H3474" s="7">
        <v>316.13</v>
      </c>
      <c r="I3474" t="s">
        <v>21</v>
      </c>
      <c r="J3474" t="s">
        <v>72</v>
      </c>
      <c r="K3474">
        <v>15</v>
      </c>
      <c r="L3474" s="7">
        <f t="shared" si="163"/>
        <v>1896.78</v>
      </c>
      <c r="M3474" s="7"/>
      <c r="O3474">
        <f t="shared" si="164"/>
        <v>2</v>
      </c>
      <c r="Q3474" t="s">
        <v>23</v>
      </c>
    </row>
    <row r="3475" spans="1:17" x14ac:dyDescent="0.3">
      <c r="A3475" t="s">
        <v>4594</v>
      </c>
      <c r="B3475" s="6">
        <v>45194</v>
      </c>
      <c r="C3475" s="6" t="str">
        <f t="shared" si="162"/>
        <v>Sep</v>
      </c>
      <c r="D3475" t="s">
        <v>607</v>
      </c>
      <c r="E3475" t="s">
        <v>19</v>
      </c>
      <c r="F3475" t="s">
        <v>344</v>
      </c>
      <c r="G3475">
        <v>7</v>
      </c>
      <c r="H3475" s="7">
        <v>52.04</v>
      </c>
      <c r="I3475" t="s">
        <v>21</v>
      </c>
      <c r="J3475" t="s">
        <v>87</v>
      </c>
      <c r="K3475">
        <v>10</v>
      </c>
      <c r="L3475" s="7">
        <f t="shared" si="163"/>
        <v>364.28</v>
      </c>
      <c r="M3475" s="7"/>
      <c r="O3475">
        <f t="shared" si="164"/>
        <v>2</v>
      </c>
      <c r="Q3475" t="s">
        <v>23</v>
      </c>
    </row>
    <row r="3476" spans="1:17" x14ac:dyDescent="0.3">
      <c r="A3476" t="s">
        <v>4595</v>
      </c>
      <c r="B3476" s="6">
        <v>45214</v>
      </c>
      <c r="C3476" s="6" t="str">
        <f t="shared" si="162"/>
        <v>Oct</v>
      </c>
      <c r="D3476" t="s">
        <v>83</v>
      </c>
      <c r="E3476" t="s">
        <v>26</v>
      </c>
      <c r="F3476" t="s">
        <v>932</v>
      </c>
      <c r="G3476">
        <v>7</v>
      </c>
      <c r="H3476" s="7">
        <v>52</v>
      </c>
      <c r="I3476" t="s">
        <v>46</v>
      </c>
      <c r="J3476" t="s">
        <v>72</v>
      </c>
      <c r="K3476">
        <v>15</v>
      </c>
      <c r="L3476" s="7">
        <f t="shared" si="163"/>
        <v>364</v>
      </c>
      <c r="M3476" s="7"/>
      <c r="O3476">
        <f t="shared" si="164"/>
        <v>2</v>
      </c>
      <c r="Q3476" t="s">
        <v>47</v>
      </c>
    </row>
    <row r="3477" spans="1:17" x14ac:dyDescent="0.3">
      <c r="A3477" t="s">
        <v>4596</v>
      </c>
      <c r="B3477" s="6">
        <v>45165</v>
      </c>
      <c r="C3477" s="6" t="str">
        <f t="shared" si="162"/>
        <v>Aug</v>
      </c>
      <c r="D3477" t="s">
        <v>1770</v>
      </c>
      <c r="E3477" t="s">
        <v>36</v>
      </c>
      <c r="F3477" t="s">
        <v>160</v>
      </c>
      <c r="G3477">
        <v>7</v>
      </c>
      <c r="H3477" s="7">
        <v>365.45</v>
      </c>
      <c r="I3477" t="s">
        <v>46</v>
      </c>
      <c r="J3477" t="s">
        <v>19</v>
      </c>
      <c r="K3477">
        <v>0</v>
      </c>
      <c r="L3477" s="7">
        <f t="shared" si="163"/>
        <v>2558.15</v>
      </c>
      <c r="M3477" s="7"/>
      <c r="O3477">
        <f t="shared" si="164"/>
        <v>3</v>
      </c>
      <c r="Q3477" t="s">
        <v>47</v>
      </c>
    </row>
    <row r="3478" spans="1:17" x14ac:dyDescent="0.3">
      <c r="A3478" t="s">
        <v>4597</v>
      </c>
      <c r="B3478" s="6">
        <v>44942</v>
      </c>
      <c r="C3478" s="6" t="str">
        <f t="shared" si="162"/>
        <v>Jan</v>
      </c>
      <c r="D3478" t="s">
        <v>1558</v>
      </c>
      <c r="E3478" t="s">
        <v>31</v>
      </c>
      <c r="F3478" t="s">
        <v>466</v>
      </c>
      <c r="G3478">
        <v>3</v>
      </c>
      <c r="H3478" s="7">
        <v>252.16</v>
      </c>
      <c r="I3478" t="s">
        <v>46</v>
      </c>
      <c r="J3478" t="s">
        <v>22</v>
      </c>
      <c r="K3478">
        <v>20</v>
      </c>
      <c r="L3478" s="7">
        <f t="shared" si="163"/>
        <v>756.48</v>
      </c>
      <c r="M3478" s="7"/>
      <c r="O3478">
        <f t="shared" si="164"/>
        <v>2</v>
      </c>
      <c r="Q3478" t="s">
        <v>47</v>
      </c>
    </row>
    <row r="3479" spans="1:17" x14ac:dyDescent="0.3">
      <c r="A3479" t="s">
        <v>4598</v>
      </c>
      <c r="B3479" s="6">
        <v>45195</v>
      </c>
      <c r="C3479" s="6" t="str">
        <f t="shared" si="162"/>
        <v>Sep</v>
      </c>
      <c r="D3479" t="s">
        <v>3057</v>
      </c>
      <c r="E3479" t="s">
        <v>19</v>
      </c>
      <c r="F3479" t="s">
        <v>372</v>
      </c>
      <c r="G3479">
        <v>6</v>
      </c>
      <c r="H3479" s="7">
        <v>488.82</v>
      </c>
      <c r="I3479" t="s">
        <v>103</v>
      </c>
      <c r="J3479" t="s">
        <v>28</v>
      </c>
      <c r="K3479">
        <v>0</v>
      </c>
      <c r="L3479" s="7">
        <f t="shared" si="163"/>
        <v>2932.92</v>
      </c>
      <c r="M3479" s="7"/>
      <c r="O3479">
        <f t="shared" si="164"/>
        <v>3</v>
      </c>
      <c r="Q3479" t="s">
        <v>104</v>
      </c>
    </row>
    <row r="3480" spans="1:17" x14ac:dyDescent="0.3">
      <c r="A3480" t="s">
        <v>4599</v>
      </c>
      <c r="B3480" s="6">
        <v>45013</v>
      </c>
      <c r="C3480" s="6" t="str">
        <f t="shared" si="162"/>
        <v>Mar</v>
      </c>
      <c r="D3480" t="s">
        <v>2256</v>
      </c>
      <c r="E3480" t="s">
        <v>36</v>
      </c>
      <c r="F3480" t="s">
        <v>517</v>
      </c>
      <c r="G3480">
        <v>8</v>
      </c>
      <c r="H3480" s="7">
        <v>252.16</v>
      </c>
      <c r="I3480" t="s">
        <v>21</v>
      </c>
      <c r="J3480" t="s">
        <v>28</v>
      </c>
      <c r="K3480">
        <v>0</v>
      </c>
      <c r="L3480" s="7">
        <f t="shared" si="163"/>
        <v>2017.28</v>
      </c>
      <c r="M3480" s="7"/>
      <c r="O3480">
        <f t="shared" si="164"/>
        <v>2</v>
      </c>
      <c r="Q3480" t="s">
        <v>23</v>
      </c>
    </row>
    <row r="3481" spans="1:17" x14ac:dyDescent="0.3">
      <c r="A3481" t="s">
        <v>4600</v>
      </c>
      <c r="B3481" s="6">
        <v>45276</v>
      </c>
      <c r="C3481" s="6" t="str">
        <f t="shared" si="162"/>
        <v>Dec</v>
      </c>
      <c r="D3481" t="s">
        <v>2585</v>
      </c>
      <c r="E3481" t="s">
        <v>36</v>
      </c>
      <c r="F3481" t="s">
        <v>134</v>
      </c>
      <c r="G3481">
        <v>4</v>
      </c>
      <c r="H3481" s="7">
        <v>225.33</v>
      </c>
      <c r="I3481" t="s">
        <v>21</v>
      </c>
      <c r="J3481" t="s">
        <v>28</v>
      </c>
      <c r="K3481">
        <v>15</v>
      </c>
      <c r="L3481" s="7">
        <f t="shared" si="163"/>
        <v>901.32</v>
      </c>
      <c r="M3481" s="7"/>
      <c r="O3481">
        <f t="shared" si="164"/>
        <v>2</v>
      </c>
      <c r="Q3481" t="s">
        <v>23</v>
      </c>
    </row>
    <row r="3482" spans="1:17" x14ac:dyDescent="0.3">
      <c r="A3482" t="s">
        <v>4601</v>
      </c>
      <c r="B3482" s="6">
        <v>45270</v>
      </c>
      <c r="C3482" s="6" t="str">
        <f t="shared" si="162"/>
        <v>Dec</v>
      </c>
      <c r="D3482" t="s">
        <v>1756</v>
      </c>
      <c r="E3482" t="s">
        <v>19</v>
      </c>
      <c r="F3482" t="s">
        <v>504</v>
      </c>
      <c r="G3482">
        <v>8</v>
      </c>
      <c r="H3482" s="7">
        <v>252.16</v>
      </c>
      <c r="I3482" t="s">
        <v>19</v>
      </c>
      <c r="J3482" t="s">
        <v>19</v>
      </c>
      <c r="K3482">
        <v>10</v>
      </c>
      <c r="L3482" s="7">
        <f t="shared" si="163"/>
        <v>2017.28</v>
      </c>
      <c r="M3482" s="7"/>
      <c r="O3482">
        <f t="shared" si="164"/>
        <v>2</v>
      </c>
      <c r="Q3482" t="s">
        <v>19</v>
      </c>
    </row>
    <row r="3483" spans="1:17" x14ac:dyDescent="0.3">
      <c r="A3483" t="s">
        <v>4602</v>
      </c>
      <c r="B3483" s="6">
        <v>45050</v>
      </c>
      <c r="C3483" s="6" t="str">
        <f t="shared" si="162"/>
        <v>May</v>
      </c>
      <c r="D3483" t="s">
        <v>4249</v>
      </c>
      <c r="E3483" t="s">
        <v>26</v>
      </c>
      <c r="F3483" t="s">
        <v>222</v>
      </c>
      <c r="G3483">
        <v>2</v>
      </c>
      <c r="H3483" s="7">
        <v>178.93</v>
      </c>
      <c r="I3483" t="s">
        <v>32</v>
      </c>
      <c r="J3483" t="s">
        <v>72</v>
      </c>
      <c r="K3483">
        <v>10</v>
      </c>
      <c r="L3483" s="7">
        <f t="shared" si="163"/>
        <v>357.86</v>
      </c>
      <c r="M3483" s="7"/>
      <c r="O3483">
        <f t="shared" si="164"/>
        <v>2</v>
      </c>
      <c r="Q3483" t="s">
        <v>33</v>
      </c>
    </row>
    <row r="3484" spans="1:17" x14ac:dyDescent="0.3">
      <c r="A3484" t="s">
        <v>4603</v>
      </c>
      <c r="B3484" s="6">
        <v>45261</v>
      </c>
      <c r="C3484" s="6" t="str">
        <f t="shared" si="162"/>
        <v>Dec</v>
      </c>
      <c r="D3484" t="s">
        <v>614</v>
      </c>
      <c r="E3484" t="s">
        <v>19</v>
      </c>
      <c r="F3484" t="s">
        <v>71</v>
      </c>
      <c r="G3484">
        <v>9</v>
      </c>
      <c r="H3484" s="7">
        <v>499.12</v>
      </c>
      <c r="I3484" t="s">
        <v>103</v>
      </c>
      <c r="J3484" t="s">
        <v>28</v>
      </c>
      <c r="K3484">
        <v>10</v>
      </c>
      <c r="L3484" s="7">
        <f t="shared" si="163"/>
        <v>4492.08</v>
      </c>
      <c r="M3484" s="7"/>
      <c r="O3484">
        <f t="shared" si="164"/>
        <v>5</v>
      </c>
      <c r="Q3484" t="s">
        <v>104</v>
      </c>
    </row>
    <row r="3485" spans="1:17" x14ac:dyDescent="0.3">
      <c r="A3485" t="s">
        <v>4604</v>
      </c>
      <c r="B3485" s="6">
        <v>45247</v>
      </c>
      <c r="C3485" s="6" t="str">
        <f t="shared" si="162"/>
        <v>Nov</v>
      </c>
      <c r="D3485" t="s">
        <v>631</v>
      </c>
      <c r="E3485" t="s">
        <v>19</v>
      </c>
      <c r="F3485" t="s">
        <v>154</v>
      </c>
      <c r="G3485">
        <v>9</v>
      </c>
      <c r="H3485" s="7">
        <v>444.98</v>
      </c>
      <c r="I3485" t="s">
        <v>32</v>
      </c>
      <c r="J3485" t="s">
        <v>19</v>
      </c>
      <c r="K3485">
        <v>10</v>
      </c>
      <c r="L3485" s="7">
        <f t="shared" si="163"/>
        <v>4004.82</v>
      </c>
      <c r="M3485" s="7"/>
      <c r="O3485">
        <f t="shared" si="164"/>
        <v>5</v>
      </c>
      <c r="Q3485" t="s">
        <v>33</v>
      </c>
    </row>
    <row r="3486" spans="1:17" x14ac:dyDescent="0.3">
      <c r="A3486" t="s">
        <v>4605</v>
      </c>
      <c r="B3486" s="6">
        <v>45175</v>
      </c>
      <c r="C3486" s="6" t="str">
        <f t="shared" si="162"/>
        <v>Sep</v>
      </c>
      <c r="D3486" t="s">
        <v>999</v>
      </c>
      <c r="E3486" t="s">
        <v>40</v>
      </c>
      <c r="F3486" t="s">
        <v>239</v>
      </c>
      <c r="G3486">
        <v>8</v>
      </c>
      <c r="H3486" s="7">
        <v>28.92</v>
      </c>
      <c r="I3486" t="s">
        <v>19</v>
      </c>
      <c r="J3486" t="s">
        <v>22</v>
      </c>
      <c r="K3486">
        <v>0</v>
      </c>
      <c r="L3486" s="7">
        <f t="shared" si="163"/>
        <v>231.36</v>
      </c>
      <c r="M3486" s="7"/>
      <c r="O3486">
        <f t="shared" si="164"/>
        <v>2</v>
      </c>
      <c r="Q3486" t="s">
        <v>19</v>
      </c>
    </row>
    <row r="3487" spans="1:17" x14ac:dyDescent="0.3">
      <c r="A3487" t="s">
        <v>4606</v>
      </c>
      <c r="B3487" s="6">
        <v>45216</v>
      </c>
      <c r="C3487" s="6" t="str">
        <f t="shared" si="162"/>
        <v>Oct</v>
      </c>
      <c r="D3487" t="s">
        <v>250</v>
      </c>
      <c r="E3487" t="s">
        <v>19</v>
      </c>
      <c r="F3487" t="s">
        <v>1693</v>
      </c>
      <c r="G3487">
        <v>1</v>
      </c>
      <c r="H3487" s="7">
        <v>283.81</v>
      </c>
      <c r="I3487" t="s">
        <v>21</v>
      </c>
      <c r="J3487" t="s">
        <v>87</v>
      </c>
      <c r="K3487">
        <v>15</v>
      </c>
      <c r="L3487" s="7">
        <f t="shared" si="163"/>
        <v>283.81</v>
      </c>
      <c r="M3487" s="7"/>
      <c r="O3487">
        <f t="shared" si="164"/>
        <v>2</v>
      </c>
      <c r="Q3487" t="s">
        <v>23</v>
      </c>
    </row>
    <row r="3488" spans="1:17" x14ac:dyDescent="0.3">
      <c r="A3488" t="s">
        <v>4607</v>
      </c>
      <c r="B3488" s="6">
        <v>45029</v>
      </c>
      <c r="C3488" s="6" t="str">
        <f t="shared" si="162"/>
        <v>Apr</v>
      </c>
      <c r="D3488" t="s">
        <v>1764</v>
      </c>
      <c r="E3488" t="s">
        <v>40</v>
      </c>
      <c r="F3488" t="s">
        <v>386</v>
      </c>
      <c r="G3488">
        <v>2</v>
      </c>
      <c r="H3488" s="7">
        <v>325.67</v>
      </c>
      <c r="I3488" t="s">
        <v>103</v>
      </c>
      <c r="J3488" t="s">
        <v>19</v>
      </c>
      <c r="K3488">
        <v>10</v>
      </c>
      <c r="L3488" s="7">
        <f t="shared" si="163"/>
        <v>651.34</v>
      </c>
      <c r="M3488" s="7"/>
      <c r="O3488">
        <f t="shared" si="164"/>
        <v>2</v>
      </c>
      <c r="Q3488" t="s">
        <v>104</v>
      </c>
    </row>
    <row r="3489" spans="1:17" x14ac:dyDescent="0.3">
      <c r="A3489" t="s">
        <v>4608</v>
      </c>
      <c r="B3489" s="6">
        <v>45239</v>
      </c>
      <c r="C3489" s="6" t="str">
        <f t="shared" si="162"/>
        <v>Nov</v>
      </c>
      <c r="D3489" t="s">
        <v>1824</v>
      </c>
      <c r="E3489" t="s">
        <v>26</v>
      </c>
      <c r="F3489" t="s">
        <v>1328</v>
      </c>
      <c r="G3489">
        <v>6</v>
      </c>
      <c r="H3489" s="7">
        <v>252.16</v>
      </c>
      <c r="I3489" t="s">
        <v>21</v>
      </c>
      <c r="J3489" t="s">
        <v>28</v>
      </c>
      <c r="K3489">
        <v>5</v>
      </c>
      <c r="L3489" s="7">
        <f t="shared" si="163"/>
        <v>1512.96</v>
      </c>
      <c r="M3489" s="7"/>
      <c r="O3489">
        <f t="shared" si="164"/>
        <v>2</v>
      </c>
      <c r="Q3489" t="s">
        <v>23</v>
      </c>
    </row>
    <row r="3490" spans="1:17" x14ac:dyDescent="0.3">
      <c r="A3490" t="s">
        <v>4609</v>
      </c>
      <c r="B3490" s="6">
        <v>45267</v>
      </c>
      <c r="C3490" s="6" t="str">
        <f t="shared" si="162"/>
        <v>Dec</v>
      </c>
      <c r="D3490" t="s">
        <v>187</v>
      </c>
      <c r="E3490" t="s">
        <v>62</v>
      </c>
      <c r="F3490" t="s">
        <v>350</v>
      </c>
      <c r="G3490">
        <v>5</v>
      </c>
      <c r="H3490" s="7">
        <v>76.83</v>
      </c>
      <c r="I3490" t="s">
        <v>19</v>
      </c>
      <c r="J3490" t="s">
        <v>19</v>
      </c>
      <c r="K3490">
        <v>5</v>
      </c>
      <c r="L3490" s="7">
        <f t="shared" si="163"/>
        <v>384.15</v>
      </c>
      <c r="M3490" s="7"/>
      <c r="O3490">
        <f t="shared" si="164"/>
        <v>2</v>
      </c>
      <c r="Q3490" t="s">
        <v>19</v>
      </c>
    </row>
    <row r="3491" spans="1:17" x14ac:dyDescent="0.3">
      <c r="A3491" t="s">
        <v>4610</v>
      </c>
      <c r="B3491" s="6">
        <v>44977</v>
      </c>
      <c r="C3491" s="6" t="str">
        <f t="shared" si="162"/>
        <v>Feb</v>
      </c>
      <c r="D3491" t="s">
        <v>4611</v>
      </c>
      <c r="E3491" t="s">
        <v>26</v>
      </c>
      <c r="F3491" t="s">
        <v>78</v>
      </c>
      <c r="G3491">
        <v>9</v>
      </c>
      <c r="H3491" s="7">
        <v>452.67</v>
      </c>
      <c r="I3491" t="s">
        <v>21</v>
      </c>
      <c r="J3491" t="s">
        <v>42</v>
      </c>
      <c r="K3491">
        <v>5</v>
      </c>
      <c r="L3491" s="7">
        <f t="shared" si="163"/>
        <v>4074.03</v>
      </c>
      <c r="M3491" s="7"/>
      <c r="O3491">
        <f t="shared" si="164"/>
        <v>5</v>
      </c>
      <c r="Q3491" t="s">
        <v>23</v>
      </c>
    </row>
    <row r="3492" spans="1:17" x14ac:dyDescent="0.3">
      <c r="A3492" t="s">
        <v>4612</v>
      </c>
      <c r="B3492" s="6">
        <v>45111</v>
      </c>
      <c r="C3492" s="6" t="str">
        <f t="shared" si="162"/>
        <v>Jul</v>
      </c>
      <c r="D3492" t="s">
        <v>4209</v>
      </c>
      <c r="E3492" t="s">
        <v>40</v>
      </c>
      <c r="F3492" t="s">
        <v>749</v>
      </c>
      <c r="G3492">
        <v>5</v>
      </c>
      <c r="H3492" s="7">
        <v>484.56</v>
      </c>
      <c r="I3492" t="s">
        <v>32</v>
      </c>
      <c r="J3492" t="s">
        <v>22</v>
      </c>
      <c r="K3492">
        <v>20</v>
      </c>
      <c r="L3492" s="7">
        <f t="shared" si="163"/>
        <v>2422.8000000000002</v>
      </c>
      <c r="M3492" s="7"/>
      <c r="O3492">
        <f t="shared" si="164"/>
        <v>2</v>
      </c>
      <c r="Q3492" t="s">
        <v>33</v>
      </c>
    </row>
    <row r="3493" spans="1:17" x14ac:dyDescent="0.3">
      <c r="A3493" t="s">
        <v>4613</v>
      </c>
      <c r="B3493" s="6">
        <v>45175</v>
      </c>
      <c r="C3493" s="6" t="str">
        <f t="shared" si="162"/>
        <v>Sep</v>
      </c>
      <c r="D3493" t="s">
        <v>1770</v>
      </c>
      <c r="E3493" t="s">
        <v>36</v>
      </c>
      <c r="F3493" t="s">
        <v>119</v>
      </c>
      <c r="G3493">
        <v>2</v>
      </c>
      <c r="H3493" s="7">
        <v>495.99</v>
      </c>
      <c r="I3493" t="s">
        <v>103</v>
      </c>
      <c r="J3493" t="s">
        <v>87</v>
      </c>
      <c r="K3493">
        <v>15</v>
      </c>
      <c r="L3493" s="7">
        <f t="shared" si="163"/>
        <v>991.98</v>
      </c>
      <c r="M3493" s="7"/>
      <c r="O3493">
        <f t="shared" si="164"/>
        <v>2</v>
      </c>
      <c r="Q3493" t="s">
        <v>104</v>
      </c>
    </row>
    <row r="3494" spans="1:17" x14ac:dyDescent="0.3">
      <c r="A3494" t="s">
        <v>4614</v>
      </c>
      <c r="B3494" s="6">
        <v>45111</v>
      </c>
      <c r="C3494" s="6" t="str">
        <f t="shared" si="162"/>
        <v>Jul</v>
      </c>
      <c r="D3494" t="s">
        <v>124</v>
      </c>
      <c r="E3494" t="s">
        <v>19</v>
      </c>
      <c r="F3494" t="s">
        <v>1851</v>
      </c>
      <c r="G3494">
        <v>4</v>
      </c>
      <c r="H3494" s="7">
        <v>395.93</v>
      </c>
      <c r="I3494" t="s">
        <v>19</v>
      </c>
      <c r="J3494" t="s">
        <v>19</v>
      </c>
      <c r="K3494">
        <v>0</v>
      </c>
      <c r="L3494" s="7">
        <f t="shared" si="163"/>
        <v>1583.72</v>
      </c>
      <c r="M3494" s="7"/>
      <c r="O3494">
        <f t="shared" si="164"/>
        <v>2</v>
      </c>
      <c r="Q3494" t="s">
        <v>19</v>
      </c>
    </row>
    <row r="3495" spans="1:17" x14ac:dyDescent="0.3">
      <c r="A3495" t="s">
        <v>4615</v>
      </c>
      <c r="B3495" s="6">
        <v>45106</v>
      </c>
      <c r="C3495" s="6" t="str">
        <f t="shared" si="162"/>
        <v>Jun</v>
      </c>
      <c r="D3495" t="s">
        <v>58</v>
      </c>
      <c r="E3495" t="s">
        <v>36</v>
      </c>
      <c r="F3495" t="s">
        <v>303</v>
      </c>
      <c r="G3495">
        <v>9</v>
      </c>
      <c r="H3495" s="7">
        <v>333.43</v>
      </c>
      <c r="I3495" t="s">
        <v>103</v>
      </c>
      <c r="J3495" t="s">
        <v>72</v>
      </c>
      <c r="K3495">
        <v>0</v>
      </c>
      <c r="L3495" s="7">
        <f t="shared" si="163"/>
        <v>3000.87</v>
      </c>
      <c r="M3495" s="7"/>
      <c r="O3495">
        <f t="shared" si="164"/>
        <v>4</v>
      </c>
      <c r="Q3495" t="s">
        <v>104</v>
      </c>
    </row>
    <row r="3496" spans="1:17" x14ac:dyDescent="0.3">
      <c r="A3496" t="s">
        <v>4616</v>
      </c>
      <c r="B3496" s="6">
        <v>45209</v>
      </c>
      <c r="C3496" s="6" t="str">
        <f t="shared" si="162"/>
        <v>Oct</v>
      </c>
      <c r="D3496" t="s">
        <v>1480</v>
      </c>
      <c r="E3496" t="s">
        <v>50</v>
      </c>
      <c r="F3496" t="s">
        <v>445</v>
      </c>
      <c r="G3496">
        <v>1</v>
      </c>
      <c r="H3496" s="7">
        <v>176.14</v>
      </c>
      <c r="I3496" t="s">
        <v>64</v>
      </c>
      <c r="J3496" t="s">
        <v>22</v>
      </c>
      <c r="K3496">
        <v>15</v>
      </c>
      <c r="L3496" s="7">
        <f t="shared" si="163"/>
        <v>176.14</v>
      </c>
      <c r="M3496" s="7"/>
      <c r="O3496">
        <f t="shared" si="164"/>
        <v>2</v>
      </c>
      <c r="Q3496" t="s">
        <v>65</v>
      </c>
    </row>
    <row r="3497" spans="1:17" x14ac:dyDescent="0.3">
      <c r="A3497" t="s">
        <v>4617</v>
      </c>
      <c r="B3497" s="6">
        <v>45148</v>
      </c>
      <c r="C3497" s="6" t="str">
        <f t="shared" si="162"/>
        <v>Aug</v>
      </c>
      <c r="D3497" t="s">
        <v>86</v>
      </c>
      <c r="E3497" t="s">
        <v>19</v>
      </c>
      <c r="F3497" t="s">
        <v>1237</v>
      </c>
      <c r="G3497">
        <v>1</v>
      </c>
      <c r="H3497" s="7">
        <v>89.84</v>
      </c>
      <c r="I3497" t="s">
        <v>64</v>
      </c>
      <c r="J3497" t="s">
        <v>42</v>
      </c>
      <c r="K3497">
        <v>10</v>
      </c>
      <c r="L3497" s="7">
        <f t="shared" si="163"/>
        <v>89.84</v>
      </c>
      <c r="M3497" s="7"/>
      <c r="O3497">
        <f t="shared" si="164"/>
        <v>2</v>
      </c>
      <c r="Q3497" t="s">
        <v>65</v>
      </c>
    </row>
    <row r="3498" spans="1:17" x14ac:dyDescent="0.3">
      <c r="A3498" t="s">
        <v>4618</v>
      </c>
      <c r="B3498" s="6">
        <v>44976</v>
      </c>
      <c r="C3498" s="6" t="str">
        <f t="shared" si="162"/>
        <v>Feb</v>
      </c>
      <c r="D3498" t="s">
        <v>1396</v>
      </c>
      <c r="E3498" t="s">
        <v>26</v>
      </c>
      <c r="F3498" t="s">
        <v>472</v>
      </c>
      <c r="G3498">
        <v>7</v>
      </c>
      <c r="H3498" s="7">
        <v>44.1</v>
      </c>
      <c r="I3498" t="s">
        <v>21</v>
      </c>
      <c r="J3498" t="s">
        <v>72</v>
      </c>
      <c r="K3498">
        <v>10</v>
      </c>
      <c r="L3498" s="7">
        <f t="shared" si="163"/>
        <v>308.7</v>
      </c>
      <c r="M3498" s="7"/>
      <c r="O3498">
        <f t="shared" si="164"/>
        <v>2</v>
      </c>
      <c r="Q3498" t="s">
        <v>23</v>
      </c>
    </row>
    <row r="3499" spans="1:17" x14ac:dyDescent="0.3">
      <c r="A3499" t="s">
        <v>4619</v>
      </c>
      <c r="B3499" s="6">
        <v>45066</v>
      </c>
      <c r="C3499" s="6" t="str">
        <f t="shared" si="162"/>
        <v>May</v>
      </c>
      <c r="D3499" t="s">
        <v>471</v>
      </c>
      <c r="E3499" t="s">
        <v>31</v>
      </c>
      <c r="F3499" t="s">
        <v>99</v>
      </c>
      <c r="G3499">
        <v>3</v>
      </c>
      <c r="H3499" s="7">
        <v>348.18</v>
      </c>
      <c r="I3499" t="s">
        <v>46</v>
      </c>
      <c r="J3499" t="s">
        <v>28</v>
      </c>
      <c r="K3499">
        <v>20</v>
      </c>
      <c r="L3499" s="7">
        <f t="shared" si="163"/>
        <v>1044.54</v>
      </c>
      <c r="M3499" s="7"/>
      <c r="O3499">
        <f t="shared" si="164"/>
        <v>2</v>
      </c>
      <c r="Q3499" t="s">
        <v>47</v>
      </c>
    </row>
    <row r="3500" spans="1:17" x14ac:dyDescent="0.3">
      <c r="A3500" t="s">
        <v>4620</v>
      </c>
      <c r="B3500" s="6">
        <v>45225</v>
      </c>
      <c r="C3500" s="6" t="str">
        <f t="shared" si="162"/>
        <v>Oct</v>
      </c>
      <c r="D3500" t="s">
        <v>96</v>
      </c>
      <c r="E3500" t="s">
        <v>36</v>
      </c>
      <c r="F3500" t="s">
        <v>415</v>
      </c>
      <c r="G3500">
        <v>2</v>
      </c>
      <c r="H3500" s="7">
        <v>393.44</v>
      </c>
      <c r="I3500" t="s">
        <v>19</v>
      </c>
      <c r="J3500" t="s">
        <v>28</v>
      </c>
      <c r="K3500">
        <v>15</v>
      </c>
      <c r="L3500" s="7">
        <f t="shared" si="163"/>
        <v>786.88</v>
      </c>
      <c r="M3500" s="7"/>
      <c r="O3500">
        <f t="shared" si="164"/>
        <v>2</v>
      </c>
      <c r="Q3500" t="s">
        <v>19</v>
      </c>
    </row>
    <row r="3501" spans="1:17" x14ac:dyDescent="0.3">
      <c r="A3501" t="s">
        <v>4621</v>
      </c>
      <c r="B3501" s="6">
        <v>44959</v>
      </c>
      <c r="C3501" s="6" t="str">
        <f t="shared" si="162"/>
        <v>Feb</v>
      </c>
      <c r="D3501" t="s">
        <v>3567</v>
      </c>
      <c r="E3501" t="s">
        <v>40</v>
      </c>
      <c r="F3501" t="s">
        <v>988</v>
      </c>
      <c r="G3501">
        <v>9</v>
      </c>
      <c r="H3501" s="7">
        <v>414.09</v>
      </c>
      <c r="I3501" t="s">
        <v>64</v>
      </c>
      <c r="J3501" t="s">
        <v>19</v>
      </c>
      <c r="K3501">
        <v>10</v>
      </c>
      <c r="L3501" s="7">
        <f t="shared" si="163"/>
        <v>3726.81</v>
      </c>
      <c r="M3501" s="7"/>
      <c r="O3501">
        <f t="shared" si="164"/>
        <v>5</v>
      </c>
      <c r="Q3501" t="s">
        <v>65</v>
      </c>
    </row>
    <row r="3502" spans="1:17" x14ac:dyDescent="0.3">
      <c r="A3502" t="s">
        <v>4622</v>
      </c>
      <c r="B3502" s="6">
        <v>45003</v>
      </c>
      <c r="C3502" s="6" t="str">
        <f t="shared" si="162"/>
        <v>Mar</v>
      </c>
      <c r="D3502" t="s">
        <v>3400</v>
      </c>
      <c r="E3502" t="s">
        <v>31</v>
      </c>
      <c r="F3502" t="s">
        <v>706</v>
      </c>
      <c r="G3502">
        <v>3</v>
      </c>
      <c r="H3502" s="7">
        <v>457.31</v>
      </c>
      <c r="I3502" t="s">
        <v>32</v>
      </c>
      <c r="J3502" t="s">
        <v>87</v>
      </c>
      <c r="K3502">
        <v>20</v>
      </c>
      <c r="L3502" s="7">
        <f t="shared" si="163"/>
        <v>1371.93</v>
      </c>
      <c r="M3502" s="7"/>
      <c r="O3502">
        <f t="shared" si="164"/>
        <v>2</v>
      </c>
      <c r="Q3502" t="s">
        <v>33</v>
      </c>
    </row>
    <row r="3503" spans="1:17" x14ac:dyDescent="0.3">
      <c r="A3503" t="s">
        <v>4623</v>
      </c>
      <c r="B3503" s="6">
        <v>45018</v>
      </c>
      <c r="C3503" s="6" t="str">
        <f t="shared" si="162"/>
        <v>Apr</v>
      </c>
      <c r="D3503" t="s">
        <v>1315</v>
      </c>
      <c r="E3503" t="s">
        <v>19</v>
      </c>
      <c r="F3503" t="s">
        <v>499</v>
      </c>
      <c r="G3503">
        <v>2</v>
      </c>
      <c r="H3503" s="7">
        <v>440.57</v>
      </c>
      <c r="I3503" t="s">
        <v>19</v>
      </c>
      <c r="J3503" t="s">
        <v>72</v>
      </c>
      <c r="K3503">
        <v>10</v>
      </c>
      <c r="L3503" s="7">
        <f t="shared" si="163"/>
        <v>881.14</v>
      </c>
      <c r="M3503" s="7"/>
      <c r="O3503">
        <f t="shared" si="164"/>
        <v>2</v>
      </c>
      <c r="Q3503" t="s">
        <v>19</v>
      </c>
    </row>
    <row r="3504" spans="1:17" x14ac:dyDescent="0.3">
      <c r="A3504" t="s">
        <v>4624</v>
      </c>
      <c r="B3504" s="6">
        <v>45275</v>
      </c>
      <c r="C3504" s="6" t="str">
        <f t="shared" si="162"/>
        <v>Dec</v>
      </c>
      <c r="D3504" t="s">
        <v>3732</v>
      </c>
      <c r="E3504" t="s">
        <v>62</v>
      </c>
      <c r="F3504" t="s">
        <v>113</v>
      </c>
      <c r="G3504">
        <v>8</v>
      </c>
      <c r="H3504" s="7">
        <v>499.87</v>
      </c>
      <c r="I3504" t="s">
        <v>32</v>
      </c>
      <c r="J3504" t="s">
        <v>87</v>
      </c>
      <c r="K3504">
        <v>10</v>
      </c>
      <c r="L3504" s="7">
        <f t="shared" si="163"/>
        <v>3998.96</v>
      </c>
      <c r="M3504" s="7"/>
      <c r="O3504">
        <f t="shared" si="164"/>
        <v>5</v>
      </c>
      <c r="Q3504" t="s">
        <v>33</v>
      </c>
    </row>
    <row r="3505" spans="1:17" x14ac:dyDescent="0.3">
      <c r="A3505" t="s">
        <v>4625</v>
      </c>
      <c r="B3505" s="6">
        <v>44955</v>
      </c>
      <c r="C3505" s="6" t="str">
        <f t="shared" si="162"/>
        <v>Jan</v>
      </c>
      <c r="D3505" t="s">
        <v>846</v>
      </c>
      <c r="E3505" t="s">
        <v>40</v>
      </c>
      <c r="F3505" t="s">
        <v>2185</v>
      </c>
      <c r="G3505">
        <v>6</v>
      </c>
      <c r="H3505" s="7">
        <v>125.81</v>
      </c>
      <c r="I3505" t="s">
        <v>19</v>
      </c>
      <c r="J3505" t="s">
        <v>28</v>
      </c>
      <c r="K3505">
        <v>20</v>
      </c>
      <c r="L3505" s="7">
        <f t="shared" si="163"/>
        <v>754.86</v>
      </c>
      <c r="M3505" s="7"/>
      <c r="O3505">
        <f t="shared" si="164"/>
        <v>2</v>
      </c>
      <c r="Q3505" t="s">
        <v>19</v>
      </c>
    </row>
    <row r="3506" spans="1:17" x14ac:dyDescent="0.3">
      <c r="A3506" t="s">
        <v>4626</v>
      </c>
      <c r="B3506" s="6">
        <v>45285</v>
      </c>
      <c r="C3506" s="6" t="str">
        <f t="shared" si="162"/>
        <v>Dec</v>
      </c>
      <c r="D3506" t="s">
        <v>4543</v>
      </c>
      <c r="E3506" t="s">
        <v>62</v>
      </c>
      <c r="F3506" t="s">
        <v>231</v>
      </c>
      <c r="G3506">
        <v>6</v>
      </c>
      <c r="H3506" s="7">
        <v>382.84</v>
      </c>
      <c r="I3506" t="s">
        <v>46</v>
      </c>
      <c r="J3506" t="s">
        <v>28</v>
      </c>
      <c r="K3506">
        <v>15</v>
      </c>
      <c r="L3506" s="7">
        <f t="shared" si="163"/>
        <v>2297.04</v>
      </c>
      <c r="M3506" s="7"/>
      <c r="O3506">
        <f t="shared" si="164"/>
        <v>2</v>
      </c>
      <c r="Q3506" t="s">
        <v>47</v>
      </c>
    </row>
    <row r="3507" spans="1:17" x14ac:dyDescent="0.3">
      <c r="A3507" t="s">
        <v>4627</v>
      </c>
      <c r="B3507" s="6">
        <v>45264</v>
      </c>
      <c r="C3507" s="6" t="str">
        <f t="shared" si="162"/>
        <v>Dec</v>
      </c>
      <c r="D3507" t="s">
        <v>449</v>
      </c>
      <c r="E3507" t="s">
        <v>36</v>
      </c>
      <c r="F3507" t="s">
        <v>807</v>
      </c>
      <c r="G3507">
        <v>7</v>
      </c>
      <c r="H3507" s="7">
        <v>295.3</v>
      </c>
      <c r="I3507" t="s">
        <v>46</v>
      </c>
      <c r="J3507" t="s">
        <v>28</v>
      </c>
      <c r="K3507">
        <v>10</v>
      </c>
      <c r="L3507" s="7">
        <f t="shared" si="163"/>
        <v>2067.1</v>
      </c>
      <c r="M3507" s="7"/>
      <c r="O3507">
        <f t="shared" si="164"/>
        <v>2</v>
      </c>
      <c r="Q3507" t="s">
        <v>47</v>
      </c>
    </row>
    <row r="3508" spans="1:17" x14ac:dyDescent="0.3">
      <c r="A3508" t="s">
        <v>4628</v>
      </c>
      <c r="B3508" s="6">
        <v>45136</v>
      </c>
      <c r="C3508" s="6" t="str">
        <f t="shared" si="162"/>
        <v>Jul</v>
      </c>
      <c r="D3508" t="s">
        <v>3142</v>
      </c>
      <c r="E3508" t="s">
        <v>19</v>
      </c>
      <c r="F3508" t="s">
        <v>208</v>
      </c>
      <c r="G3508">
        <v>7</v>
      </c>
      <c r="H3508" s="7">
        <v>134.32</v>
      </c>
      <c r="I3508" t="s">
        <v>32</v>
      </c>
      <c r="J3508" t="s">
        <v>87</v>
      </c>
      <c r="K3508">
        <v>15</v>
      </c>
      <c r="L3508" s="7">
        <f t="shared" si="163"/>
        <v>940.24</v>
      </c>
      <c r="M3508" s="7"/>
      <c r="O3508">
        <f t="shared" si="164"/>
        <v>2</v>
      </c>
      <c r="Q3508" t="s">
        <v>33</v>
      </c>
    </row>
    <row r="3509" spans="1:17" x14ac:dyDescent="0.3">
      <c r="A3509" t="s">
        <v>4629</v>
      </c>
      <c r="B3509" s="6">
        <v>45163</v>
      </c>
      <c r="C3509" s="6" t="str">
        <f t="shared" si="162"/>
        <v>Aug</v>
      </c>
      <c r="D3509" t="s">
        <v>1065</v>
      </c>
      <c r="E3509" t="s">
        <v>26</v>
      </c>
      <c r="F3509" t="s">
        <v>273</v>
      </c>
      <c r="G3509">
        <v>6</v>
      </c>
      <c r="H3509" s="7">
        <v>491.04</v>
      </c>
      <c r="I3509" t="s">
        <v>19</v>
      </c>
      <c r="J3509" t="s">
        <v>72</v>
      </c>
      <c r="K3509">
        <v>10</v>
      </c>
      <c r="L3509" s="7">
        <f t="shared" si="163"/>
        <v>2946.2400000000002</v>
      </c>
      <c r="M3509" s="7"/>
      <c r="O3509">
        <f t="shared" si="164"/>
        <v>3</v>
      </c>
      <c r="Q3509" t="s">
        <v>19</v>
      </c>
    </row>
    <row r="3510" spans="1:17" x14ac:dyDescent="0.3">
      <c r="A3510" t="s">
        <v>4630</v>
      </c>
      <c r="B3510" s="6">
        <v>44964</v>
      </c>
      <c r="C3510" s="6" t="str">
        <f t="shared" si="162"/>
        <v>Feb</v>
      </c>
      <c r="D3510" t="s">
        <v>664</v>
      </c>
      <c r="E3510" t="s">
        <v>62</v>
      </c>
      <c r="F3510" t="s">
        <v>125</v>
      </c>
      <c r="G3510">
        <v>4</v>
      </c>
      <c r="H3510" s="7">
        <v>449.46</v>
      </c>
      <c r="I3510" t="s">
        <v>64</v>
      </c>
      <c r="J3510" t="s">
        <v>28</v>
      </c>
      <c r="K3510">
        <v>10</v>
      </c>
      <c r="L3510" s="7">
        <f t="shared" si="163"/>
        <v>1797.84</v>
      </c>
      <c r="M3510" s="7"/>
      <c r="O3510">
        <f t="shared" si="164"/>
        <v>2</v>
      </c>
      <c r="Q3510" t="s">
        <v>65</v>
      </c>
    </row>
    <row r="3511" spans="1:17" x14ac:dyDescent="0.3">
      <c r="A3511" t="s">
        <v>4631</v>
      </c>
      <c r="B3511" s="6">
        <v>45133</v>
      </c>
      <c r="C3511" s="6" t="str">
        <f t="shared" si="162"/>
        <v>Jul</v>
      </c>
      <c r="D3511" t="s">
        <v>1330</v>
      </c>
      <c r="E3511" t="s">
        <v>36</v>
      </c>
      <c r="F3511" t="s">
        <v>432</v>
      </c>
      <c r="G3511">
        <v>9</v>
      </c>
      <c r="H3511" s="7">
        <v>68.62</v>
      </c>
      <c r="I3511" t="s">
        <v>46</v>
      </c>
      <c r="J3511" t="s">
        <v>87</v>
      </c>
      <c r="K3511">
        <v>10</v>
      </c>
      <c r="L3511" s="7">
        <f t="shared" si="163"/>
        <v>617.58000000000004</v>
      </c>
      <c r="M3511" s="7"/>
      <c r="O3511">
        <f t="shared" si="164"/>
        <v>2</v>
      </c>
      <c r="Q3511" t="s">
        <v>47</v>
      </c>
    </row>
    <row r="3512" spans="1:17" x14ac:dyDescent="0.3">
      <c r="A3512" t="s">
        <v>4632</v>
      </c>
      <c r="B3512" s="6">
        <v>45127</v>
      </c>
      <c r="C3512" s="6" t="str">
        <f t="shared" si="162"/>
        <v>Jul</v>
      </c>
      <c r="D3512" t="s">
        <v>1824</v>
      </c>
      <c r="E3512" t="s">
        <v>36</v>
      </c>
      <c r="F3512" t="s">
        <v>2185</v>
      </c>
      <c r="G3512">
        <v>6</v>
      </c>
      <c r="H3512" s="7">
        <v>17.95</v>
      </c>
      <c r="I3512" t="s">
        <v>21</v>
      </c>
      <c r="J3512" t="s">
        <v>72</v>
      </c>
      <c r="K3512">
        <v>15</v>
      </c>
      <c r="L3512" s="7">
        <f t="shared" si="163"/>
        <v>107.69999999999999</v>
      </c>
      <c r="M3512" s="7"/>
      <c r="O3512">
        <f t="shared" si="164"/>
        <v>2</v>
      </c>
      <c r="Q3512" t="s">
        <v>23</v>
      </c>
    </row>
    <row r="3513" spans="1:17" x14ac:dyDescent="0.3">
      <c r="A3513" t="s">
        <v>4633</v>
      </c>
      <c r="B3513" s="6">
        <v>45103</v>
      </c>
      <c r="C3513" s="6" t="str">
        <f t="shared" si="162"/>
        <v>Jun</v>
      </c>
      <c r="D3513" t="s">
        <v>61</v>
      </c>
      <c r="E3513" t="s">
        <v>62</v>
      </c>
      <c r="F3513" t="s">
        <v>698</v>
      </c>
      <c r="G3513">
        <v>4</v>
      </c>
      <c r="H3513" s="7">
        <v>345.72</v>
      </c>
      <c r="I3513" t="s">
        <v>103</v>
      </c>
      <c r="J3513" t="s">
        <v>87</v>
      </c>
      <c r="K3513">
        <v>15</v>
      </c>
      <c r="L3513" s="7">
        <f t="shared" si="163"/>
        <v>1382.88</v>
      </c>
      <c r="M3513" s="7"/>
      <c r="O3513">
        <f t="shared" si="164"/>
        <v>2</v>
      </c>
      <c r="Q3513" t="s">
        <v>104</v>
      </c>
    </row>
    <row r="3514" spans="1:17" x14ac:dyDescent="0.3">
      <c r="A3514" t="s">
        <v>4634</v>
      </c>
      <c r="B3514" s="6">
        <v>44950</v>
      </c>
      <c r="C3514" s="6" t="str">
        <f t="shared" si="162"/>
        <v>Jan</v>
      </c>
      <c r="D3514" t="s">
        <v>1412</v>
      </c>
      <c r="E3514" t="s">
        <v>31</v>
      </c>
      <c r="F3514" t="s">
        <v>193</v>
      </c>
      <c r="G3514">
        <v>3</v>
      </c>
      <c r="H3514" s="7">
        <v>304.04000000000002</v>
      </c>
      <c r="I3514" t="s">
        <v>46</v>
      </c>
      <c r="J3514" t="s">
        <v>28</v>
      </c>
      <c r="K3514">
        <v>5</v>
      </c>
      <c r="L3514" s="7">
        <f t="shared" si="163"/>
        <v>912.12000000000012</v>
      </c>
      <c r="M3514" s="7"/>
      <c r="O3514">
        <f t="shared" si="164"/>
        <v>2</v>
      </c>
      <c r="Q3514" t="s">
        <v>47</v>
      </c>
    </row>
    <row r="3515" spans="1:17" x14ac:dyDescent="0.3">
      <c r="A3515" t="s">
        <v>4635</v>
      </c>
      <c r="B3515" s="6">
        <v>44994</v>
      </c>
      <c r="C3515" s="6" t="str">
        <f t="shared" si="162"/>
        <v>Mar</v>
      </c>
      <c r="D3515" t="s">
        <v>2556</v>
      </c>
      <c r="E3515" t="s">
        <v>36</v>
      </c>
      <c r="F3515" t="s">
        <v>308</v>
      </c>
      <c r="G3515">
        <v>4</v>
      </c>
      <c r="H3515" s="7">
        <v>468.23</v>
      </c>
      <c r="I3515" t="s">
        <v>19</v>
      </c>
      <c r="J3515" t="s">
        <v>22</v>
      </c>
      <c r="K3515">
        <v>20</v>
      </c>
      <c r="L3515" s="7">
        <f t="shared" si="163"/>
        <v>1872.92</v>
      </c>
      <c r="M3515" s="7"/>
      <c r="O3515">
        <f t="shared" si="164"/>
        <v>2</v>
      </c>
      <c r="Q3515" t="s">
        <v>19</v>
      </c>
    </row>
    <row r="3516" spans="1:17" x14ac:dyDescent="0.3">
      <c r="A3516" t="s">
        <v>4636</v>
      </c>
      <c r="B3516" s="6">
        <v>45135</v>
      </c>
      <c r="C3516" s="6" t="str">
        <f t="shared" si="162"/>
        <v>Jul</v>
      </c>
      <c r="D3516" t="s">
        <v>2613</v>
      </c>
      <c r="E3516" t="s">
        <v>62</v>
      </c>
      <c r="F3516" t="s">
        <v>445</v>
      </c>
      <c r="G3516">
        <v>3</v>
      </c>
      <c r="H3516" s="7">
        <v>120.83</v>
      </c>
      <c r="I3516" t="s">
        <v>19</v>
      </c>
      <c r="J3516" t="s">
        <v>87</v>
      </c>
      <c r="K3516">
        <v>0</v>
      </c>
      <c r="L3516" s="7">
        <f t="shared" si="163"/>
        <v>362.49</v>
      </c>
      <c r="M3516" s="7"/>
      <c r="O3516">
        <f t="shared" si="164"/>
        <v>2</v>
      </c>
      <c r="Q3516" t="s">
        <v>19</v>
      </c>
    </row>
    <row r="3517" spans="1:17" x14ac:dyDescent="0.3">
      <c r="A3517" t="s">
        <v>4637</v>
      </c>
      <c r="B3517" s="6">
        <v>45224</v>
      </c>
      <c r="C3517" s="6" t="str">
        <f t="shared" si="162"/>
        <v>Oct</v>
      </c>
      <c r="D3517" t="s">
        <v>2480</v>
      </c>
      <c r="E3517" t="s">
        <v>19</v>
      </c>
      <c r="F3517" t="s">
        <v>706</v>
      </c>
      <c r="G3517">
        <v>2</v>
      </c>
      <c r="H3517" s="7">
        <v>46.77</v>
      </c>
      <c r="I3517" t="s">
        <v>64</v>
      </c>
      <c r="J3517" t="s">
        <v>87</v>
      </c>
      <c r="K3517">
        <v>20</v>
      </c>
      <c r="L3517" s="7">
        <f t="shared" si="163"/>
        <v>93.54</v>
      </c>
      <c r="M3517" s="7"/>
      <c r="O3517">
        <f t="shared" si="164"/>
        <v>2</v>
      </c>
      <c r="Q3517" t="s">
        <v>65</v>
      </c>
    </row>
    <row r="3518" spans="1:17" x14ac:dyDescent="0.3">
      <c r="A3518" t="s">
        <v>4638</v>
      </c>
      <c r="B3518" s="6">
        <v>45058</v>
      </c>
      <c r="C3518" s="6" t="str">
        <f t="shared" si="162"/>
        <v>May</v>
      </c>
      <c r="D3518" t="s">
        <v>3229</v>
      </c>
      <c r="E3518" t="s">
        <v>19</v>
      </c>
      <c r="F3518" t="s">
        <v>119</v>
      </c>
      <c r="G3518">
        <v>5</v>
      </c>
      <c r="H3518" s="7">
        <v>133.31</v>
      </c>
      <c r="I3518" t="s">
        <v>21</v>
      </c>
      <c r="J3518" t="s">
        <v>19</v>
      </c>
      <c r="K3518">
        <v>15</v>
      </c>
      <c r="L3518" s="7">
        <f t="shared" si="163"/>
        <v>666.55</v>
      </c>
      <c r="M3518" s="7"/>
      <c r="O3518">
        <f t="shared" si="164"/>
        <v>2</v>
      </c>
      <c r="Q3518" t="s">
        <v>23</v>
      </c>
    </row>
    <row r="3519" spans="1:17" x14ac:dyDescent="0.3">
      <c r="A3519" t="s">
        <v>4639</v>
      </c>
      <c r="B3519" s="6">
        <v>44960</v>
      </c>
      <c r="C3519" s="6" t="str">
        <f t="shared" si="162"/>
        <v>Feb</v>
      </c>
      <c r="D3519" t="s">
        <v>3693</v>
      </c>
      <c r="E3519" t="s">
        <v>26</v>
      </c>
      <c r="F3519" t="s">
        <v>856</v>
      </c>
      <c r="G3519">
        <v>2</v>
      </c>
      <c r="H3519" s="7">
        <v>14.37</v>
      </c>
      <c r="I3519" t="s">
        <v>21</v>
      </c>
      <c r="J3519" t="s">
        <v>28</v>
      </c>
      <c r="K3519">
        <v>15</v>
      </c>
      <c r="L3519" s="7">
        <f t="shared" si="163"/>
        <v>28.74</v>
      </c>
      <c r="M3519" s="7"/>
      <c r="O3519">
        <f t="shared" si="164"/>
        <v>2</v>
      </c>
      <c r="Q3519" t="s">
        <v>23</v>
      </c>
    </row>
    <row r="3520" spans="1:17" x14ac:dyDescent="0.3">
      <c r="A3520" t="s">
        <v>4640</v>
      </c>
      <c r="B3520" s="6">
        <v>45239</v>
      </c>
      <c r="C3520" s="6" t="str">
        <f t="shared" si="162"/>
        <v>Nov</v>
      </c>
      <c r="D3520" t="s">
        <v>1169</v>
      </c>
      <c r="E3520" t="s">
        <v>31</v>
      </c>
      <c r="F3520" t="s">
        <v>1282</v>
      </c>
      <c r="G3520">
        <v>6</v>
      </c>
      <c r="H3520" s="7">
        <v>22.77</v>
      </c>
      <c r="I3520" t="s">
        <v>19</v>
      </c>
      <c r="J3520" t="s">
        <v>42</v>
      </c>
      <c r="K3520">
        <v>20</v>
      </c>
      <c r="L3520" s="7">
        <f t="shared" si="163"/>
        <v>136.62</v>
      </c>
      <c r="M3520" s="7"/>
      <c r="O3520">
        <f t="shared" si="164"/>
        <v>2</v>
      </c>
      <c r="Q3520" t="s">
        <v>19</v>
      </c>
    </row>
    <row r="3521" spans="1:17" x14ac:dyDescent="0.3">
      <c r="A3521" t="s">
        <v>4641</v>
      </c>
      <c r="B3521" s="6">
        <v>45150</v>
      </c>
      <c r="C3521" s="6" t="str">
        <f t="shared" si="162"/>
        <v>Aug</v>
      </c>
      <c r="D3521" t="s">
        <v>970</v>
      </c>
      <c r="E3521" t="s">
        <v>36</v>
      </c>
      <c r="F3521" t="s">
        <v>176</v>
      </c>
      <c r="G3521">
        <v>3</v>
      </c>
      <c r="H3521" s="7">
        <v>457.85</v>
      </c>
      <c r="I3521" t="s">
        <v>32</v>
      </c>
      <c r="J3521" t="s">
        <v>42</v>
      </c>
      <c r="K3521">
        <v>15</v>
      </c>
      <c r="L3521" s="7">
        <f t="shared" si="163"/>
        <v>1373.5500000000002</v>
      </c>
      <c r="M3521" s="7"/>
      <c r="O3521">
        <f t="shared" si="164"/>
        <v>2</v>
      </c>
      <c r="Q3521" t="s">
        <v>33</v>
      </c>
    </row>
    <row r="3522" spans="1:17" x14ac:dyDescent="0.3">
      <c r="A3522" t="s">
        <v>4642</v>
      </c>
      <c r="B3522" s="6">
        <v>45024</v>
      </c>
      <c r="C3522" s="6" t="str">
        <f t="shared" si="162"/>
        <v>Apr</v>
      </c>
      <c r="D3522" t="s">
        <v>906</v>
      </c>
      <c r="E3522" t="s">
        <v>50</v>
      </c>
      <c r="F3522" t="s">
        <v>139</v>
      </c>
      <c r="G3522">
        <v>5</v>
      </c>
      <c r="H3522" s="7">
        <v>179.25</v>
      </c>
      <c r="I3522" t="s">
        <v>103</v>
      </c>
      <c r="J3522" t="s">
        <v>42</v>
      </c>
      <c r="K3522">
        <v>10</v>
      </c>
      <c r="L3522" s="7">
        <f t="shared" si="163"/>
        <v>896.25</v>
      </c>
      <c r="M3522" s="7"/>
      <c r="O3522">
        <f t="shared" si="164"/>
        <v>2</v>
      </c>
      <c r="Q3522" t="s">
        <v>104</v>
      </c>
    </row>
    <row r="3523" spans="1:17" x14ac:dyDescent="0.3">
      <c r="A3523" t="s">
        <v>4643</v>
      </c>
      <c r="B3523" s="6">
        <v>45097</v>
      </c>
      <c r="C3523" s="6" t="str">
        <f t="shared" ref="C3523:C3586" si="165">TEXT(B3523,"MMM")</f>
        <v>Jun</v>
      </c>
      <c r="D3523" t="s">
        <v>1756</v>
      </c>
      <c r="E3523" t="s">
        <v>62</v>
      </c>
      <c r="F3523" t="s">
        <v>273</v>
      </c>
      <c r="G3523">
        <v>9</v>
      </c>
      <c r="H3523" s="7">
        <v>208.35</v>
      </c>
      <c r="I3523" t="s">
        <v>46</v>
      </c>
      <c r="J3523" t="s">
        <v>22</v>
      </c>
      <c r="K3523">
        <v>10</v>
      </c>
      <c r="L3523" s="7">
        <f t="shared" ref="L3523:L3586" si="166">G3523*H3523</f>
        <v>1875.1499999999999</v>
      </c>
      <c r="M3523" s="7"/>
      <c r="O3523">
        <f t="shared" si="164"/>
        <v>2</v>
      </c>
      <c r="Q3523" t="s">
        <v>47</v>
      </c>
    </row>
    <row r="3524" spans="1:17" x14ac:dyDescent="0.3">
      <c r="A3524" t="s">
        <v>4644</v>
      </c>
      <c r="B3524" s="6">
        <v>45231</v>
      </c>
      <c r="C3524" s="6" t="str">
        <f t="shared" si="165"/>
        <v>Nov</v>
      </c>
      <c r="D3524" t="s">
        <v>1772</v>
      </c>
      <c r="E3524" t="s">
        <v>62</v>
      </c>
      <c r="F3524" t="s">
        <v>128</v>
      </c>
      <c r="G3524">
        <v>1</v>
      </c>
      <c r="H3524" s="7">
        <v>14.09</v>
      </c>
      <c r="I3524" t="s">
        <v>19</v>
      </c>
      <c r="J3524" t="s">
        <v>42</v>
      </c>
      <c r="K3524">
        <v>15</v>
      </c>
      <c r="L3524" s="7">
        <f t="shared" si="166"/>
        <v>14.09</v>
      </c>
      <c r="M3524" s="7"/>
      <c r="O3524">
        <f t="shared" ref="O3524:O3587" si="167">IF(L3524&gt;3500,5,IF(L3524&gt;3000,4,IF(L3524&gt;2500,3,IF(L3524&gt;2000,2,IF(L3524&gt;1000,2,2)))))</f>
        <v>2</v>
      </c>
      <c r="Q3524" t="s">
        <v>19</v>
      </c>
    </row>
    <row r="3525" spans="1:17" x14ac:dyDescent="0.3">
      <c r="A3525" t="s">
        <v>4645</v>
      </c>
      <c r="B3525" s="6">
        <v>45135</v>
      </c>
      <c r="C3525" s="6" t="str">
        <f t="shared" si="165"/>
        <v>Jul</v>
      </c>
      <c r="D3525" t="s">
        <v>947</v>
      </c>
      <c r="E3525" t="s">
        <v>31</v>
      </c>
      <c r="F3525" t="s">
        <v>480</v>
      </c>
      <c r="G3525">
        <v>6</v>
      </c>
      <c r="H3525" s="7">
        <v>138.91</v>
      </c>
      <c r="I3525" t="s">
        <v>64</v>
      </c>
      <c r="J3525" t="s">
        <v>22</v>
      </c>
      <c r="K3525">
        <v>20</v>
      </c>
      <c r="L3525" s="7">
        <f t="shared" si="166"/>
        <v>833.46</v>
      </c>
      <c r="M3525" s="7"/>
      <c r="O3525">
        <f t="shared" si="167"/>
        <v>2</v>
      </c>
      <c r="Q3525" t="s">
        <v>65</v>
      </c>
    </row>
    <row r="3526" spans="1:17" x14ac:dyDescent="0.3">
      <c r="A3526" t="s">
        <v>4646</v>
      </c>
      <c r="B3526" s="6">
        <v>45263</v>
      </c>
      <c r="C3526" s="6" t="str">
        <f t="shared" si="165"/>
        <v>Dec</v>
      </c>
      <c r="D3526" t="s">
        <v>2268</v>
      </c>
      <c r="E3526" t="s">
        <v>50</v>
      </c>
      <c r="F3526" t="s">
        <v>944</v>
      </c>
      <c r="G3526">
        <v>9</v>
      </c>
      <c r="H3526" s="7">
        <v>403.34</v>
      </c>
      <c r="I3526" t="s">
        <v>46</v>
      </c>
      <c r="J3526" t="s">
        <v>42</v>
      </c>
      <c r="K3526">
        <v>20</v>
      </c>
      <c r="L3526" s="7">
        <f t="shared" si="166"/>
        <v>3630.06</v>
      </c>
      <c r="M3526" s="7"/>
      <c r="O3526">
        <f t="shared" si="167"/>
        <v>5</v>
      </c>
      <c r="Q3526" t="s">
        <v>47</v>
      </c>
    </row>
    <row r="3527" spans="1:17" x14ac:dyDescent="0.3">
      <c r="A3527" t="s">
        <v>4647</v>
      </c>
      <c r="B3527" s="6">
        <v>45033</v>
      </c>
      <c r="C3527" s="6" t="str">
        <f t="shared" si="165"/>
        <v>Apr</v>
      </c>
      <c r="D3527" t="s">
        <v>2485</v>
      </c>
      <c r="E3527" t="s">
        <v>19</v>
      </c>
      <c r="F3527" t="s">
        <v>222</v>
      </c>
      <c r="G3527">
        <v>4</v>
      </c>
      <c r="H3527" s="7">
        <v>309.67</v>
      </c>
      <c r="I3527" t="s">
        <v>19</v>
      </c>
      <c r="J3527" t="s">
        <v>87</v>
      </c>
      <c r="K3527">
        <v>20</v>
      </c>
      <c r="L3527" s="7">
        <f t="shared" si="166"/>
        <v>1238.68</v>
      </c>
      <c r="M3527" s="7"/>
      <c r="O3527">
        <f t="shared" si="167"/>
        <v>2</v>
      </c>
      <c r="Q3527" t="s">
        <v>19</v>
      </c>
    </row>
    <row r="3528" spans="1:17" x14ac:dyDescent="0.3">
      <c r="A3528" t="s">
        <v>4648</v>
      </c>
      <c r="B3528" s="6">
        <v>45272</v>
      </c>
      <c r="C3528" s="6" t="str">
        <f t="shared" si="165"/>
        <v>Dec</v>
      </c>
      <c r="D3528" t="s">
        <v>4459</v>
      </c>
      <c r="E3528" t="s">
        <v>19</v>
      </c>
      <c r="F3528" t="s">
        <v>415</v>
      </c>
      <c r="G3528">
        <v>2</v>
      </c>
      <c r="H3528" s="7">
        <v>378.12</v>
      </c>
      <c r="I3528" t="s">
        <v>46</v>
      </c>
      <c r="J3528" t="s">
        <v>87</v>
      </c>
      <c r="K3528">
        <v>5</v>
      </c>
      <c r="L3528" s="7">
        <f t="shared" si="166"/>
        <v>756.24</v>
      </c>
      <c r="M3528" s="7"/>
      <c r="O3528">
        <f t="shared" si="167"/>
        <v>2</v>
      </c>
      <c r="Q3528" t="s">
        <v>47</v>
      </c>
    </row>
    <row r="3529" spans="1:17" x14ac:dyDescent="0.3">
      <c r="A3529" t="s">
        <v>4649</v>
      </c>
      <c r="B3529" s="6">
        <v>44959</v>
      </c>
      <c r="C3529" s="6" t="str">
        <f t="shared" si="165"/>
        <v>Feb</v>
      </c>
      <c r="D3529" t="s">
        <v>1809</v>
      </c>
      <c r="E3529" t="s">
        <v>50</v>
      </c>
      <c r="F3529" t="s">
        <v>27</v>
      </c>
      <c r="G3529">
        <v>4</v>
      </c>
      <c r="H3529" s="7">
        <v>226.37</v>
      </c>
      <c r="I3529" t="s">
        <v>21</v>
      </c>
      <c r="J3529" t="s">
        <v>22</v>
      </c>
      <c r="K3529">
        <v>10</v>
      </c>
      <c r="L3529" s="7">
        <f t="shared" si="166"/>
        <v>905.48</v>
      </c>
      <c r="M3529" s="7"/>
      <c r="O3529">
        <f t="shared" si="167"/>
        <v>2</v>
      </c>
      <c r="Q3529" t="s">
        <v>23</v>
      </c>
    </row>
    <row r="3530" spans="1:17" x14ac:dyDescent="0.3">
      <c r="A3530" t="s">
        <v>4650</v>
      </c>
      <c r="B3530" s="6">
        <v>45145</v>
      </c>
      <c r="C3530" s="6" t="str">
        <f t="shared" si="165"/>
        <v>Aug</v>
      </c>
      <c r="D3530" t="s">
        <v>1838</v>
      </c>
      <c r="E3530" t="s">
        <v>36</v>
      </c>
      <c r="F3530" t="s">
        <v>1282</v>
      </c>
      <c r="G3530">
        <v>1</v>
      </c>
      <c r="H3530" s="7">
        <v>158.32</v>
      </c>
      <c r="I3530" t="s">
        <v>19</v>
      </c>
      <c r="J3530" t="s">
        <v>42</v>
      </c>
      <c r="K3530">
        <v>10</v>
      </c>
      <c r="L3530" s="7">
        <f t="shared" si="166"/>
        <v>158.32</v>
      </c>
      <c r="M3530" s="7"/>
      <c r="O3530">
        <f t="shared" si="167"/>
        <v>2</v>
      </c>
      <c r="Q3530" t="s">
        <v>19</v>
      </c>
    </row>
    <row r="3531" spans="1:17" x14ac:dyDescent="0.3">
      <c r="A3531" t="s">
        <v>4651</v>
      </c>
      <c r="B3531" s="6">
        <v>45224</v>
      </c>
      <c r="C3531" s="6" t="str">
        <f t="shared" si="165"/>
        <v>Oct</v>
      </c>
      <c r="D3531" t="s">
        <v>1309</v>
      </c>
      <c r="E3531" t="s">
        <v>62</v>
      </c>
      <c r="F3531" t="s">
        <v>619</v>
      </c>
      <c r="G3531">
        <v>3</v>
      </c>
      <c r="H3531" s="7">
        <v>243.99</v>
      </c>
      <c r="I3531" t="s">
        <v>21</v>
      </c>
      <c r="J3531" t="s">
        <v>28</v>
      </c>
      <c r="K3531">
        <v>5</v>
      </c>
      <c r="L3531" s="7">
        <f t="shared" si="166"/>
        <v>731.97</v>
      </c>
      <c r="M3531" s="7"/>
      <c r="O3531">
        <f t="shared" si="167"/>
        <v>2</v>
      </c>
      <c r="Q3531" t="s">
        <v>23</v>
      </c>
    </row>
    <row r="3532" spans="1:17" x14ac:dyDescent="0.3">
      <c r="A3532" t="s">
        <v>4652</v>
      </c>
      <c r="B3532" s="6">
        <v>44993</v>
      </c>
      <c r="C3532" s="6" t="str">
        <f t="shared" si="165"/>
        <v>Mar</v>
      </c>
      <c r="D3532" t="s">
        <v>468</v>
      </c>
      <c r="E3532" t="s">
        <v>50</v>
      </c>
      <c r="F3532" t="s">
        <v>231</v>
      </c>
      <c r="G3532">
        <v>9</v>
      </c>
      <c r="H3532" s="7">
        <v>164.92</v>
      </c>
      <c r="I3532" t="s">
        <v>21</v>
      </c>
      <c r="J3532" t="s">
        <v>72</v>
      </c>
      <c r="K3532">
        <v>10</v>
      </c>
      <c r="L3532" s="7">
        <f t="shared" si="166"/>
        <v>1484.28</v>
      </c>
      <c r="M3532" s="7"/>
      <c r="O3532">
        <f t="shared" si="167"/>
        <v>2</v>
      </c>
      <c r="Q3532" t="s">
        <v>23</v>
      </c>
    </row>
    <row r="3533" spans="1:17" x14ac:dyDescent="0.3">
      <c r="A3533" t="s">
        <v>4653</v>
      </c>
      <c r="B3533" s="6">
        <v>44928</v>
      </c>
      <c r="C3533" s="6" t="str">
        <f t="shared" si="165"/>
        <v>Jan</v>
      </c>
      <c r="D3533" t="s">
        <v>192</v>
      </c>
      <c r="E3533" t="s">
        <v>62</v>
      </c>
      <c r="F3533" t="s">
        <v>267</v>
      </c>
      <c r="G3533">
        <v>5</v>
      </c>
      <c r="H3533" s="7">
        <v>420.29</v>
      </c>
      <c r="I3533" t="s">
        <v>46</v>
      </c>
      <c r="J3533" t="s">
        <v>87</v>
      </c>
      <c r="K3533">
        <v>5</v>
      </c>
      <c r="L3533" s="7">
        <f t="shared" si="166"/>
        <v>2101.4500000000003</v>
      </c>
      <c r="M3533" s="7"/>
      <c r="O3533">
        <f t="shared" si="167"/>
        <v>2</v>
      </c>
      <c r="Q3533" t="s">
        <v>47</v>
      </c>
    </row>
    <row r="3534" spans="1:17" x14ac:dyDescent="0.3">
      <c r="A3534" t="s">
        <v>4654</v>
      </c>
      <c r="B3534" s="6">
        <v>45272</v>
      </c>
      <c r="C3534" s="6" t="str">
        <f t="shared" si="165"/>
        <v>Dec</v>
      </c>
      <c r="D3534" t="s">
        <v>2244</v>
      </c>
      <c r="E3534" t="s">
        <v>26</v>
      </c>
      <c r="F3534" t="s">
        <v>51</v>
      </c>
      <c r="G3534">
        <v>6</v>
      </c>
      <c r="H3534" s="7">
        <v>152.35</v>
      </c>
      <c r="I3534" t="s">
        <v>21</v>
      </c>
      <c r="J3534" t="s">
        <v>19</v>
      </c>
      <c r="K3534">
        <v>10</v>
      </c>
      <c r="L3534" s="7">
        <f t="shared" si="166"/>
        <v>914.09999999999991</v>
      </c>
      <c r="M3534" s="7"/>
      <c r="O3534">
        <f t="shared" si="167"/>
        <v>2</v>
      </c>
      <c r="Q3534" t="s">
        <v>23</v>
      </c>
    </row>
    <row r="3535" spans="1:17" x14ac:dyDescent="0.3">
      <c r="A3535" t="s">
        <v>4655</v>
      </c>
      <c r="B3535" s="6">
        <v>45284</v>
      </c>
      <c r="C3535" s="6" t="str">
        <f t="shared" si="165"/>
        <v>Dec</v>
      </c>
      <c r="D3535" t="s">
        <v>3049</v>
      </c>
      <c r="E3535" t="s">
        <v>31</v>
      </c>
      <c r="F3535" t="s">
        <v>173</v>
      </c>
      <c r="G3535">
        <v>3</v>
      </c>
      <c r="H3535" s="7">
        <v>331.58</v>
      </c>
      <c r="I3535" t="s">
        <v>64</v>
      </c>
      <c r="J3535" t="s">
        <v>28</v>
      </c>
      <c r="K3535">
        <v>5</v>
      </c>
      <c r="L3535" s="7">
        <f t="shared" si="166"/>
        <v>994.74</v>
      </c>
      <c r="M3535" s="7"/>
      <c r="O3535">
        <f t="shared" si="167"/>
        <v>2</v>
      </c>
      <c r="Q3535" t="s">
        <v>65</v>
      </c>
    </row>
    <row r="3536" spans="1:17" x14ac:dyDescent="0.3">
      <c r="A3536" t="s">
        <v>4656</v>
      </c>
      <c r="B3536" s="6">
        <v>45289</v>
      </c>
      <c r="C3536" s="6" t="str">
        <f t="shared" si="165"/>
        <v>Dec</v>
      </c>
      <c r="D3536" t="s">
        <v>4459</v>
      </c>
      <c r="E3536" t="s">
        <v>19</v>
      </c>
      <c r="F3536" t="s">
        <v>54</v>
      </c>
      <c r="G3536">
        <v>5</v>
      </c>
      <c r="H3536" s="7">
        <v>72.81</v>
      </c>
      <c r="I3536" t="s">
        <v>64</v>
      </c>
      <c r="J3536" t="s">
        <v>42</v>
      </c>
      <c r="K3536">
        <v>5</v>
      </c>
      <c r="L3536" s="7">
        <f t="shared" si="166"/>
        <v>364.05</v>
      </c>
      <c r="M3536" s="7"/>
      <c r="O3536">
        <f t="shared" si="167"/>
        <v>2</v>
      </c>
      <c r="Q3536" t="s">
        <v>65</v>
      </c>
    </row>
    <row r="3537" spans="1:17" x14ac:dyDescent="0.3">
      <c r="A3537" t="s">
        <v>4657</v>
      </c>
      <c r="B3537" s="6">
        <v>45192</v>
      </c>
      <c r="C3537" s="6" t="str">
        <f t="shared" si="165"/>
        <v>Sep</v>
      </c>
      <c r="D3537" t="s">
        <v>1647</v>
      </c>
      <c r="E3537" t="s">
        <v>62</v>
      </c>
      <c r="F3537" t="s">
        <v>341</v>
      </c>
      <c r="G3537">
        <v>8</v>
      </c>
      <c r="H3537" s="7">
        <v>345</v>
      </c>
      <c r="I3537" t="s">
        <v>19</v>
      </c>
      <c r="J3537" t="s">
        <v>87</v>
      </c>
      <c r="K3537">
        <v>10</v>
      </c>
      <c r="L3537" s="7">
        <f t="shared" si="166"/>
        <v>2760</v>
      </c>
      <c r="M3537" s="7"/>
      <c r="O3537">
        <f t="shared" si="167"/>
        <v>3</v>
      </c>
      <c r="Q3537" t="s">
        <v>19</v>
      </c>
    </row>
    <row r="3538" spans="1:17" x14ac:dyDescent="0.3">
      <c r="A3538" t="s">
        <v>4658</v>
      </c>
      <c r="B3538" s="6">
        <v>44928</v>
      </c>
      <c r="C3538" s="6" t="str">
        <f t="shared" si="165"/>
        <v>Jan</v>
      </c>
      <c r="D3538" t="s">
        <v>766</v>
      </c>
      <c r="E3538" t="s">
        <v>31</v>
      </c>
      <c r="F3538" t="s">
        <v>278</v>
      </c>
      <c r="G3538">
        <v>6</v>
      </c>
      <c r="H3538" s="7">
        <v>457.08</v>
      </c>
      <c r="I3538" t="s">
        <v>64</v>
      </c>
      <c r="J3538" t="s">
        <v>42</v>
      </c>
      <c r="K3538">
        <v>5</v>
      </c>
      <c r="L3538" s="7">
        <f t="shared" si="166"/>
        <v>2742.48</v>
      </c>
      <c r="M3538" s="7"/>
      <c r="O3538">
        <f t="shared" si="167"/>
        <v>3</v>
      </c>
      <c r="Q3538" t="s">
        <v>65</v>
      </c>
    </row>
    <row r="3539" spans="1:17" x14ac:dyDescent="0.3">
      <c r="A3539" t="s">
        <v>4659</v>
      </c>
      <c r="B3539" s="6">
        <v>44961</v>
      </c>
      <c r="C3539" s="6" t="str">
        <f t="shared" si="165"/>
        <v>Feb</v>
      </c>
      <c r="D3539" t="s">
        <v>3858</v>
      </c>
      <c r="E3539" t="s">
        <v>19</v>
      </c>
      <c r="F3539" t="s">
        <v>322</v>
      </c>
      <c r="G3539">
        <v>4</v>
      </c>
      <c r="H3539" s="7">
        <v>306.25</v>
      </c>
      <c r="I3539" t="s">
        <v>32</v>
      </c>
      <c r="J3539" t="s">
        <v>22</v>
      </c>
      <c r="K3539">
        <v>10</v>
      </c>
      <c r="L3539" s="7">
        <f t="shared" si="166"/>
        <v>1225</v>
      </c>
      <c r="M3539" s="7"/>
      <c r="O3539">
        <f t="shared" si="167"/>
        <v>2</v>
      </c>
      <c r="Q3539" t="s">
        <v>33</v>
      </c>
    </row>
    <row r="3540" spans="1:17" x14ac:dyDescent="0.3">
      <c r="A3540" t="s">
        <v>4660</v>
      </c>
      <c r="B3540" s="6">
        <v>45219</v>
      </c>
      <c r="C3540" s="6" t="str">
        <f t="shared" si="165"/>
        <v>Oct</v>
      </c>
      <c r="D3540" t="s">
        <v>1657</v>
      </c>
      <c r="E3540" t="s">
        <v>40</v>
      </c>
      <c r="F3540" t="s">
        <v>142</v>
      </c>
      <c r="G3540">
        <v>5</v>
      </c>
      <c r="H3540" s="7">
        <v>282.13</v>
      </c>
      <c r="I3540" t="s">
        <v>64</v>
      </c>
      <c r="J3540" t="s">
        <v>42</v>
      </c>
      <c r="K3540">
        <v>5</v>
      </c>
      <c r="L3540" s="7">
        <f t="shared" si="166"/>
        <v>1410.65</v>
      </c>
      <c r="M3540" s="7"/>
      <c r="O3540">
        <f t="shared" si="167"/>
        <v>2</v>
      </c>
      <c r="Q3540" t="s">
        <v>65</v>
      </c>
    </row>
    <row r="3541" spans="1:17" x14ac:dyDescent="0.3">
      <c r="A3541" t="s">
        <v>4661</v>
      </c>
      <c r="B3541" s="6">
        <v>45120</v>
      </c>
      <c r="C3541" s="6" t="str">
        <f t="shared" si="165"/>
        <v>Jul</v>
      </c>
      <c r="D3541" t="s">
        <v>1052</v>
      </c>
      <c r="E3541" t="s">
        <v>40</v>
      </c>
      <c r="F3541" t="s">
        <v>267</v>
      </c>
      <c r="G3541">
        <v>9</v>
      </c>
      <c r="H3541" s="7">
        <v>480.75</v>
      </c>
      <c r="I3541" t="s">
        <v>46</v>
      </c>
      <c r="J3541" t="s">
        <v>19</v>
      </c>
      <c r="K3541">
        <v>20</v>
      </c>
      <c r="L3541" s="7">
        <f t="shared" si="166"/>
        <v>4326.75</v>
      </c>
      <c r="M3541" s="7"/>
      <c r="O3541">
        <f t="shared" si="167"/>
        <v>5</v>
      </c>
      <c r="Q3541" t="s">
        <v>47</v>
      </c>
    </row>
    <row r="3542" spans="1:17" x14ac:dyDescent="0.3">
      <c r="A3542" t="s">
        <v>4662</v>
      </c>
      <c r="B3542" s="6">
        <v>45117</v>
      </c>
      <c r="C3542" s="6" t="str">
        <f t="shared" si="165"/>
        <v>Jul</v>
      </c>
      <c r="D3542" t="s">
        <v>1870</v>
      </c>
      <c r="E3542" t="s">
        <v>50</v>
      </c>
      <c r="F3542" t="s">
        <v>267</v>
      </c>
      <c r="G3542">
        <v>1</v>
      </c>
      <c r="H3542" s="7">
        <v>315.56</v>
      </c>
      <c r="I3542" t="s">
        <v>32</v>
      </c>
      <c r="J3542" t="s">
        <v>19</v>
      </c>
      <c r="K3542">
        <v>0</v>
      </c>
      <c r="L3542" s="7">
        <f t="shared" si="166"/>
        <v>315.56</v>
      </c>
      <c r="M3542" s="7"/>
      <c r="O3542">
        <f t="shared" si="167"/>
        <v>2</v>
      </c>
      <c r="Q3542" t="s">
        <v>33</v>
      </c>
    </row>
    <row r="3543" spans="1:17" x14ac:dyDescent="0.3">
      <c r="A3543" t="s">
        <v>4663</v>
      </c>
      <c r="B3543" s="6">
        <v>45117</v>
      </c>
      <c r="C3543" s="6" t="str">
        <f t="shared" si="165"/>
        <v>Jul</v>
      </c>
      <c r="D3543" t="s">
        <v>2154</v>
      </c>
      <c r="E3543" t="s">
        <v>19</v>
      </c>
      <c r="F3543" t="s">
        <v>59</v>
      </c>
      <c r="G3543">
        <v>1</v>
      </c>
      <c r="H3543" s="7">
        <v>133.47999999999999</v>
      </c>
      <c r="I3543" t="s">
        <v>32</v>
      </c>
      <c r="J3543" t="s">
        <v>28</v>
      </c>
      <c r="K3543">
        <v>10</v>
      </c>
      <c r="L3543" s="7">
        <f t="shared" si="166"/>
        <v>133.47999999999999</v>
      </c>
      <c r="M3543" s="7"/>
      <c r="O3543">
        <f t="shared" si="167"/>
        <v>2</v>
      </c>
      <c r="Q3543" t="s">
        <v>33</v>
      </c>
    </row>
    <row r="3544" spans="1:17" x14ac:dyDescent="0.3">
      <c r="A3544" t="s">
        <v>4664</v>
      </c>
      <c r="B3544" s="6">
        <v>44948</v>
      </c>
      <c r="C3544" s="6" t="str">
        <f t="shared" si="165"/>
        <v>Jan</v>
      </c>
      <c r="D3544" t="s">
        <v>889</v>
      </c>
      <c r="E3544" t="s">
        <v>50</v>
      </c>
      <c r="F3544" t="s">
        <v>900</v>
      </c>
      <c r="G3544">
        <v>4</v>
      </c>
      <c r="H3544" s="7">
        <v>149.72999999999999</v>
      </c>
      <c r="I3544" t="s">
        <v>32</v>
      </c>
      <c r="J3544" t="s">
        <v>22</v>
      </c>
      <c r="K3544">
        <v>5</v>
      </c>
      <c r="L3544" s="7">
        <f t="shared" si="166"/>
        <v>598.91999999999996</v>
      </c>
      <c r="M3544" s="7"/>
      <c r="O3544">
        <f t="shared" si="167"/>
        <v>2</v>
      </c>
      <c r="Q3544" t="s">
        <v>33</v>
      </c>
    </row>
    <row r="3545" spans="1:17" x14ac:dyDescent="0.3">
      <c r="A3545" t="s">
        <v>4665</v>
      </c>
      <c r="B3545" s="6">
        <v>45154</v>
      </c>
      <c r="C3545" s="6" t="str">
        <f t="shared" si="165"/>
        <v>Aug</v>
      </c>
      <c r="D3545" t="s">
        <v>1258</v>
      </c>
      <c r="E3545" t="s">
        <v>40</v>
      </c>
      <c r="F3545" t="s">
        <v>575</v>
      </c>
      <c r="G3545">
        <v>7</v>
      </c>
      <c r="H3545" s="7">
        <v>354.13</v>
      </c>
      <c r="I3545" t="s">
        <v>32</v>
      </c>
      <c r="J3545" t="s">
        <v>19</v>
      </c>
      <c r="K3545">
        <v>20</v>
      </c>
      <c r="L3545" s="7">
        <f t="shared" si="166"/>
        <v>2478.91</v>
      </c>
      <c r="M3545" s="7"/>
      <c r="O3545">
        <f t="shared" si="167"/>
        <v>2</v>
      </c>
      <c r="Q3545" t="s">
        <v>33</v>
      </c>
    </row>
    <row r="3546" spans="1:17" x14ac:dyDescent="0.3">
      <c r="A3546" t="s">
        <v>4666</v>
      </c>
      <c r="B3546" s="6">
        <v>44939</v>
      </c>
      <c r="C3546" s="6" t="str">
        <f t="shared" si="165"/>
        <v>Jan</v>
      </c>
      <c r="D3546" t="s">
        <v>1478</v>
      </c>
      <c r="E3546" t="s">
        <v>26</v>
      </c>
      <c r="F3546" t="s">
        <v>81</v>
      </c>
      <c r="G3546">
        <v>1</v>
      </c>
      <c r="H3546" s="7">
        <v>252.16</v>
      </c>
      <c r="I3546" t="s">
        <v>19</v>
      </c>
      <c r="J3546" t="s">
        <v>28</v>
      </c>
      <c r="K3546">
        <v>0</v>
      </c>
      <c r="L3546" s="7">
        <f t="shared" si="166"/>
        <v>252.16</v>
      </c>
      <c r="M3546" s="7"/>
      <c r="O3546">
        <f t="shared" si="167"/>
        <v>2</v>
      </c>
      <c r="Q3546" t="s">
        <v>19</v>
      </c>
    </row>
    <row r="3547" spans="1:17" x14ac:dyDescent="0.3">
      <c r="A3547" t="s">
        <v>4667</v>
      </c>
      <c r="B3547" s="6">
        <v>45045</v>
      </c>
      <c r="C3547" s="6" t="str">
        <f t="shared" si="165"/>
        <v>Apr</v>
      </c>
      <c r="D3547" t="s">
        <v>2904</v>
      </c>
      <c r="E3547" t="s">
        <v>62</v>
      </c>
      <c r="F3547" t="s">
        <v>231</v>
      </c>
      <c r="G3547">
        <v>9</v>
      </c>
      <c r="H3547" s="7">
        <v>155.22999999999999</v>
      </c>
      <c r="I3547" t="s">
        <v>46</v>
      </c>
      <c r="J3547" t="s">
        <v>72</v>
      </c>
      <c r="K3547">
        <v>5</v>
      </c>
      <c r="L3547" s="7">
        <f t="shared" si="166"/>
        <v>1397.07</v>
      </c>
      <c r="M3547" s="7"/>
      <c r="O3547">
        <f t="shared" si="167"/>
        <v>2</v>
      </c>
      <c r="Q3547" t="s">
        <v>47</v>
      </c>
    </row>
    <row r="3548" spans="1:17" x14ac:dyDescent="0.3">
      <c r="A3548" t="s">
        <v>4668</v>
      </c>
      <c r="B3548" s="6">
        <v>45147</v>
      </c>
      <c r="C3548" s="6" t="str">
        <f t="shared" si="165"/>
        <v>Aug</v>
      </c>
      <c r="D3548" t="s">
        <v>2048</v>
      </c>
      <c r="E3548" t="s">
        <v>19</v>
      </c>
      <c r="F3548" t="s">
        <v>217</v>
      </c>
      <c r="G3548">
        <v>4</v>
      </c>
      <c r="H3548" s="7">
        <v>175.95</v>
      </c>
      <c r="I3548" t="s">
        <v>103</v>
      </c>
      <c r="J3548" t="s">
        <v>72</v>
      </c>
      <c r="K3548">
        <v>0</v>
      </c>
      <c r="L3548" s="7">
        <f t="shared" si="166"/>
        <v>703.8</v>
      </c>
      <c r="M3548" s="7"/>
      <c r="O3548">
        <f t="shared" si="167"/>
        <v>2</v>
      </c>
      <c r="Q3548" t="s">
        <v>104</v>
      </c>
    </row>
    <row r="3549" spans="1:17" x14ac:dyDescent="0.3">
      <c r="A3549" t="s">
        <v>4669</v>
      </c>
      <c r="B3549" s="6">
        <v>45182</v>
      </c>
      <c r="C3549" s="6" t="str">
        <f t="shared" si="165"/>
        <v>Sep</v>
      </c>
      <c r="D3549" t="s">
        <v>1853</v>
      </c>
      <c r="E3549" t="s">
        <v>19</v>
      </c>
      <c r="F3549" t="s">
        <v>417</v>
      </c>
      <c r="G3549">
        <v>3</v>
      </c>
      <c r="H3549" s="7">
        <v>495.57</v>
      </c>
      <c r="I3549" t="s">
        <v>32</v>
      </c>
      <c r="J3549" t="s">
        <v>72</v>
      </c>
      <c r="K3549">
        <v>10</v>
      </c>
      <c r="L3549" s="7">
        <f t="shared" si="166"/>
        <v>1486.71</v>
      </c>
      <c r="M3549" s="7"/>
      <c r="O3549">
        <f t="shared" si="167"/>
        <v>2</v>
      </c>
      <c r="Q3549" t="s">
        <v>33</v>
      </c>
    </row>
    <row r="3550" spans="1:17" x14ac:dyDescent="0.3">
      <c r="A3550" t="s">
        <v>4670</v>
      </c>
      <c r="B3550" s="6">
        <v>44938</v>
      </c>
      <c r="C3550" s="6" t="str">
        <f t="shared" si="165"/>
        <v>Jan</v>
      </c>
      <c r="D3550" t="s">
        <v>2124</v>
      </c>
      <c r="E3550" t="s">
        <v>36</v>
      </c>
      <c r="F3550" t="s">
        <v>198</v>
      </c>
      <c r="G3550">
        <v>1</v>
      </c>
      <c r="H3550" s="7">
        <v>55.47</v>
      </c>
      <c r="I3550" t="s">
        <v>19</v>
      </c>
      <c r="J3550" t="s">
        <v>19</v>
      </c>
      <c r="K3550">
        <v>0</v>
      </c>
      <c r="L3550" s="7">
        <f t="shared" si="166"/>
        <v>55.47</v>
      </c>
      <c r="M3550" s="7"/>
      <c r="O3550">
        <f t="shared" si="167"/>
        <v>2</v>
      </c>
      <c r="Q3550" t="s">
        <v>19</v>
      </c>
    </row>
    <row r="3551" spans="1:17" x14ac:dyDescent="0.3">
      <c r="A3551" t="s">
        <v>4671</v>
      </c>
      <c r="B3551" s="6">
        <v>45181</v>
      </c>
      <c r="C3551" s="6" t="str">
        <f t="shared" si="165"/>
        <v>Sep</v>
      </c>
      <c r="D3551" t="s">
        <v>1980</v>
      </c>
      <c r="E3551" t="s">
        <v>62</v>
      </c>
      <c r="F3551" t="s">
        <v>246</v>
      </c>
      <c r="G3551">
        <v>4</v>
      </c>
      <c r="H3551" s="7">
        <v>205.3</v>
      </c>
      <c r="I3551" t="s">
        <v>21</v>
      </c>
      <c r="J3551" t="s">
        <v>28</v>
      </c>
      <c r="K3551">
        <v>10</v>
      </c>
      <c r="L3551" s="7">
        <f t="shared" si="166"/>
        <v>821.2</v>
      </c>
      <c r="M3551" s="7"/>
      <c r="O3551">
        <f t="shared" si="167"/>
        <v>2</v>
      </c>
      <c r="Q3551" t="s">
        <v>23</v>
      </c>
    </row>
    <row r="3552" spans="1:17" x14ac:dyDescent="0.3">
      <c r="A3552" t="s">
        <v>4672</v>
      </c>
      <c r="B3552" s="6">
        <v>44982</v>
      </c>
      <c r="C3552" s="6" t="str">
        <f t="shared" si="165"/>
        <v>Feb</v>
      </c>
      <c r="D3552" t="s">
        <v>447</v>
      </c>
      <c r="E3552" t="s">
        <v>40</v>
      </c>
      <c r="F3552" t="s">
        <v>662</v>
      </c>
      <c r="G3552">
        <v>9</v>
      </c>
      <c r="H3552" s="7">
        <v>35.909999999999997</v>
      </c>
      <c r="I3552" t="s">
        <v>32</v>
      </c>
      <c r="J3552" t="s">
        <v>87</v>
      </c>
      <c r="K3552">
        <v>15</v>
      </c>
      <c r="L3552" s="7">
        <f t="shared" si="166"/>
        <v>323.18999999999994</v>
      </c>
      <c r="M3552" s="7"/>
      <c r="O3552">
        <f t="shared" si="167"/>
        <v>2</v>
      </c>
      <c r="Q3552" t="s">
        <v>33</v>
      </c>
    </row>
    <row r="3553" spans="1:17" x14ac:dyDescent="0.3">
      <c r="A3553" t="s">
        <v>4673</v>
      </c>
      <c r="B3553" s="6">
        <v>45283</v>
      </c>
      <c r="C3553" s="6" t="str">
        <f t="shared" si="165"/>
        <v>Dec</v>
      </c>
      <c r="D3553" t="s">
        <v>1478</v>
      </c>
      <c r="E3553" t="s">
        <v>36</v>
      </c>
      <c r="F3553" t="s">
        <v>107</v>
      </c>
      <c r="G3553">
        <v>6</v>
      </c>
      <c r="H3553" s="7">
        <v>411.43</v>
      </c>
      <c r="I3553" t="s">
        <v>103</v>
      </c>
      <c r="J3553" t="s">
        <v>19</v>
      </c>
      <c r="K3553">
        <v>10</v>
      </c>
      <c r="L3553" s="7">
        <f t="shared" si="166"/>
        <v>2468.58</v>
      </c>
      <c r="M3553" s="7"/>
      <c r="O3553">
        <f t="shared" si="167"/>
        <v>2</v>
      </c>
      <c r="Q3553" t="s">
        <v>104</v>
      </c>
    </row>
    <row r="3554" spans="1:17" x14ac:dyDescent="0.3">
      <c r="A3554" t="s">
        <v>4674</v>
      </c>
      <c r="B3554" s="6">
        <v>45033</v>
      </c>
      <c r="C3554" s="6" t="str">
        <f t="shared" si="165"/>
        <v>Apr</v>
      </c>
      <c r="D3554" t="s">
        <v>902</v>
      </c>
      <c r="E3554" t="s">
        <v>19</v>
      </c>
      <c r="F3554" t="s">
        <v>107</v>
      </c>
      <c r="G3554">
        <v>6</v>
      </c>
      <c r="H3554" s="7">
        <v>50.71</v>
      </c>
      <c r="I3554" t="s">
        <v>46</v>
      </c>
      <c r="J3554" t="s">
        <v>19</v>
      </c>
      <c r="K3554">
        <v>10</v>
      </c>
      <c r="L3554" s="7">
        <f t="shared" si="166"/>
        <v>304.26</v>
      </c>
      <c r="M3554" s="7"/>
      <c r="O3554">
        <f t="shared" si="167"/>
        <v>2</v>
      </c>
      <c r="Q3554" t="s">
        <v>47</v>
      </c>
    </row>
    <row r="3555" spans="1:17" x14ac:dyDescent="0.3">
      <c r="A3555" t="s">
        <v>4675</v>
      </c>
      <c r="B3555" s="6">
        <v>45209</v>
      </c>
      <c r="C3555" s="6" t="str">
        <f t="shared" si="165"/>
        <v>Oct</v>
      </c>
      <c r="D3555" t="s">
        <v>1191</v>
      </c>
      <c r="E3555" t="s">
        <v>26</v>
      </c>
      <c r="F3555" t="s">
        <v>520</v>
      </c>
      <c r="G3555">
        <v>1</v>
      </c>
      <c r="H3555" s="7">
        <v>338.63</v>
      </c>
      <c r="I3555" t="s">
        <v>32</v>
      </c>
      <c r="J3555" t="s">
        <v>19</v>
      </c>
      <c r="K3555">
        <v>10</v>
      </c>
      <c r="L3555" s="7">
        <f t="shared" si="166"/>
        <v>338.63</v>
      </c>
      <c r="M3555" s="7"/>
      <c r="O3555">
        <f t="shared" si="167"/>
        <v>2</v>
      </c>
      <c r="Q3555" t="s">
        <v>33</v>
      </c>
    </row>
    <row r="3556" spans="1:17" x14ac:dyDescent="0.3">
      <c r="A3556" t="s">
        <v>4676</v>
      </c>
      <c r="B3556" s="6">
        <v>45220</v>
      </c>
      <c r="C3556" s="6" t="str">
        <f t="shared" si="165"/>
        <v>Oct</v>
      </c>
      <c r="D3556" t="s">
        <v>1266</v>
      </c>
      <c r="E3556" t="s">
        <v>36</v>
      </c>
      <c r="F3556" t="s">
        <v>308</v>
      </c>
      <c r="G3556">
        <v>2</v>
      </c>
      <c r="H3556" s="7">
        <v>32.96</v>
      </c>
      <c r="I3556" t="s">
        <v>19</v>
      </c>
      <c r="J3556" t="s">
        <v>22</v>
      </c>
      <c r="K3556">
        <v>0</v>
      </c>
      <c r="L3556" s="7">
        <f t="shared" si="166"/>
        <v>65.92</v>
      </c>
      <c r="M3556" s="7"/>
      <c r="O3556">
        <f t="shared" si="167"/>
        <v>2</v>
      </c>
      <c r="Q3556" t="s">
        <v>19</v>
      </c>
    </row>
    <row r="3557" spans="1:17" x14ac:dyDescent="0.3">
      <c r="A3557" t="s">
        <v>4677</v>
      </c>
      <c r="B3557" s="6">
        <v>45044</v>
      </c>
      <c r="C3557" s="6" t="str">
        <f t="shared" si="165"/>
        <v>Apr</v>
      </c>
      <c r="D3557" t="s">
        <v>852</v>
      </c>
      <c r="E3557" t="s">
        <v>40</v>
      </c>
      <c r="F3557" t="s">
        <v>154</v>
      </c>
      <c r="G3557">
        <v>6</v>
      </c>
      <c r="H3557" s="7">
        <v>338.06</v>
      </c>
      <c r="I3557" t="s">
        <v>64</v>
      </c>
      <c r="J3557" t="s">
        <v>19</v>
      </c>
      <c r="K3557">
        <v>20</v>
      </c>
      <c r="L3557" s="7">
        <f t="shared" si="166"/>
        <v>2028.3600000000001</v>
      </c>
      <c r="M3557" s="7"/>
      <c r="O3557">
        <f t="shared" si="167"/>
        <v>2</v>
      </c>
      <c r="Q3557" t="s">
        <v>65</v>
      </c>
    </row>
    <row r="3558" spans="1:17" x14ac:dyDescent="0.3">
      <c r="A3558" t="s">
        <v>4678</v>
      </c>
      <c r="B3558" s="6">
        <v>45081</v>
      </c>
      <c r="C3558" s="6" t="str">
        <f t="shared" si="165"/>
        <v>Jun</v>
      </c>
      <c r="D3558" t="s">
        <v>2687</v>
      </c>
      <c r="E3558" t="s">
        <v>40</v>
      </c>
      <c r="F3558" t="s">
        <v>214</v>
      </c>
      <c r="G3558">
        <v>2</v>
      </c>
      <c r="H3558" s="7">
        <v>252.16</v>
      </c>
      <c r="I3558" t="s">
        <v>46</v>
      </c>
      <c r="J3558" t="s">
        <v>87</v>
      </c>
      <c r="K3558">
        <v>5</v>
      </c>
      <c r="L3558" s="7">
        <f t="shared" si="166"/>
        <v>504.32</v>
      </c>
      <c r="M3558" s="7"/>
      <c r="O3558">
        <f t="shared" si="167"/>
        <v>2</v>
      </c>
      <c r="Q3558" t="s">
        <v>47</v>
      </c>
    </row>
    <row r="3559" spans="1:17" x14ac:dyDescent="0.3">
      <c r="A3559" t="s">
        <v>4679</v>
      </c>
      <c r="B3559" s="6">
        <v>45240</v>
      </c>
      <c r="C3559" s="6" t="str">
        <f t="shared" si="165"/>
        <v>Nov</v>
      </c>
      <c r="D3559" t="s">
        <v>4680</v>
      </c>
      <c r="E3559" t="s">
        <v>19</v>
      </c>
      <c r="F3559" t="s">
        <v>148</v>
      </c>
      <c r="G3559">
        <v>3</v>
      </c>
      <c r="H3559" s="7">
        <v>202.42</v>
      </c>
      <c r="I3559" t="s">
        <v>103</v>
      </c>
      <c r="J3559" t="s">
        <v>87</v>
      </c>
      <c r="K3559">
        <v>15</v>
      </c>
      <c r="L3559" s="7">
        <f t="shared" si="166"/>
        <v>607.26</v>
      </c>
      <c r="M3559" s="7"/>
      <c r="O3559">
        <f t="shared" si="167"/>
        <v>2</v>
      </c>
      <c r="Q3559" t="s">
        <v>104</v>
      </c>
    </row>
    <row r="3560" spans="1:17" x14ac:dyDescent="0.3">
      <c r="A3560" t="s">
        <v>4681</v>
      </c>
      <c r="B3560" s="6">
        <v>45116</v>
      </c>
      <c r="C3560" s="6" t="str">
        <f t="shared" si="165"/>
        <v>Jul</v>
      </c>
      <c r="D3560" t="s">
        <v>755</v>
      </c>
      <c r="E3560" t="s">
        <v>19</v>
      </c>
      <c r="F3560" t="s">
        <v>1117</v>
      </c>
      <c r="G3560">
        <v>4</v>
      </c>
      <c r="H3560" s="7">
        <v>263.45</v>
      </c>
      <c r="I3560" t="s">
        <v>32</v>
      </c>
      <c r="J3560" t="s">
        <v>72</v>
      </c>
      <c r="K3560">
        <v>5</v>
      </c>
      <c r="L3560" s="7">
        <f t="shared" si="166"/>
        <v>1053.8</v>
      </c>
      <c r="M3560" s="7"/>
      <c r="O3560">
        <f t="shared" si="167"/>
        <v>2</v>
      </c>
      <c r="Q3560" t="s">
        <v>33</v>
      </c>
    </row>
    <row r="3561" spans="1:17" x14ac:dyDescent="0.3">
      <c r="A3561" t="s">
        <v>4682</v>
      </c>
      <c r="B3561" s="6">
        <v>45163</v>
      </c>
      <c r="C3561" s="6" t="str">
        <f t="shared" si="165"/>
        <v>Aug</v>
      </c>
      <c r="D3561" t="s">
        <v>797</v>
      </c>
      <c r="E3561" t="s">
        <v>50</v>
      </c>
      <c r="F3561" t="s">
        <v>113</v>
      </c>
      <c r="G3561">
        <v>5</v>
      </c>
      <c r="H3561" s="7">
        <v>203.76</v>
      </c>
      <c r="I3561" t="s">
        <v>21</v>
      </c>
      <c r="J3561" t="s">
        <v>87</v>
      </c>
      <c r="K3561">
        <v>20</v>
      </c>
      <c r="L3561" s="7">
        <f t="shared" si="166"/>
        <v>1018.8</v>
      </c>
      <c r="M3561" s="7"/>
      <c r="O3561">
        <f t="shared" si="167"/>
        <v>2</v>
      </c>
      <c r="Q3561" t="s">
        <v>23</v>
      </c>
    </row>
    <row r="3562" spans="1:17" x14ac:dyDescent="0.3">
      <c r="A3562" t="s">
        <v>4683</v>
      </c>
      <c r="B3562" s="6">
        <v>45079</v>
      </c>
      <c r="C3562" s="6" t="str">
        <f t="shared" si="165"/>
        <v>Jun</v>
      </c>
      <c r="D3562" t="s">
        <v>3830</v>
      </c>
      <c r="E3562" t="s">
        <v>19</v>
      </c>
      <c r="F3562" t="s">
        <v>687</v>
      </c>
      <c r="G3562">
        <v>9</v>
      </c>
      <c r="H3562" s="7">
        <v>153.74</v>
      </c>
      <c r="I3562" t="s">
        <v>46</v>
      </c>
      <c r="J3562" t="s">
        <v>42</v>
      </c>
      <c r="K3562">
        <v>10</v>
      </c>
      <c r="L3562" s="7">
        <f t="shared" si="166"/>
        <v>1383.66</v>
      </c>
      <c r="M3562" s="7"/>
      <c r="O3562">
        <f t="shared" si="167"/>
        <v>2</v>
      </c>
      <c r="Q3562" t="s">
        <v>47</v>
      </c>
    </row>
    <row r="3563" spans="1:17" x14ac:dyDescent="0.3">
      <c r="A3563" t="s">
        <v>4684</v>
      </c>
      <c r="B3563" s="6">
        <v>45094</v>
      </c>
      <c r="C3563" s="6" t="str">
        <f t="shared" si="165"/>
        <v>Jun</v>
      </c>
      <c r="D3563" t="s">
        <v>1505</v>
      </c>
      <c r="E3563" t="s">
        <v>19</v>
      </c>
      <c r="F3563" t="s">
        <v>239</v>
      </c>
      <c r="G3563">
        <v>4</v>
      </c>
      <c r="H3563" s="7">
        <v>402.62</v>
      </c>
      <c r="I3563" t="s">
        <v>19</v>
      </c>
      <c r="J3563" t="s">
        <v>28</v>
      </c>
      <c r="K3563">
        <v>15</v>
      </c>
      <c r="L3563" s="7">
        <f t="shared" si="166"/>
        <v>1610.48</v>
      </c>
      <c r="M3563" s="7"/>
      <c r="O3563">
        <f t="shared" si="167"/>
        <v>2</v>
      </c>
      <c r="Q3563" t="s">
        <v>19</v>
      </c>
    </row>
    <row r="3564" spans="1:17" x14ac:dyDescent="0.3">
      <c r="A3564" t="s">
        <v>4685</v>
      </c>
      <c r="B3564" s="6">
        <v>45050</v>
      </c>
      <c r="C3564" s="6" t="str">
        <f t="shared" si="165"/>
        <v>May</v>
      </c>
      <c r="D3564" t="s">
        <v>144</v>
      </c>
      <c r="E3564" t="s">
        <v>31</v>
      </c>
      <c r="F3564" t="s">
        <v>445</v>
      </c>
      <c r="G3564">
        <v>9</v>
      </c>
      <c r="H3564" s="7">
        <v>139.63999999999999</v>
      </c>
      <c r="I3564" t="s">
        <v>64</v>
      </c>
      <c r="J3564" t="s">
        <v>87</v>
      </c>
      <c r="K3564">
        <v>10</v>
      </c>
      <c r="L3564" s="7">
        <f t="shared" si="166"/>
        <v>1256.7599999999998</v>
      </c>
      <c r="M3564" s="7"/>
      <c r="O3564">
        <f t="shared" si="167"/>
        <v>2</v>
      </c>
      <c r="Q3564" t="s">
        <v>65</v>
      </c>
    </row>
    <row r="3565" spans="1:17" x14ac:dyDescent="0.3">
      <c r="A3565" t="s">
        <v>4686</v>
      </c>
      <c r="B3565" s="6">
        <v>45186</v>
      </c>
      <c r="C3565" s="6" t="str">
        <f t="shared" si="165"/>
        <v>Sep</v>
      </c>
      <c r="D3565" t="s">
        <v>3665</v>
      </c>
      <c r="E3565" t="s">
        <v>50</v>
      </c>
      <c r="F3565" t="s">
        <v>322</v>
      </c>
      <c r="G3565">
        <v>3</v>
      </c>
      <c r="H3565" s="7">
        <v>362.86</v>
      </c>
      <c r="I3565" t="s">
        <v>46</v>
      </c>
      <c r="J3565" t="s">
        <v>72</v>
      </c>
      <c r="K3565">
        <v>10</v>
      </c>
      <c r="L3565" s="7">
        <f t="shared" si="166"/>
        <v>1088.58</v>
      </c>
      <c r="M3565" s="7"/>
      <c r="O3565">
        <f t="shared" si="167"/>
        <v>2</v>
      </c>
      <c r="Q3565" t="s">
        <v>47</v>
      </c>
    </row>
    <row r="3566" spans="1:17" x14ac:dyDescent="0.3">
      <c r="A3566" t="s">
        <v>4687</v>
      </c>
      <c r="B3566" s="6">
        <v>44940</v>
      </c>
      <c r="C3566" s="6" t="str">
        <f t="shared" si="165"/>
        <v>Jan</v>
      </c>
      <c r="D3566" t="s">
        <v>449</v>
      </c>
      <c r="E3566" t="s">
        <v>19</v>
      </c>
      <c r="F3566" t="s">
        <v>84</v>
      </c>
      <c r="G3566">
        <v>8</v>
      </c>
      <c r="H3566" s="7">
        <v>107.07</v>
      </c>
      <c r="I3566" t="s">
        <v>46</v>
      </c>
      <c r="J3566" t="s">
        <v>28</v>
      </c>
      <c r="K3566">
        <v>10</v>
      </c>
      <c r="L3566" s="7">
        <f t="shared" si="166"/>
        <v>856.56</v>
      </c>
      <c r="M3566" s="7"/>
      <c r="O3566">
        <f t="shared" si="167"/>
        <v>2</v>
      </c>
      <c r="Q3566" t="s">
        <v>47</v>
      </c>
    </row>
    <row r="3567" spans="1:17" x14ac:dyDescent="0.3">
      <c r="A3567" t="s">
        <v>4688</v>
      </c>
      <c r="B3567" s="6">
        <v>45154</v>
      </c>
      <c r="C3567" s="6" t="str">
        <f t="shared" si="165"/>
        <v>Aug</v>
      </c>
      <c r="D3567" t="s">
        <v>567</v>
      </c>
      <c r="E3567" t="s">
        <v>19</v>
      </c>
      <c r="F3567" t="s">
        <v>214</v>
      </c>
      <c r="G3567">
        <v>1</v>
      </c>
      <c r="H3567" s="7">
        <v>128.68</v>
      </c>
      <c r="I3567" t="s">
        <v>21</v>
      </c>
      <c r="J3567" t="s">
        <v>19</v>
      </c>
      <c r="K3567">
        <v>0</v>
      </c>
      <c r="L3567" s="7">
        <f t="shared" si="166"/>
        <v>128.68</v>
      </c>
      <c r="M3567" s="7"/>
      <c r="O3567">
        <f t="shared" si="167"/>
        <v>2</v>
      </c>
      <c r="Q3567" t="s">
        <v>23</v>
      </c>
    </row>
    <row r="3568" spans="1:17" x14ac:dyDescent="0.3">
      <c r="A3568" t="s">
        <v>4689</v>
      </c>
      <c r="B3568" s="6">
        <v>44955</v>
      </c>
      <c r="C3568" s="6" t="str">
        <f t="shared" si="165"/>
        <v>Jan</v>
      </c>
      <c r="D3568" t="s">
        <v>1850</v>
      </c>
      <c r="E3568" t="s">
        <v>36</v>
      </c>
      <c r="F3568" t="s">
        <v>267</v>
      </c>
      <c r="G3568">
        <v>9</v>
      </c>
      <c r="H3568" s="7">
        <v>171.55</v>
      </c>
      <c r="I3568" t="s">
        <v>103</v>
      </c>
      <c r="J3568" t="s">
        <v>42</v>
      </c>
      <c r="K3568">
        <v>20</v>
      </c>
      <c r="L3568" s="7">
        <f t="shared" si="166"/>
        <v>1543.95</v>
      </c>
      <c r="M3568" s="7"/>
      <c r="O3568">
        <f t="shared" si="167"/>
        <v>2</v>
      </c>
      <c r="Q3568" t="s">
        <v>104</v>
      </c>
    </row>
    <row r="3569" spans="1:17" x14ac:dyDescent="0.3">
      <c r="A3569" t="s">
        <v>4690</v>
      </c>
      <c r="B3569" s="6">
        <v>45017</v>
      </c>
      <c r="C3569" s="6" t="str">
        <f t="shared" si="165"/>
        <v>Apr</v>
      </c>
      <c r="D3569" t="s">
        <v>860</v>
      </c>
      <c r="E3569" t="s">
        <v>50</v>
      </c>
      <c r="F3569" t="s">
        <v>344</v>
      </c>
      <c r="G3569">
        <v>9</v>
      </c>
      <c r="H3569" s="7">
        <v>296.63</v>
      </c>
      <c r="I3569" t="s">
        <v>19</v>
      </c>
      <c r="J3569" t="s">
        <v>28</v>
      </c>
      <c r="K3569">
        <v>0</v>
      </c>
      <c r="L3569" s="7">
        <f t="shared" si="166"/>
        <v>2669.67</v>
      </c>
      <c r="M3569" s="7"/>
      <c r="O3569">
        <f t="shared" si="167"/>
        <v>3</v>
      </c>
      <c r="Q3569" t="s">
        <v>19</v>
      </c>
    </row>
    <row r="3570" spans="1:17" x14ac:dyDescent="0.3">
      <c r="A3570" t="s">
        <v>4691</v>
      </c>
      <c r="B3570" s="6">
        <v>45171</v>
      </c>
      <c r="C3570" s="6" t="str">
        <f t="shared" si="165"/>
        <v>Sep</v>
      </c>
      <c r="D3570" t="s">
        <v>3712</v>
      </c>
      <c r="E3570" t="s">
        <v>31</v>
      </c>
      <c r="F3570" t="s">
        <v>267</v>
      </c>
      <c r="G3570">
        <v>2</v>
      </c>
      <c r="H3570" s="7">
        <v>252.16</v>
      </c>
      <c r="I3570" t="s">
        <v>64</v>
      </c>
      <c r="J3570" t="s">
        <v>87</v>
      </c>
      <c r="K3570">
        <v>0</v>
      </c>
      <c r="L3570" s="7">
        <f t="shared" si="166"/>
        <v>504.32</v>
      </c>
      <c r="M3570" s="7"/>
      <c r="O3570">
        <f t="shared" si="167"/>
        <v>2</v>
      </c>
      <c r="Q3570" t="s">
        <v>65</v>
      </c>
    </row>
    <row r="3571" spans="1:17" x14ac:dyDescent="0.3">
      <c r="A3571" t="s">
        <v>4692</v>
      </c>
      <c r="B3571" s="6">
        <v>44964</v>
      </c>
      <c r="C3571" s="6" t="str">
        <f t="shared" si="165"/>
        <v>Feb</v>
      </c>
      <c r="D3571" t="s">
        <v>1799</v>
      </c>
      <c r="E3571" t="s">
        <v>31</v>
      </c>
      <c r="F3571" t="s">
        <v>598</v>
      </c>
      <c r="G3571">
        <v>4</v>
      </c>
      <c r="H3571" s="7">
        <v>373.85</v>
      </c>
      <c r="I3571" t="s">
        <v>46</v>
      </c>
      <c r="J3571" t="s">
        <v>19</v>
      </c>
      <c r="K3571">
        <v>5</v>
      </c>
      <c r="L3571" s="7">
        <f t="shared" si="166"/>
        <v>1495.4</v>
      </c>
      <c r="M3571" s="7"/>
      <c r="O3571">
        <f t="shared" si="167"/>
        <v>2</v>
      </c>
      <c r="Q3571" t="s">
        <v>47</v>
      </c>
    </row>
    <row r="3572" spans="1:17" x14ac:dyDescent="0.3">
      <c r="A3572" t="s">
        <v>4693</v>
      </c>
      <c r="B3572" s="6">
        <v>45197</v>
      </c>
      <c r="C3572" s="6" t="str">
        <f t="shared" si="165"/>
        <v>Sep</v>
      </c>
      <c r="D3572" t="s">
        <v>852</v>
      </c>
      <c r="E3572" t="s">
        <v>19</v>
      </c>
      <c r="F3572" t="s">
        <v>160</v>
      </c>
      <c r="G3572">
        <v>8</v>
      </c>
      <c r="H3572" s="7">
        <v>110.72</v>
      </c>
      <c r="I3572" t="s">
        <v>21</v>
      </c>
      <c r="J3572" t="s">
        <v>72</v>
      </c>
      <c r="K3572">
        <v>10</v>
      </c>
      <c r="L3572" s="7">
        <f t="shared" si="166"/>
        <v>885.76</v>
      </c>
      <c r="M3572" s="7"/>
      <c r="O3572">
        <f t="shared" si="167"/>
        <v>2</v>
      </c>
      <c r="Q3572" t="s">
        <v>23</v>
      </c>
    </row>
    <row r="3573" spans="1:17" x14ac:dyDescent="0.3">
      <c r="A3573" t="s">
        <v>4694</v>
      </c>
      <c r="B3573" s="6">
        <v>45199</v>
      </c>
      <c r="C3573" s="6" t="str">
        <f t="shared" si="165"/>
        <v>Sep</v>
      </c>
      <c r="D3573" t="s">
        <v>727</v>
      </c>
      <c r="E3573" t="s">
        <v>50</v>
      </c>
      <c r="F3573" t="s">
        <v>1038</v>
      </c>
      <c r="G3573">
        <v>7</v>
      </c>
      <c r="H3573" s="7">
        <v>10.28</v>
      </c>
      <c r="I3573" t="s">
        <v>64</v>
      </c>
      <c r="J3573" t="s">
        <v>19</v>
      </c>
      <c r="K3573">
        <v>20</v>
      </c>
      <c r="L3573" s="7">
        <f t="shared" si="166"/>
        <v>71.959999999999994</v>
      </c>
      <c r="M3573" s="7"/>
      <c r="O3573">
        <f t="shared" si="167"/>
        <v>2</v>
      </c>
      <c r="Q3573" t="s">
        <v>65</v>
      </c>
    </row>
    <row r="3574" spans="1:17" x14ac:dyDescent="0.3">
      <c r="A3574" t="s">
        <v>4695</v>
      </c>
      <c r="B3574" s="6">
        <v>45093</v>
      </c>
      <c r="C3574" s="6" t="str">
        <f t="shared" si="165"/>
        <v>Jun</v>
      </c>
      <c r="D3574" t="s">
        <v>1697</v>
      </c>
      <c r="E3574" t="s">
        <v>19</v>
      </c>
      <c r="F3574" t="s">
        <v>1282</v>
      </c>
      <c r="G3574">
        <v>1</v>
      </c>
      <c r="H3574" s="7">
        <v>389.4</v>
      </c>
      <c r="I3574" t="s">
        <v>19</v>
      </c>
      <c r="J3574" t="s">
        <v>28</v>
      </c>
      <c r="K3574">
        <v>0</v>
      </c>
      <c r="L3574" s="7">
        <f t="shared" si="166"/>
        <v>389.4</v>
      </c>
      <c r="M3574" s="7"/>
      <c r="O3574">
        <f t="shared" si="167"/>
        <v>2</v>
      </c>
      <c r="Q3574" t="s">
        <v>19</v>
      </c>
    </row>
    <row r="3575" spans="1:17" x14ac:dyDescent="0.3">
      <c r="A3575" t="s">
        <v>4696</v>
      </c>
      <c r="B3575" s="6">
        <v>44933</v>
      </c>
      <c r="C3575" s="6" t="str">
        <f t="shared" si="165"/>
        <v>Jan</v>
      </c>
      <c r="D3575" t="s">
        <v>513</v>
      </c>
      <c r="E3575" t="s">
        <v>26</v>
      </c>
      <c r="F3575" t="s">
        <v>369</v>
      </c>
      <c r="G3575">
        <v>5</v>
      </c>
      <c r="H3575" s="7">
        <v>411.72</v>
      </c>
      <c r="I3575" t="s">
        <v>19</v>
      </c>
      <c r="J3575" t="s">
        <v>28</v>
      </c>
      <c r="K3575">
        <v>10</v>
      </c>
      <c r="L3575" s="7">
        <f t="shared" si="166"/>
        <v>2058.6000000000004</v>
      </c>
      <c r="M3575" s="7"/>
      <c r="O3575">
        <f t="shared" si="167"/>
        <v>2</v>
      </c>
      <c r="Q3575" t="s">
        <v>19</v>
      </c>
    </row>
    <row r="3576" spans="1:17" x14ac:dyDescent="0.3">
      <c r="A3576" t="s">
        <v>4697</v>
      </c>
      <c r="B3576" s="6">
        <v>45083</v>
      </c>
      <c r="C3576" s="6" t="str">
        <f t="shared" si="165"/>
        <v>Jun</v>
      </c>
      <c r="D3576" t="s">
        <v>546</v>
      </c>
      <c r="E3576" t="s">
        <v>62</v>
      </c>
      <c r="F3576" t="s">
        <v>383</v>
      </c>
      <c r="G3576">
        <v>5</v>
      </c>
      <c r="H3576" s="7">
        <v>34.44</v>
      </c>
      <c r="I3576" t="s">
        <v>46</v>
      </c>
      <c r="J3576" t="s">
        <v>87</v>
      </c>
      <c r="K3576">
        <v>15</v>
      </c>
      <c r="L3576" s="7">
        <f t="shared" si="166"/>
        <v>172.2</v>
      </c>
      <c r="M3576" s="7"/>
      <c r="O3576">
        <f t="shared" si="167"/>
        <v>2</v>
      </c>
      <c r="Q3576" t="s">
        <v>47</v>
      </c>
    </row>
    <row r="3577" spans="1:17" x14ac:dyDescent="0.3">
      <c r="A3577" t="s">
        <v>4698</v>
      </c>
      <c r="B3577" s="6">
        <v>45004</v>
      </c>
      <c r="C3577" s="6" t="str">
        <f t="shared" si="165"/>
        <v>Mar</v>
      </c>
      <c r="D3577" t="s">
        <v>533</v>
      </c>
      <c r="E3577" t="s">
        <v>40</v>
      </c>
      <c r="F3577" t="s">
        <v>556</v>
      </c>
      <c r="G3577">
        <v>4</v>
      </c>
      <c r="H3577" s="7">
        <v>307.39999999999998</v>
      </c>
      <c r="I3577" t="s">
        <v>46</v>
      </c>
      <c r="J3577" t="s">
        <v>22</v>
      </c>
      <c r="K3577">
        <v>20</v>
      </c>
      <c r="L3577" s="7">
        <f t="shared" si="166"/>
        <v>1229.5999999999999</v>
      </c>
      <c r="M3577" s="7"/>
      <c r="O3577">
        <f t="shared" si="167"/>
        <v>2</v>
      </c>
      <c r="Q3577" t="s">
        <v>47</v>
      </c>
    </row>
    <row r="3578" spans="1:17" x14ac:dyDescent="0.3">
      <c r="A3578" t="s">
        <v>4699</v>
      </c>
      <c r="B3578" s="6">
        <v>45072</v>
      </c>
      <c r="C3578" s="6" t="str">
        <f t="shared" si="165"/>
        <v>May</v>
      </c>
      <c r="D3578" t="s">
        <v>527</v>
      </c>
      <c r="E3578" t="s">
        <v>26</v>
      </c>
      <c r="F3578" t="s">
        <v>350</v>
      </c>
      <c r="G3578">
        <v>1</v>
      </c>
      <c r="H3578" s="7">
        <v>192.21</v>
      </c>
      <c r="I3578" t="s">
        <v>32</v>
      </c>
      <c r="J3578" t="s">
        <v>87</v>
      </c>
      <c r="K3578">
        <v>5</v>
      </c>
      <c r="L3578" s="7">
        <f t="shared" si="166"/>
        <v>192.21</v>
      </c>
      <c r="M3578" s="7"/>
      <c r="O3578">
        <f t="shared" si="167"/>
        <v>2</v>
      </c>
      <c r="Q3578" t="s">
        <v>33</v>
      </c>
    </row>
    <row r="3579" spans="1:17" x14ac:dyDescent="0.3">
      <c r="A3579" t="s">
        <v>4700</v>
      </c>
      <c r="B3579" s="6">
        <v>45068</v>
      </c>
      <c r="C3579" s="6" t="str">
        <f t="shared" si="165"/>
        <v>May</v>
      </c>
      <c r="D3579" t="s">
        <v>496</v>
      </c>
      <c r="E3579" t="s">
        <v>62</v>
      </c>
      <c r="F3579" t="s">
        <v>246</v>
      </c>
      <c r="G3579">
        <v>9</v>
      </c>
      <c r="H3579" s="7">
        <v>397.98</v>
      </c>
      <c r="I3579" t="s">
        <v>21</v>
      </c>
      <c r="J3579" t="s">
        <v>72</v>
      </c>
      <c r="K3579">
        <v>20</v>
      </c>
      <c r="L3579" s="7">
        <f t="shared" si="166"/>
        <v>3581.82</v>
      </c>
      <c r="M3579" s="7"/>
      <c r="O3579">
        <f t="shared" si="167"/>
        <v>5</v>
      </c>
      <c r="Q3579" t="s">
        <v>23</v>
      </c>
    </row>
    <row r="3580" spans="1:17" x14ac:dyDescent="0.3">
      <c r="A3580" t="s">
        <v>4701</v>
      </c>
      <c r="B3580" s="6">
        <v>44986</v>
      </c>
      <c r="C3580" s="6" t="str">
        <f t="shared" si="165"/>
        <v>Mar</v>
      </c>
      <c r="D3580" t="s">
        <v>1362</v>
      </c>
      <c r="E3580" t="s">
        <v>31</v>
      </c>
      <c r="F3580" t="s">
        <v>406</v>
      </c>
      <c r="G3580">
        <v>5</v>
      </c>
      <c r="H3580" s="7">
        <v>437.84</v>
      </c>
      <c r="I3580" t="s">
        <v>19</v>
      </c>
      <c r="J3580" t="s">
        <v>22</v>
      </c>
      <c r="K3580">
        <v>10</v>
      </c>
      <c r="L3580" s="7">
        <f t="shared" si="166"/>
        <v>2189.1999999999998</v>
      </c>
      <c r="M3580" s="7"/>
      <c r="O3580">
        <f t="shared" si="167"/>
        <v>2</v>
      </c>
      <c r="Q3580" t="s">
        <v>19</v>
      </c>
    </row>
    <row r="3581" spans="1:17" x14ac:dyDescent="0.3">
      <c r="A3581" t="s">
        <v>4702</v>
      </c>
      <c r="B3581" s="6">
        <v>45084</v>
      </c>
      <c r="C3581" s="6" t="str">
        <f t="shared" si="165"/>
        <v>Jun</v>
      </c>
      <c r="D3581" t="s">
        <v>2654</v>
      </c>
      <c r="E3581" t="s">
        <v>26</v>
      </c>
      <c r="F3581" t="s">
        <v>1251</v>
      </c>
      <c r="G3581">
        <v>2</v>
      </c>
      <c r="H3581" s="7">
        <v>426.25</v>
      </c>
      <c r="I3581" t="s">
        <v>32</v>
      </c>
      <c r="J3581" t="s">
        <v>87</v>
      </c>
      <c r="K3581">
        <v>5</v>
      </c>
      <c r="L3581" s="7">
        <f t="shared" si="166"/>
        <v>852.5</v>
      </c>
      <c r="M3581" s="7"/>
      <c r="O3581">
        <f t="shared" si="167"/>
        <v>2</v>
      </c>
      <c r="Q3581" t="s">
        <v>33</v>
      </c>
    </row>
    <row r="3582" spans="1:17" x14ac:dyDescent="0.3">
      <c r="A3582" t="s">
        <v>4703</v>
      </c>
      <c r="B3582" s="6">
        <v>45290</v>
      </c>
      <c r="C3582" s="6" t="str">
        <f t="shared" si="165"/>
        <v>Dec</v>
      </c>
      <c r="D3582" t="s">
        <v>623</v>
      </c>
      <c r="E3582" t="s">
        <v>26</v>
      </c>
      <c r="F3582" t="s">
        <v>102</v>
      </c>
      <c r="G3582">
        <v>8</v>
      </c>
      <c r="H3582" s="7">
        <v>389.72</v>
      </c>
      <c r="I3582" t="s">
        <v>46</v>
      </c>
      <c r="J3582" t="s">
        <v>72</v>
      </c>
      <c r="K3582">
        <v>15</v>
      </c>
      <c r="L3582" s="7">
        <f t="shared" si="166"/>
        <v>3117.76</v>
      </c>
      <c r="M3582" s="7"/>
      <c r="O3582">
        <f t="shared" si="167"/>
        <v>4</v>
      </c>
      <c r="Q3582" t="s">
        <v>47</v>
      </c>
    </row>
    <row r="3583" spans="1:17" x14ac:dyDescent="0.3">
      <c r="A3583" t="s">
        <v>4704</v>
      </c>
      <c r="B3583" s="6">
        <v>45289</v>
      </c>
      <c r="C3583" s="6" t="str">
        <f t="shared" si="165"/>
        <v>Dec</v>
      </c>
      <c r="D3583" t="s">
        <v>972</v>
      </c>
      <c r="E3583" t="s">
        <v>31</v>
      </c>
      <c r="F3583" t="s">
        <v>78</v>
      </c>
      <c r="G3583">
        <v>2</v>
      </c>
      <c r="H3583" s="7">
        <v>138.18</v>
      </c>
      <c r="I3583" t="s">
        <v>46</v>
      </c>
      <c r="J3583" t="s">
        <v>22</v>
      </c>
      <c r="K3583">
        <v>10</v>
      </c>
      <c r="L3583" s="7">
        <f t="shared" si="166"/>
        <v>276.36</v>
      </c>
      <c r="M3583" s="7"/>
      <c r="O3583">
        <f t="shared" si="167"/>
        <v>2</v>
      </c>
      <c r="Q3583" t="s">
        <v>47</v>
      </c>
    </row>
    <row r="3584" spans="1:17" x14ac:dyDescent="0.3">
      <c r="A3584" t="s">
        <v>4705</v>
      </c>
      <c r="B3584" s="6">
        <v>45250</v>
      </c>
      <c r="C3584" s="6" t="str">
        <f t="shared" si="165"/>
        <v>Nov</v>
      </c>
      <c r="D3584" t="s">
        <v>1564</v>
      </c>
      <c r="E3584" t="s">
        <v>36</v>
      </c>
      <c r="F3584" t="s">
        <v>263</v>
      </c>
      <c r="G3584">
        <v>3</v>
      </c>
      <c r="H3584" s="7">
        <v>406.89</v>
      </c>
      <c r="I3584" t="s">
        <v>64</v>
      </c>
      <c r="J3584" t="s">
        <v>42</v>
      </c>
      <c r="K3584">
        <v>0</v>
      </c>
      <c r="L3584" s="7">
        <f t="shared" si="166"/>
        <v>1220.67</v>
      </c>
      <c r="M3584" s="7"/>
      <c r="O3584">
        <f t="shared" si="167"/>
        <v>2</v>
      </c>
      <c r="Q3584" t="s">
        <v>65</v>
      </c>
    </row>
    <row r="3585" spans="1:17" x14ac:dyDescent="0.3">
      <c r="A3585" t="s">
        <v>4706</v>
      </c>
      <c r="B3585" s="6">
        <v>45265</v>
      </c>
      <c r="C3585" s="6" t="str">
        <f t="shared" si="165"/>
        <v>Dec</v>
      </c>
      <c r="D3585" t="s">
        <v>44</v>
      </c>
      <c r="E3585" t="s">
        <v>62</v>
      </c>
      <c r="F3585" t="s">
        <v>254</v>
      </c>
      <c r="G3585">
        <v>1</v>
      </c>
      <c r="H3585" s="7">
        <v>269.07</v>
      </c>
      <c r="I3585" t="s">
        <v>32</v>
      </c>
      <c r="J3585" t="s">
        <v>19</v>
      </c>
      <c r="K3585">
        <v>20</v>
      </c>
      <c r="L3585" s="7">
        <f t="shared" si="166"/>
        <v>269.07</v>
      </c>
      <c r="M3585" s="7"/>
      <c r="O3585">
        <f t="shared" si="167"/>
        <v>2</v>
      </c>
      <c r="Q3585" t="s">
        <v>33</v>
      </c>
    </row>
    <row r="3586" spans="1:17" x14ac:dyDescent="0.3">
      <c r="A3586" t="s">
        <v>4707</v>
      </c>
      <c r="B3586" s="6">
        <v>45256</v>
      </c>
      <c r="C3586" s="6" t="str">
        <f t="shared" si="165"/>
        <v>Nov</v>
      </c>
      <c r="D3586" t="s">
        <v>2117</v>
      </c>
      <c r="E3586" t="s">
        <v>26</v>
      </c>
      <c r="F3586" t="s">
        <v>145</v>
      </c>
      <c r="G3586">
        <v>2</v>
      </c>
      <c r="H3586" s="7">
        <v>31.11</v>
      </c>
      <c r="I3586" t="s">
        <v>32</v>
      </c>
      <c r="J3586" t="s">
        <v>42</v>
      </c>
      <c r="K3586">
        <v>5</v>
      </c>
      <c r="L3586" s="7">
        <f t="shared" si="166"/>
        <v>62.22</v>
      </c>
      <c r="M3586" s="7"/>
      <c r="O3586">
        <f t="shared" si="167"/>
        <v>2</v>
      </c>
      <c r="Q3586" t="s">
        <v>33</v>
      </c>
    </row>
    <row r="3587" spans="1:17" x14ac:dyDescent="0.3">
      <c r="A3587" t="s">
        <v>4708</v>
      </c>
      <c r="B3587" s="6">
        <v>45094</v>
      </c>
      <c r="C3587" s="6" t="str">
        <f t="shared" ref="C3587:C3650" si="168">TEXT(B3587,"MMM")</f>
        <v>Jun</v>
      </c>
      <c r="D3587" t="s">
        <v>195</v>
      </c>
      <c r="E3587" t="s">
        <v>19</v>
      </c>
      <c r="F3587" t="s">
        <v>517</v>
      </c>
      <c r="G3587">
        <v>7</v>
      </c>
      <c r="H3587" s="7">
        <v>231.18</v>
      </c>
      <c r="I3587" t="s">
        <v>32</v>
      </c>
      <c r="J3587" t="s">
        <v>28</v>
      </c>
      <c r="K3587">
        <v>15</v>
      </c>
      <c r="L3587" s="7">
        <f t="shared" ref="L3587:L3650" si="169">G3587*H3587</f>
        <v>1618.26</v>
      </c>
      <c r="M3587" s="7"/>
      <c r="O3587">
        <f t="shared" si="167"/>
        <v>2</v>
      </c>
      <c r="Q3587" t="s">
        <v>33</v>
      </c>
    </row>
    <row r="3588" spans="1:17" x14ac:dyDescent="0.3">
      <c r="A3588" t="s">
        <v>4709</v>
      </c>
      <c r="B3588" s="6">
        <v>45169</v>
      </c>
      <c r="C3588" s="6" t="str">
        <f t="shared" si="168"/>
        <v>Aug</v>
      </c>
      <c r="D3588" t="s">
        <v>2117</v>
      </c>
      <c r="E3588" t="s">
        <v>36</v>
      </c>
      <c r="F3588" t="s">
        <v>134</v>
      </c>
      <c r="G3588">
        <v>2</v>
      </c>
      <c r="H3588" s="7">
        <v>471.37</v>
      </c>
      <c r="I3588" t="s">
        <v>46</v>
      </c>
      <c r="J3588" t="s">
        <v>87</v>
      </c>
      <c r="K3588">
        <v>0</v>
      </c>
      <c r="L3588" s="7">
        <f t="shared" si="169"/>
        <v>942.74</v>
      </c>
      <c r="M3588" s="7"/>
      <c r="O3588">
        <f t="shared" ref="O3588:O3651" si="170">IF(L3588&gt;3500,5,IF(L3588&gt;3000,4,IF(L3588&gt;2500,3,IF(L3588&gt;2000,2,IF(L3588&gt;1000,2,2)))))</f>
        <v>2</v>
      </c>
      <c r="Q3588" t="s">
        <v>47</v>
      </c>
    </row>
    <row r="3589" spans="1:17" x14ac:dyDescent="0.3">
      <c r="A3589" t="s">
        <v>4710</v>
      </c>
      <c r="B3589" s="6">
        <v>44955</v>
      </c>
      <c r="C3589" s="6" t="str">
        <f t="shared" si="168"/>
        <v>Jan</v>
      </c>
      <c r="D3589" t="s">
        <v>1968</v>
      </c>
      <c r="E3589" t="s">
        <v>19</v>
      </c>
      <c r="F3589" t="s">
        <v>1180</v>
      </c>
      <c r="G3589">
        <v>5</v>
      </c>
      <c r="H3589" s="7">
        <v>444.49</v>
      </c>
      <c r="I3589" t="s">
        <v>103</v>
      </c>
      <c r="J3589" t="s">
        <v>42</v>
      </c>
      <c r="K3589">
        <v>15</v>
      </c>
      <c r="L3589" s="7">
        <f t="shared" si="169"/>
        <v>2222.4499999999998</v>
      </c>
      <c r="M3589" s="7"/>
      <c r="O3589">
        <f t="shared" si="170"/>
        <v>2</v>
      </c>
      <c r="Q3589" t="s">
        <v>104</v>
      </c>
    </row>
    <row r="3590" spans="1:17" x14ac:dyDescent="0.3">
      <c r="A3590" t="s">
        <v>4711</v>
      </c>
      <c r="B3590" s="6">
        <v>44964</v>
      </c>
      <c r="C3590" s="6" t="str">
        <f t="shared" si="168"/>
        <v>Feb</v>
      </c>
      <c r="D3590" t="s">
        <v>543</v>
      </c>
      <c r="E3590" t="s">
        <v>31</v>
      </c>
      <c r="F3590" t="s">
        <v>1117</v>
      </c>
      <c r="G3590">
        <v>3</v>
      </c>
      <c r="H3590" s="7">
        <v>55.62</v>
      </c>
      <c r="I3590" t="s">
        <v>32</v>
      </c>
      <c r="J3590" t="s">
        <v>19</v>
      </c>
      <c r="K3590">
        <v>10</v>
      </c>
      <c r="L3590" s="7">
        <f t="shared" si="169"/>
        <v>166.85999999999999</v>
      </c>
      <c r="M3590" s="7"/>
      <c r="O3590">
        <f t="shared" si="170"/>
        <v>2</v>
      </c>
      <c r="Q3590" t="s">
        <v>33</v>
      </c>
    </row>
    <row r="3591" spans="1:17" x14ac:dyDescent="0.3">
      <c r="A3591" t="s">
        <v>4712</v>
      </c>
      <c r="B3591" s="6">
        <v>45222</v>
      </c>
      <c r="C3591" s="6" t="str">
        <f t="shared" si="168"/>
        <v>Oct</v>
      </c>
      <c r="D3591" t="s">
        <v>510</v>
      </c>
      <c r="E3591" t="s">
        <v>62</v>
      </c>
      <c r="F3591" t="s">
        <v>417</v>
      </c>
      <c r="G3591">
        <v>4</v>
      </c>
      <c r="H3591" s="7">
        <v>373.34</v>
      </c>
      <c r="I3591" t="s">
        <v>46</v>
      </c>
      <c r="J3591" t="s">
        <v>28</v>
      </c>
      <c r="K3591">
        <v>0</v>
      </c>
      <c r="L3591" s="7">
        <f t="shared" si="169"/>
        <v>1493.36</v>
      </c>
      <c r="M3591" s="7"/>
      <c r="O3591">
        <f t="shared" si="170"/>
        <v>2</v>
      </c>
      <c r="Q3591" t="s">
        <v>47</v>
      </c>
    </row>
    <row r="3592" spans="1:17" x14ac:dyDescent="0.3">
      <c r="A3592" t="s">
        <v>4713</v>
      </c>
      <c r="B3592" s="6">
        <v>44953</v>
      </c>
      <c r="C3592" s="6" t="str">
        <f t="shared" si="168"/>
        <v>Jan</v>
      </c>
      <c r="D3592" t="s">
        <v>717</v>
      </c>
      <c r="E3592" t="s">
        <v>40</v>
      </c>
      <c r="F3592" t="s">
        <v>289</v>
      </c>
      <c r="G3592">
        <v>8</v>
      </c>
      <c r="H3592" s="7">
        <v>403.87</v>
      </c>
      <c r="I3592" t="s">
        <v>19</v>
      </c>
      <c r="J3592" t="s">
        <v>22</v>
      </c>
      <c r="K3592">
        <v>0</v>
      </c>
      <c r="L3592" s="7">
        <f t="shared" si="169"/>
        <v>3230.96</v>
      </c>
      <c r="M3592" s="7"/>
      <c r="O3592">
        <f t="shared" si="170"/>
        <v>4</v>
      </c>
      <c r="Q3592" t="s">
        <v>19</v>
      </c>
    </row>
    <row r="3593" spans="1:17" x14ac:dyDescent="0.3">
      <c r="A3593" t="s">
        <v>4714</v>
      </c>
      <c r="B3593" s="6">
        <v>45155</v>
      </c>
      <c r="C3593" s="6" t="str">
        <f t="shared" si="168"/>
        <v>Aug</v>
      </c>
      <c r="D3593" t="s">
        <v>2525</v>
      </c>
      <c r="E3593" t="s">
        <v>31</v>
      </c>
      <c r="F3593" t="s">
        <v>538</v>
      </c>
      <c r="G3593">
        <v>3</v>
      </c>
      <c r="H3593" s="7">
        <v>139.34</v>
      </c>
      <c r="I3593" t="s">
        <v>19</v>
      </c>
      <c r="J3593" t="s">
        <v>22</v>
      </c>
      <c r="K3593">
        <v>0</v>
      </c>
      <c r="L3593" s="7">
        <f t="shared" si="169"/>
        <v>418.02</v>
      </c>
      <c r="M3593" s="7"/>
      <c r="O3593">
        <f t="shared" si="170"/>
        <v>2</v>
      </c>
      <c r="Q3593" t="s">
        <v>19</v>
      </c>
    </row>
    <row r="3594" spans="1:17" x14ac:dyDescent="0.3">
      <c r="A3594" t="s">
        <v>4715</v>
      </c>
      <c r="B3594" s="6">
        <v>45258</v>
      </c>
      <c r="C3594" s="6" t="str">
        <f t="shared" si="168"/>
        <v>Nov</v>
      </c>
      <c r="D3594" t="s">
        <v>2274</v>
      </c>
      <c r="E3594" t="s">
        <v>19</v>
      </c>
      <c r="F3594" t="s">
        <v>198</v>
      </c>
      <c r="G3594">
        <v>6</v>
      </c>
      <c r="H3594" s="7">
        <v>238.45</v>
      </c>
      <c r="I3594" t="s">
        <v>21</v>
      </c>
      <c r="J3594" t="s">
        <v>28</v>
      </c>
      <c r="K3594">
        <v>5</v>
      </c>
      <c r="L3594" s="7">
        <f t="shared" si="169"/>
        <v>1430.6999999999998</v>
      </c>
      <c r="M3594" s="7"/>
      <c r="O3594">
        <f t="shared" si="170"/>
        <v>2</v>
      </c>
      <c r="Q3594" t="s">
        <v>23</v>
      </c>
    </row>
    <row r="3595" spans="1:17" x14ac:dyDescent="0.3">
      <c r="A3595" t="s">
        <v>4716</v>
      </c>
      <c r="B3595" s="6">
        <v>45015</v>
      </c>
      <c r="C3595" s="6" t="str">
        <f t="shared" si="168"/>
        <v>Mar</v>
      </c>
      <c r="D3595" t="s">
        <v>3110</v>
      </c>
      <c r="E3595" t="s">
        <v>40</v>
      </c>
      <c r="F3595" t="s">
        <v>303</v>
      </c>
      <c r="G3595">
        <v>1</v>
      </c>
      <c r="H3595" s="7">
        <v>356.94</v>
      </c>
      <c r="I3595" t="s">
        <v>19</v>
      </c>
      <c r="J3595" t="s">
        <v>28</v>
      </c>
      <c r="K3595">
        <v>0</v>
      </c>
      <c r="L3595" s="7">
        <f t="shared" si="169"/>
        <v>356.94</v>
      </c>
      <c r="M3595" s="7"/>
      <c r="O3595">
        <f t="shared" si="170"/>
        <v>2</v>
      </c>
      <c r="Q3595" t="s">
        <v>19</v>
      </c>
    </row>
    <row r="3596" spans="1:17" x14ac:dyDescent="0.3">
      <c r="A3596" t="s">
        <v>4717</v>
      </c>
      <c r="B3596" s="6">
        <v>45100</v>
      </c>
      <c r="C3596" s="6" t="str">
        <f t="shared" si="168"/>
        <v>Jun</v>
      </c>
      <c r="D3596" t="s">
        <v>4384</v>
      </c>
      <c r="E3596" t="s">
        <v>31</v>
      </c>
      <c r="F3596" t="s">
        <v>68</v>
      </c>
      <c r="G3596">
        <v>7</v>
      </c>
      <c r="H3596" s="7">
        <v>222.33</v>
      </c>
      <c r="I3596" t="s">
        <v>32</v>
      </c>
      <c r="J3596" t="s">
        <v>19</v>
      </c>
      <c r="K3596">
        <v>15</v>
      </c>
      <c r="L3596" s="7">
        <f t="shared" si="169"/>
        <v>1556.3100000000002</v>
      </c>
      <c r="M3596" s="7"/>
      <c r="O3596">
        <f t="shared" si="170"/>
        <v>2</v>
      </c>
      <c r="Q3596" t="s">
        <v>33</v>
      </c>
    </row>
    <row r="3597" spans="1:17" x14ac:dyDescent="0.3">
      <c r="A3597" t="s">
        <v>4718</v>
      </c>
      <c r="B3597" s="6">
        <v>45238</v>
      </c>
      <c r="C3597" s="6" t="str">
        <f t="shared" si="168"/>
        <v>Nov</v>
      </c>
      <c r="D3597" t="s">
        <v>1613</v>
      </c>
      <c r="E3597" t="s">
        <v>62</v>
      </c>
      <c r="F3597" t="s">
        <v>833</v>
      </c>
      <c r="G3597">
        <v>8</v>
      </c>
      <c r="H3597" s="7">
        <v>60.83</v>
      </c>
      <c r="I3597" t="s">
        <v>46</v>
      </c>
      <c r="J3597" t="s">
        <v>22</v>
      </c>
      <c r="K3597">
        <v>5</v>
      </c>
      <c r="L3597" s="7">
        <f t="shared" si="169"/>
        <v>486.64</v>
      </c>
      <c r="M3597" s="7"/>
      <c r="O3597">
        <f t="shared" si="170"/>
        <v>2</v>
      </c>
      <c r="Q3597" t="s">
        <v>47</v>
      </c>
    </row>
    <row r="3598" spans="1:17" x14ac:dyDescent="0.3">
      <c r="A3598" t="s">
        <v>4719</v>
      </c>
      <c r="B3598" s="6">
        <v>45064</v>
      </c>
      <c r="C3598" s="6" t="str">
        <f t="shared" si="168"/>
        <v>May</v>
      </c>
      <c r="D3598" t="s">
        <v>1613</v>
      </c>
      <c r="E3598" t="s">
        <v>19</v>
      </c>
      <c r="F3598" t="s">
        <v>160</v>
      </c>
      <c r="G3598">
        <v>8</v>
      </c>
      <c r="H3598" s="7">
        <v>354.41</v>
      </c>
      <c r="I3598" t="s">
        <v>21</v>
      </c>
      <c r="J3598" t="s">
        <v>72</v>
      </c>
      <c r="K3598">
        <v>0</v>
      </c>
      <c r="L3598" s="7">
        <f t="shared" si="169"/>
        <v>2835.28</v>
      </c>
      <c r="M3598" s="7"/>
      <c r="O3598">
        <f t="shared" si="170"/>
        <v>3</v>
      </c>
      <c r="Q3598" t="s">
        <v>23</v>
      </c>
    </row>
    <row r="3599" spans="1:17" x14ac:dyDescent="0.3">
      <c r="A3599" t="s">
        <v>4720</v>
      </c>
      <c r="B3599" s="6">
        <v>45274</v>
      </c>
      <c r="C3599" s="6" t="str">
        <f t="shared" si="168"/>
        <v>Dec</v>
      </c>
      <c r="D3599" t="s">
        <v>1578</v>
      </c>
      <c r="E3599" t="s">
        <v>31</v>
      </c>
      <c r="F3599" t="s">
        <v>913</v>
      </c>
      <c r="G3599">
        <v>3</v>
      </c>
      <c r="H3599" s="7">
        <v>456.26</v>
      </c>
      <c r="I3599" t="s">
        <v>64</v>
      </c>
      <c r="J3599" t="s">
        <v>19</v>
      </c>
      <c r="K3599">
        <v>15</v>
      </c>
      <c r="L3599" s="7">
        <f t="shared" si="169"/>
        <v>1368.78</v>
      </c>
      <c r="M3599" s="7"/>
      <c r="O3599">
        <f t="shared" si="170"/>
        <v>2</v>
      </c>
      <c r="Q3599" t="s">
        <v>65</v>
      </c>
    </row>
    <row r="3600" spans="1:17" x14ac:dyDescent="0.3">
      <c r="A3600" t="s">
        <v>4721</v>
      </c>
      <c r="B3600" s="6">
        <v>45292</v>
      </c>
      <c r="C3600" s="6" t="str">
        <f t="shared" si="168"/>
        <v>Jan</v>
      </c>
      <c r="D3600" t="s">
        <v>262</v>
      </c>
      <c r="E3600" t="s">
        <v>36</v>
      </c>
      <c r="F3600" t="s">
        <v>173</v>
      </c>
      <c r="G3600">
        <v>5</v>
      </c>
      <c r="H3600" s="7">
        <v>327.98</v>
      </c>
      <c r="I3600" t="s">
        <v>32</v>
      </c>
      <c r="J3600" t="s">
        <v>22</v>
      </c>
      <c r="K3600">
        <v>15</v>
      </c>
      <c r="L3600" s="7">
        <f t="shared" si="169"/>
        <v>1639.9</v>
      </c>
      <c r="M3600" s="7"/>
      <c r="O3600">
        <f t="shared" si="170"/>
        <v>2</v>
      </c>
      <c r="Q3600" t="s">
        <v>33</v>
      </c>
    </row>
    <row r="3601" spans="1:17" x14ac:dyDescent="0.3">
      <c r="A3601" t="s">
        <v>4722</v>
      </c>
      <c r="B3601" s="6">
        <v>45281</v>
      </c>
      <c r="C3601" s="6" t="str">
        <f t="shared" si="168"/>
        <v>Dec</v>
      </c>
      <c r="D3601" t="s">
        <v>2535</v>
      </c>
      <c r="E3601" t="s">
        <v>19</v>
      </c>
      <c r="F3601" t="s">
        <v>134</v>
      </c>
      <c r="G3601">
        <v>9</v>
      </c>
      <c r="H3601" s="7">
        <v>388.03</v>
      </c>
      <c r="I3601" t="s">
        <v>103</v>
      </c>
      <c r="J3601" t="s">
        <v>72</v>
      </c>
      <c r="K3601">
        <v>20</v>
      </c>
      <c r="L3601" s="7">
        <f t="shared" si="169"/>
        <v>3492.2699999999995</v>
      </c>
      <c r="M3601" s="7"/>
      <c r="O3601">
        <f t="shared" si="170"/>
        <v>4</v>
      </c>
      <c r="Q3601" t="s">
        <v>104</v>
      </c>
    </row>
    <row r="3602" spans="1:17" x14ac:dyDescent="0.3">
      <c r="A3602" t="s">
        <v>4723</v>
      </c>
      <c r="B3602" s="6">
        <v>45189</v>
      </c>
      <c r="C3602" s="6" t="str">
        <f t="shared" si="168"/>
        <v>Sep</v>
      </c>
      <c r="D3602" t="s">
        <v>3267</v>
      </c>
      <c r="E3602" t="s">
        <v>36</v>
      </c>
      <c r="F3602" t="s">
        <v>231</v>
      </c>
      <c r="G3602">
        <v>6</v>
      </c>
      <c r="H3602" s="7">
        <v>182.39</v>
      </c>
      <c r="I3602" t="s">
        <v>103</v>
      </c>
      <c r="J3602" t="s">
        <v>28</v>
      </c>
      <c r="K3602">
        <v>15</v>
      </c>
      <c r="L3602" s="7">
        <f t="shared" si="169"/>
        <v>1094.3399999999999</v>
      </c>
      <c r="M3602" s="7"/>
      <c r="O3602">
        <f t="shared" si="170"/>
        <v>2</v>
      </c>
      <c r="Q3602" t="s">
        <v>104</v>
      </c>
    </row>
    <row r="3603" spans="1:17" x14ac:dyDescent="0.3">
      <c r="A3603" t="s">
        <v>4724</v>
      </c>
      <c r="B3603" s="6">
        <v>44995</v>
      </c>
      <c r="C3603" s="6" t="str">
        <f t="shared" si="168"/>
        <v>Mar</v>
      </c>
      <c r="D3603" t="s">
        <v>213</v>
      </c>
      <c r="E3603" t="s">
        <v>31</v>
      </c>
      <c r="F3603" t="s">
        <v>102</v>
      </c>
      <c r="G3603">
        <v>9</v>
      </c>
      <c r="H3603" s="7">
        <v>95.68</v>
      </c>
      <c r="I3603" t="s">
        <v>103</v>
      </c>
      <c r="J3603" t="s">
        <v>19</v>
      </c>
      <c r="K3603">
        <v>10</v>
      </c>
      <c r="L3603" s="7">
        <f t="shared" si="169"/>
        <v>861.12000000000012</v>
      </c>
      <c r="M3603" s="7"/>
      <c r="O3603">
        <f t="shared" si="170"/>
        <v>2</v>
      </c>
      <c r="Q3603" t="s">
        <v>104</v>
      </c>
    </row>
    <row r="3604" spans="1:17" x14ac:dyDescent="0.3">
      <c r="A3604" t="s">
        <v>4725</v>
      </c>
      <c r="B3604" s="6">
        <v>45243</v>
      </c>
      <c r="C3604" s="6" t="str">
        <f t="shared" si="168"/>
        <v>Nov</v>
      </c>
      <c r="D3604" t="s">
        <v>1451</v>
      </c>
      <c r="E3604" t="s">
        <v>19</v>
      </c>
      <c r="F3604" t="s">
        <v>134</v>
      </c>
      <c r="G3604">
        <v>7</v>
      </c>
      <c r="H3604" s="7">
        <v>323.17</v>
      </c>
      <c r="I3604" t="s">
        <v>103</v>
      </c>
      <c r="J3604" t="s">
        <v>22</v>
      </c>
      <c r="K3604">
        <v>10</v>
      </c>
      <c r="L3604" s="7">
        <f t="shared" si="169"/>
        <v>2262.19</v>
      </c>
      <c r="M3604" s="7"/>
      <c r="O3604">
        <f t="shared" si="170"/>
        <v>2</v>
      </c>
      <c r="Q3604" t="s">
        <v>104</v>
      </c>
    </row>
    <row r="3605" spans="1:17" x14ac:dyDescent="0.3">
      <c r="A3605" t="s">
        <v>4726</v>
      </c>
      <c r="B3605" s="6">
        <v>45107</v>
      </c>
      <c r="C3605" s="6" t="str">
        <f t="shared" si="168"/>
        <v>Jun</v>
      </c>
      <c r="D3605" t="s">
        <v>494</v>
      </c>
      <c r="E3605" t="s">
        <v>36</v>
      </c>
      <c r="F3605" t="s">
        <v>27</v>
      </c>
      <c r="G3605">
        <v>1</v>
      </c>
      <c r="H3605" s="7">
        <v>167.25</v>
      </c>
      <c r="I3605" t="s">
        <v>21</v>
      </c>
      <c r="J3605" t="s">
        <v>72</v>
      </c>
      <c r="K3605">
        <v>0</v>
      </c>
      <c r="L3605" s="7">
        <f t="shared" si="169"/>
        <v>167.25</v>
      </c>
      <c r="M3605" s="7"/>
      <c r="O3605">
        <f t="shared" si="170"/>
        <v>2</v>
      </c>
      <c r="Q3605" t="s">
        <v>23</v>
      </c>
    </row>
    <row r="3606" spans="1:17" x14ac:dyDescent="0.3">
      <c r="A3606" t="s">
        <v>4727</v>
      </c>
      <c r="B3606" s="6">
        <v>45197</v>
      </c>
      <c r="C3606" s="6" t="str">
        <f t="shared" si="168"/>
        <v>Sep</v>
      </c>
      <c r="D3606" t="s">
        <v>1525</v>
      </c>
      <c r="E3606" t="s">
        <v>50</v>
      </c>
      <c r="F3606" t="s">
        <v>1251</v>
      </c>
      <c r="G3606">
        <v>5</v>
      </c>
      <c r="H3606" s="7">
        <v>430.74</v>
      </c>
      <c r="I3606" t="s">
        <v>64</v>
      </c>
      <c r="J3606" t="s">
        <v>22</v>
      </c>
      <c r="K3606">
        <v>0</v>
      </c>
      <c r="L3606" s="7">
        <f t="shared" si="169"/>
        <v>2153.6999999999998</v>
      </c>
      <c r="M3606" s="7"/>
      <c r="O3606">
        <f t="shared" si="170"/>
        <v>2</v>
      </c>
      <c r="Q3606" t="s">
        <v>65</v>
      </c>
    </row>
    <row r="3607" spans="1:17" x14ac:dyDescent="0.3">
      <c r="A3607" t="s">
        <v>4728</v>
      </c>
      <c r="B3607" s="6">
        <v>45213</v>
      </c>
      <c r="C3607" s="6" t="str">
        <f t="shared" si="168"/>
        <v>Oct</v>
      </c>
      <c r="D3607" t="s">
        <v>2026</v>
      </c>
      <c r="E3607" t="s">
        <v>40</v>
      </c>
      <c r="F3607" t="s">
        <v>160</v>
      </c>
      <c r="G3607">
        <v>6</v>
      </c>
      <c r="H3607" s="7">
        <v>65.7</v>
      </c>
      <c r="I3607" t="s">
        <v>32</v>
      </c>
      <c r="J3607" t="s">
        <v>22</v>
      </c>
      <c r="K3607">
        <v>0</v>
      </c>
      <c r="L3607" s="7">
        <f t="shared" si="169"/>
        <v>394.20000000000005</v>
      </c>
      <c r="M3607" s="7"/>
      <c r="O3607">
        <f t="shared" si="170"/>
        <v>2</v>
      </c>
      <c r="Q3607" t="s">
        <v>33</v>
      </c>
    </row>
    <row r="3608" spans="1:17" x14ac:dyDescent="0.3">
      <c r="A3608" t="s">
        <v>4729</v>
      </c>
      <c r="B3608" s="6">
        <v>45204</v>
      </c>
      <c r="C3608" s="6" t="str">
        <f t="shared" si="168"/>
        <v>Oct</v>
      </c>
      <c r="D3608" t="s">
        <v>855</v>
      </c>
      <c r="E3608" t="s">
        <v>26</v>
      </c>
      <c r="F3608" t="s">
        <v>420</v>
      </c>
      <c r="G3608">
        <v>5</v>
      </c>
      <c r="H3608" s="7">
        <v>219.56</v>
      </c>
      <c r="I3608" t="s">
        <v>103</v>
      </c>
      <c r="J3608" t="s">
        <v>19</v>
      </c>
      <c r="K3608">
        <v>15</v>
      </c>
      <c r="L3608" s="7">
        <f t="shared" si="169"/>
        <v>1097.8</v>
      </c>
      <c r="M3608" s="7"/>
      <c r="O3608">
        <f t="shared" si="170"/>
        <v>2</v>
      </c>
      <c r="Q3608" t="s">
        <v>104</v>
      </c>
    </row>
    <row r="3609" spans="1:17" x14ac:dyDescent="0.3">
      <c r="A3609" t="s">
        <v>4730</v>
      </c>
      <c r="B3609" s="6">
        <v>45053</v>
      </c>
      <c r="C3609" s="6" t="str">
        <f t="shared" si="168"/>
        <v>May</v>
      </c>
      <c r="D3609" t="s">
        <v>1305</v>
      </c>
      <c r="E3609" t="s">
        <v>40</v>
      </c>
      <c r="F3609" t="s">
        <v>499</v>
      </c>
      <c r="G3609">
        <v>9</v>
      </c>
      <c r="H3609" s="7">
        <v>201.38</v>
      </c>
      <c r="I3609" t="s">
        <v>64</v>
      </c>
      <c r="J3609" t="s">
        <v>87</v>
      </c>
      <c r="K3609">
        <v>15</v>
      </c>
      <c r="L3609" s="7">
        <f t="shared" si="169"/>
        <v>1812.42</v>
      </c>
      <c r="M3609" s="7"/>
      <c r="O3609">
        <f t="shared" si="170"/>
        <v>2</v>
      </c>
      <c r="Q3609" t="s">
        <v>65</v>
      </c>
    </row>
    <row r="3610" spans="1:17" x14ac:dyDescent="0.3">
      <c r="A3610" t="s">
        <v>4731</v>
      </c>
      <c r="B3610" s="6">
        <v>45263</v>
      </c>
      <c r="C3610" s="6" t="str">
        <f t="shared" si="168"/>
        <v>Dec</v>
      </c>
      <c r="D3610" t="s">
        <v>548</v>
      </c>
      <c r="E3610" t="s">
        <v>40</v>
      </c>
      <c r="F3610" t="s">
        <v>586</v>
      </c>
      <c r="G3610">
        <v>2</v>
      </c>
      <c r="H3610" s="7">
        <v>469.34</v>
      </c>
      <c r="I3610" t="s">
        <v>32</v>
      </c>
      <c r="J3610" t="s">
        <v>19</v>
      </c>
      <c r="K3610">
        <v>0</v>
      </c>
      <c r="L3610" s="7">
        <f t="shared" si="169"/>
        <v>938.68</v>
      </c>
      <c r="M3610" s="7"/>
      <c r="O3610">
        <f t="shared" si="170"/>
        <v>2</v>
      </c>
      <c r="Q3610" t="s">
        <v>33</v>
      </c>
    </row>
    <row r="3611" spans="1:17" x14ac:dyDescent="0.3">
      <c r="A3611" t="s">
        <v>4732</v>
      </c>
      <c r="B3611" s="6">
        <v>45092</v>
      </c>
      <c r="C3611" s="6" t="str">
        <f t="shared" si="168"/>
        <v>Jun</v>
      </c>
      <c r="D3611" t="s">
        <v>2201</v>
      </c>
      <c r="E3611" t="s">
        <v>26</v>
      </c>
      <c r="F3611" t="s">
        <v>1693</v>
      </c>
      <c r="G3611">
        <v>8</v>
      </c>
      <c r="H3611" s="7">
        <v>80.8</v>
      </c>
      <c r="I3611" t="s">
        <v>46</v>
      </c>
      <c r="J3611" t="s">
        <v>42</v>
      </c>
      <c r="K3611">
        <v>10</v>
      </c>
      <c r="L3611" s="7">
        <f t="shared" si="169"/>
        <v>646.4</v>
      </c>
      <c r="M3611" s="7"/>
      <c r="O3611">
        <f t="shared" si="170"/>
        <v>2</v>
      </c>
      <c r="Q3611" t="s">
        <v>47</v>
      </c>
    </row>
    <row r="3612" spans="1:17" x14ac:dyDescent="0.3">
      <c r="A3612" t="s">
        <v>4733</v>
      </c>
      <c r="B3612" s="6">
        <v>45025</v>
      </c>
      <c r="C3612" s="6" t="str">
        <f t="shared" si="168"/>
        <v>Apr</v>
      </c>
      <c r="D3612" t="s">
        <v>1772</v>
      </c>
      <c r="E3612" t="s">
        <v>26</v>
      </c>
      <c r="F3612" t="s">
        <v>160</v>
      </c>
      <c r="G3612">
        <v>5</v>
      </c>
      <c r="H3612" s="7">
        <v>9.8699999999999992</v>
      </c>
      <c r="I3612" t="s">
        <v>19</v>
      </c>
      <c r="J3612" t="s">
        <v>19</v>
      </c>
      <c r="K3612">
        <v>5</v>
      </c>
      <c r="L3612" s="7">
        <f t="shared" si="169"/>
        <v>49.349999999999994</v>
      </c>
      <c r="M3612" s="7"/>
      <c r="O3612">
        <f t="shared" si="170"/>
        <v>2</v>
      </c>
      <c r="Q3612" t="s">
        <v>19</v>
      </c>
    </row>
    <row r="3613" spans="1:17" x14ac:dyDescent="0.3">
      <c r="A3613" t="s">
        <v>4734</v>
      </c>
      <c r="B3613" s="6">
        <v>45016</v>
      </c>
      <c r="C3613" s="6" t="str">
        <f t="shared" si="168"/>
        <v>Mar</v>
      </c>
      <c r="D3613" t="s">
        <v>1044</v>
      </c>
      <c r="E3613" t="s">
        <v>26</v>
      </c>
      <c r="F3613" t="s">
        <v>520</v>
      </c>
      <c r="G3613">
        <v>2</v>
      </c>
      <c r="H3613" s="7">
        <v>122.85</v>
      </c>
      <c r="I3613" t="s">
        <v>46</v>
      </c>
      <c r="J3613" t="s">
        <v>72</v>
      </c>
      <c r="K3613">
        <v>5</v>
      </c>
      <c r="L3613" s="7">
        <f t="shared" si="169"/>
        <v>245.7</v>
      </c>
      <c r="M3613" s="7"/>
      <c r="O3613">
        <f t="shared" si="170"/>
        <v>2</v>
      </c>
      <c r="Q3613" t="s">
        <v>47</v>
      </c>
    </row>
    <row r="3614" spans="1:17" x14ac:dyDescent="0.3">
      <c r="A3614" t="s">
        <v>4735</v>
      </c>
      <c r="B3614" s="6">
        <v>45060</v>
      </c>
      <c r="C3614" s="6" t="str">
        <f t="shared" si="168"/>
        <v>May</v>
      </c>
      <c r="D3614" t="s">
        <v>130</v>
      </c>
      <c r="E3614" t="s">
        <v>36</v>
      </c>
      <c r="F3614" t="s">
        <v>538</v>
      </c>
      <c r="G3614">
        <v>6</v>
      </c>
      <c r="H3614" s="7">
        <v>411.04</v>
      </c>
      <c r="I3614" t="s">
        <v>21</v>
      </c>
      <c r="J3614" t="s">
        <v>22</v>
      </c>
      <c r="K3614">
        <v>10</v>
      </c>
      <c r="L3614" s="7">
        <f t="shared" si="169"/>
        <v>2466.2400000000002</v>
      </c>
      <c r="M3614" s="7"/>
      <c r="O3614">
        <f t="shared" si="170"/>
        <v>2</v>
      </c>
      <c r="Q3614" t="s">
        <v>23</v>
      </c>
    </row>
    <row r="3615" spans="1:17" x14ac:dyDescent="0.3">
      <c r="A3615" t="s">
        <v>4736</v>
      </c>
      <c r="B3615" s="6">
        <v>44977</v>
      </c>
      <c r="C3615" s="6" t="str">
        <f t="shared" si="168"/>
        <v>Feb</v>
      </c>
      <c r="D3615" t="s">
        <v>1824</v>
      </c>
      <c r="E3615" t="s">
        <v>40</v>
      </c>
      <c r="F3615" t="s">
        <v>657</v>
      </c>
      <c r="G3615">
        <v>8</v>
      </c>
      <c r="H3615" s="7">
        <v>252.16</v>
      </c>
      <c r="I3615" t="s">
        <v>19</v>
      </c>
      <c r="J3615" t="s">
        <v>28</v>
      </c>
      <c r="K3615">
        <v>20</v>
      </c>
      <c r="L3615" s="7">
        <f t="shared" si="169"/>
        <v>2017.28</v>
      </c>
      <c r="M3615" s="7"/>
      <c r="O3615">
        <f t="shared" si="170"/>
        <v>2</v>
      </c>
      <c r="Q3615" t="s">
        <v>19</v>
      </c>
    </row>
    <row r="3616" spans="1:17" x14ac:dyDescent="0.3">
      <c r="A3616" t="s">
        <v>4737</v>
      </c>
      <c r="B3616" s="6">
        <v>45104</v>
      </c>
      <c r="C3616" s="6" t="str">
        <f t="shared" si="168"/>
        <v>Jun</v>
      </c>
      <c r="D3616" t="s">
        <v>302</v>
      </c>
      <c r="E3616" t="s">
        <v>19</v>
      </c>
      <c r="F3616" t="s">
        <v>234</v>
      </c>
      <c r="G3616">
        <v>4</v>
      </c>
      <c r="H3616" s="7">
        <v>124.23</v>
      </c>
      <c r="I3616" t="s">
        <v>19</v>
      </c>
      <c r="J3616" t="s">
        <v>72</v>
      </c>
      <c r="K3616">
        <v>10</v>
      </c>
      <c r="L3616" s="7">
        <f t="shared" si="169"/>
        <v>496.92</v>
      </c>
      <c r="M3616" s="7"/>
      <c r="O3616">
        <f t="shared" si="170"/>
        <v>2</v>
      </c>
      <c r="Q3616" t="s">
        <v>19</v>
      </c>
    </row>
    <row r="3617" spans="1:17" x14ac:dyDescent="0.3">
      <c r="A3617" t="s">
        <v>4738</v>
      </c>
      <c r="B3617" s="6">
        <v>44958</v>
      </c>
      <c r="C3617" s="6" t="str">
        <f t="shared" si="168"/>
        <v>Feb</v>
      </c>
      <c r="D3617" t="s">
        <v>361</v>
      </c>
      <c r="E3617" t="s">
        <v>50</v>
      </c>
      <c r="F3617" t="s">
        <v>119</v>
      </c>
      <c r="G3617">
        <v>2</v>
      </c>
      <c r="H3617" s="7">
        <v>69.3</v>
      </c>
      <c r="I3617" t="s">
        <v>32</v>
      </c>
      <c r="J3617" t="s">
        <v>87</v>
      </c>
      <c r="K3617">
        <v>0</v>
      </c>
      <c r="L3617" s="7">
        <f t="shared" si="169"/>
        <v>138.6</v>
      </c>
      <c r="M3617" s="7"/>
      <c r="O3617">
        <f t="shared" si="170"/>
        <v>2</v>
      </c>
      <c r="Q3617" t="s">
        <v>33</v>
      </c>
    </row>
    <row r="3618" spans="1:17" x14ac:dyDescent="0.3">
      <c r="A3618" t="s">
        <v>4739</v>
      </c>
      <c r="B3618" s="6">
        <v>45265</v>
      </c>
      <c r="C3618" s="6" t="str">
        <f t="shared" si="168"/>
        <v>Dec</v>
      </c>
      <c r="D3618" t="s">
        <v>2581</v>
      </c>
      <c r="E3618" t="s">
        <v>19</v>
      </c>
      <c r="F3618" t="s">
        <v>417</v>
      </c>
      <c r="G3618">
        <v>5</v>
      </c>
      <c r="H3618" s="7">
        <v>359.14</v>
      </c>
      <c r="I3618" t="s">
        <v>46</v>
      </c>
      <c r="J3618" t="s">
        <v>28</v>
      </c>
      <c r="K3618">
        <v>0</v>
      </c>
      <c r="L3618" s="7">
        <f t="shared" si="169"/>
        <v>1795.6999999999998</v>
      </c>
      <c r="M3618" s="7"/>
      <c r="O3618">
        <f t="shared" si="170"/>
        <v>2</v>
      </c>
      <c r="Q3618" t="s">
        <v>47</v>
      </c>
    </row>
    <row r="3619" spans="1:17" x14ac:dyDescent="0.3">
      <c r="A3619" t="s">
        <v>4740</v>
      </c>
      <c r="B3619" s="6">
        <v>45041</v>
      </c>
      <c r="C3619" s="6" t="str">
        <f t="shared" si="168"/>
        <v>Apr</v>
      </c>
      <c r="D3619" t="s">
        <v>1378</v>
      </c>
      <c r="E3619" t="s">
        <v>40</v>
      </c>
      <c r="F3619" t="s">
        <v>486</v>
      </c>
      <c r="G3619">
        <v>2</v>
      </c>
      <c r="H3619" s="7">
        <v>39.24</v>
      </c>
      <c r="I3619" t="s">
        <v>32</v>
      </c>
      <c r="J3619" t="s">
        <v>42</v>
      </c>
      <c r="K3619">
        <v>0</v>
      </c>
      <c r="L3619" s="7">
        <f t="shared" si="169"/>
        <v>78.48</v>
      </c>
      <c r="M3619" s="7"/>
      <c r="O3619">
        <f t="shared" si="170"/>
        <v>2</v>
      </c>
      <c r="Q3619" t="s">
        <v>33</v>
      </c>
    </row>
    <row r="3620" spans="1:17" x14ac:dyDescent="0.3">
      <c r="A3620" t="s">
        <v>4741</v>
      </c>
      <c r="B3620" s="6">
        <v>45113</v>
      </c>
      <c r="C3620" s="6" t="str">
        <f t="shared" si="168"/>
        <v>Jul</v>
      </c>
      <c r="D3620" t="s">
        <v>2338</v>
      </c>
      <c r="E3620" t="s">
        <v>50</v>
      </c>
      <c r="F3620" t="s">
        <v>499</v>
      </c>
      <c r="G3620">
        <v>2</v>
      </c>
      <c r="H3620" s="7">
        <v>168.95</v>
      </c>
      <c r="I3620" t="s">
        <v>46</v>
      </c>
      <c r="J3620" t="s">
        <v>87</v>
      </c>
      <c r="K3620">
        <v>20</v>
      </c>
      <c r="L3620" s="7">
        <f t="shared" si="169"/>
        <v>337.9</v>
      </c>
      <c r="M3620" s="7"/>
      <c r="O3620">
        <f t="shared" si="170"/>
        <v>2</v>
      </c>
      <c r="Q3620" t="s">
        <v>47</v>
      </c>
    </row>
    <row r="3621" spans="1:17" x14ac:dyDescent="0.3">
      <c r="A3621" t="s">
        <v>4742</v>
      </c>
      <c r="B3621" s="6">
        <v>45050</v>
      </c>
      <c r="C3621" s="6" t="str">
        <f t="shared" si="168"/>
        <v>May</v>
      </c>
      <c r="D3621" t="s">
        <v>275</v>
      </c>
      <c r="E3621" t="s">
        <v>50</v>
      </c>
      <c r="F3621" t="s">
        <v>331</v>
      </c>
      <c r="G3621">
        <v>6</v>
      </c>
      <c r="H3621" s="7">
        <v>144.84</v>
      </c>
      <c r="I3621" t="s">
        <v>32</v>
      </c>
      <c r="J3621" t="s">
        <v>72</v>
      </c>
      <c r="K3621">
        <v>15</v>
      </c>
      <c r="L3621" s="7">
        <f t="shared" si="169"/>
        <v>869.04</v>
      </c>
      <c r="M3621" s="7"/>
      <c r="O3621">
        <f t="shared" si="170"/>
        <v>2</v>
      </c>
      <c r="Q3621" t="s">
        <v>33</v>
      </c>
    </row>
    <row r="3622" spans="1:17" x14ac:dyDescent="0.3">
      <c r="A3622" t="s">
        <v>4743</v>
      </c>
      <c r="B3622" s="6">
        <v>45284</v>
      </c>
      <c r="C3622" s="6" t="str">
        <f t="shared" si="168"/>
        <v>Dec</v>
      </c>
      <c r="D3622" t="s">
        <v>553</v>
      </c>
      <c r="E3622" t="s">
        <v>31</v>
      </c>
      <c r="F3622" t="s">
        <v>417</v>
      </c>
      <c r="G3622">
        <v>9</v>
      </c>
      <c r="H3622" s="7">
        <v>279.8</v>
      </c>
      <c r="I3622" t="s">
        <v>46</v>
      </c>
      <c r="J3622" t="s">
        <v>42</v>
      </c>
      <c r="K3622">
        <v>20</v>
      </c>
      <c r="L3622" s="7">
        <f t="shared" si="169"/>
        <v>2518.2000000000003</v>
      </c>
      <c r="M3622" s="7"/>
      <c r="O3622">
        <f t="shared" si="170"/>
        <v>3</v>
      </c>
      <c r="Q3622" t="s">
        <v>47</v>
      </c>
    </row>
    <row r="3623" spans="1:17" x14ac:dyDescent="0.3">
      <c r="A3623" t="s">
        <v>4744</v>
      </c>
      <c r="B3623" s="6">
        <v>45249</v>
      </c>
      <c r="C3623" s="6" t="str">
        <f t="shared" si="168"/>
        <v>Nov</v>
      </c>
      <c r="D3623" t="s">
        <v>1201</v>
      </c>
      <c r="E3623" t="s">
        <v>50</v>
      </c>
      <c r="F3623" t="s">
        <v>434</v>
      </c>
      <c r="G3623">
        <v>4</v>
      </c>
      <c r="H3623" s="7">
        <v>366.56</v>
      </c>
      <c r="I3623" t="s">
        <v>32</v>
      </c>
      <c r="J3623" t="s">
        <v>28</v>
      </c>
      <c r="K3623">
        <v>10</v>
      </c>
      <c r="L3623" s="7">
        <f t="shared" si="169"/>
        <v>1466.24</v>
      </c>
      <c r="M3623" s="7"/>
      <c r="O3623">
        <f t="shared" si="170"/>
        <v>2</v>
      </c>
      <c r="Q3623" t="s">
        <v>33</v>
      </c>
    </row>
    <row r="3624" spans="1:17" x14ac:dyDescent="0.3">
      <c r="A3624" t="s">
        <v>4745</v>
      </c>
      <c r="B3624" s="6">
        <v>45042</v>
      </c>
      <c r="C3624" s="6" t="str">
        <f t="shared" si="168"/>
        <v>Apr</v>
      </c>
      <c r="D3624" t="s">
        <v>1546</v>
      </c>
      <c r="E3624" t="s">
        <v>19</v>
      </c>
      <c r="F3624" t="s">
        <v>398</v>
      </c>
      <c r="G3624">
        <v>6</v>
      </c>
      <c r="H3624" s="7">
        <v>268.77</v>
      </c>
      <c r="I3624" t="s">
        <v>103</v>
      </c>
      <c r="J3624" t="s">
        <v>42</v>
      </c>
      <c r="K3624">
        <v>15</v>
      </c>
      <c r="L3624" s="7">
        <f t="shared" si="169"/>
        <v>1612.62</v>
      </c>
      <c r="M3624" s="7"/>
      <c r="O3624">
        <f t="shared" si="170"/>
        <v>2</v>
      </c>
      <c r="Q3624" t="s">
        <v>104</v>
      </c>
    </row>
    <row r="3625" spans="1:17" x14ac:dyDescent="0.3">
      <c r="A3625" t="s">
        <v>4746</v>
      </c>
      <c r="B3625" s="6">
        <v>44947</v>
      </c>
      <c r="C3625" s="6" t="str">
        <f t="shared" si="168"/>
        <v>Jan</v>
      </c>
      <c r="D3625" t="s">
        <v>1054</v>
      </c>
      <c r="E3625" t="s">
        <v>19</v>
      </c>
      <c r="F3625" t="s">
        <v>90</v>
      </c>
      <c r="G3625">
        <v>7</v>
      </c>
      <c r="H3625" s="7">
        <v>465.86</v>
      </c>
      <c r="I3625" t="s">
        <v>103</v>
      </c>
      <c r="J3625" t="s">
        <v>42</v>
      </c>
      <c r="K3625">
        <v>15</v>
      </c>
      <c r="L3625" s="7">
        <f t="shared" si="169"/>
        <v>3261.02</v>
      </c>
      <c r="M3625" s="7"/>
      <c r="O3625">
        <f t="shared" si="170"/>
        <v>4</v>
      </c>
      <c r="Q3625" t="s">
        <v>104</v>
      </c>
    </row>
    <row r="3626" spans="1:17" x14ac:dyDescent="0.3">
      <c r="A3626" t="s">
        <v>4747</v>
      </c>
      <c r="B3626" s="6">
        <v>45228</v>
      </c>
      <c r="C3626" s="6" t="str">
        <f t="shared" si="168"/>
        <v>Oct</v>
      </c>
      <c r="D3626" t="s">
        <v>1185</v>
      </c>
      <c r="E3626" t="s">
        <v>19</v>
      </c>
      <c r="F3626" t="s">
        <v>356</v>
      </c>
      <c r="G3626">
        <v>6</v>
      </c>
      <c r="H3626" s="7">
        <v>475.96</v>
      </c>
      <c r="I3626" t="s">
        <v>103</v>
      </c>
      <c r="J3626" t="s">
        <v>19</v>
      </c>
      <c r="K3626">
        <v>10</v>
      </c>
      <c r="L3626" s="7">
        <f t="shared" si="169"/>
        <v>2855.7599999999998</v>
      </c>
      <c r="M3626" s="7"/>
      <c r="O3626">
        <f t="shared" si="170"/>
        <v>3</v>
      </c>
      <c r="Q3626" t="s">
        <v>104</v>
      </c>
    </row>
    <row r="3627" spans="1:17" x14ac:dyDescent="0.3">
      <c r="A3627" t="s">
        <v>4748</v>
      </c>
      <c r="B3627" s="6">
        <v>45006</v>
      </c>
      <c r="C3627" s="6" t="str">
        <f t="shared" si="168"/>
        <v>Mar</v>
      </c>
      <c r="D3627" t="s">
        <v>2701</v>
      </c>
      <c r="E3627" t="s">
        <v>26</v>
      </c>
      <c r="F3627" t="s">
        <v>273</v>
      </c>
      <c r="G3627">
        <v>8</v>
      </c>
      <c r="H3627" s="7">
        <v>183.93</v>
      </c>
      <c r="I3627" t="s">
        <v>103</v>
      </c>
      <c r="J3627" t="s">
        <v>22</v>
      </c>
      <c r="K3627">
        <v>15</v>
      </c>
      <c r="L3627" s="7">
        <f t="shared" si="169"/>
        <v>1471.44</v>
      </c>
      <c r="M3627" s="7"/>
      <c r="O3627">
        <f t="shared" si="170"/>
        <v>2</v>
      </c>
      <c r="Q3627" t="s">
        <v>104</v>
      </c>
    </row>
    <row r="3628" spans="1:17" x14ac:dyDescent="0.3">
      <c r="A3628" t="s">
        <v>4749</v>
      </c>
      <c r="B3628" s="6">
        <v>45083</v>
      </c>
      <c r="C3628" s="6" t="str">
        <f t="shared" si="168"/>
        <v>Jun</v>
      </c>
      <c r="D3628" t="s">
        <v>3444</v>
      </c>
      <c r="E3628" t="s">
        <v>50</v>
      </c>
      <c r="F3628" t="s">
        <v>179</v>
      </c>
      <c r="G3628">
        <v>4</v>
      </c>
      <c r="H3628" s="7">
        <v>389.95</v>
      </c>
      <c r="I3628" t="s">
        <v>46</v>
      </c>
      <c r="J3628" t="s">
        <v>28</v>
      </c>
      <c r="K3628">
        <v>5</v>
      </c>
      <c r="L3628" s="7">
        <f t="shared" si="169"/>
        <v>1559.8</v>
      </c>
      <c r="M3628" s="7"/>
      <c r="O3628">
        <f t="shared" si="170"/>
        <v>2</v>
      </c>
      <c r="Q3628" t="s">
        <v>47</v>
      </c>
    </row>
    <row r="3629" spans="1:17" x14ac:dyDescent="0.3">
      <c r="A3629" t="s">
        <v>4750</v>
      </c>
      <c r="B3629" s="6">
        <v>44972</v>
      </c>
      <c r="C3629" s="6" t="str">
        <f t="shared" si="168"/>
        <v>Feb</v>
      </c>
      <c r="D3629" t="s">
        <v>2746</v>
      </c>
      <c r="E3629" t="s">
        <v>50</v>
      </c>
      <c r="F3629" t="s">
        <v>1328</v>
      </c>
      <c r="G3629">
        <v>1</v>
      </c>
      <c r="H3629" s="7">
        <v>370.71</v>
      </c>
      <c r="I3629" t="s">
        <v>32</v>
      </c>
      <c r="J3629" t="s">
        <v>42</v>
      </c>
      <c r="K3629">
        <v>10</v>
      </c>
      <c r="L3629" s="7">
        <f t="shared" si="169"/>
        <v>370.71</v>
      </c>
      <c r="M3629" s="7"/>
      <c r="O3629">
        <f t="shared" si="170"/>
        <v>2</v>
      </c>
      <c r="Q3629" t="s">
        <v>33</v>
      </c>
    </row>
    <row r="3630" spans="1:17" x14ac:dyDescent="0.3">
      <c r="A3630" t="s">
        <v>4751</v>
      </c>
      <c r="B3630" s="6">
        <v>45106</v>
      </c>
      <c r="C3630" s="6" t="str">
        <f t="shared" si="168"/>
        <v>Jun</v>
      </c>
      <c r="D3630" t="s">
        <v>1898</v>
      </c>
      <c r="E3630" t="s">
        <v>36</v>
      </c>
      <c r="F3630" t="s">
        <v>110</v>
      </c>
      <c r="G3630">
        <v>7</v>
      </c>
      <c r="H3630" s="7">
        <v>447.02</v>
      </c>
      <c r="I3630" t="s">
        <v>21</v>
      </c>
      <c r="J3630" t="s">
        <v>22</v>
      </c>
      <c r="K3630">
        <v>10</v>
      </c>
      <c r="L3630" s="7">
        <f t="shared" si="169"/>
        <v>3129.14</v>
      </c>
      <c r="M3630" s="7"/>
      <c r="O3630">
        <f t="shared" si="170"/>
        <v>4</v>
      </c>
      <c r="Q3630" t="s">
        <v>23</v>
      </c>
    </row>
    <row r="3631" spans="1:17" x14ac:dyDescent="0.3">
      <c r="A3631" t="s">
        <v>4752</v>
      </c>
      <c r="B3631" s="6">
        <v>45056</v>
      </c>
      <c r="C3631" s="6" t="str">
        <f t="shared" si="168"/>
        <v>May</v>
      </c>
      <c r="D3631" t="s">
        <v>906</v>
      </c>
      <c r="E3631" t="s">
        <v>26</v>
      </c>
      <c r="F3631" t="s">
        <v>190</v>
      </c>
      <c r="G3631">
        <v>3</v>
      </c>
      <c r="H3631" s="7">
        <v>226.73</v>
      </c>
      <c r="I3631" t="s">
        <v>32</v>
      </c>
      <c r="J3631" t="s">
        <v>42</v>
      </c>
      <c r="K3631">
        <v>5</v>
      </c>
      <c r="L3631" s="7">
        <f t="shared" si="169"/>
        <v>680.18999999999994</v>
      </c>
      <c r="M3631" s="7"/>
      <c r="O3631">
        <f t="shared" si="170"/>
        <v>2</v>
      </c>
      <c r="Q3631" t="s">
        <v>33</v>
      </c>
    </row>
    <row r="3632" spans="1:17" x14ac:dyDescent="0.3">
      <c r="A3632" t="s">
        <v>4753</v>
      </c>
      <c r="B3632" s="6">
        <v>45088</v>
      </c>
      <c r="C3632" s="6" t="str">
        <f t="shared" si="168"/>
        <v>Jun</v>
      </c>
      <c r="D3632" t="s">
        <v>1647</v>
      </c>
      <c r="E3632" t="s">
        <v>40</v>
      </c>
      <c r="F3632" t="s">
        <v>708</v>
      </c>
      <c r="G3632">
        <v>5</v>
      </c>
      <c r="H3632" s="7">
        <v>267.58</v>
      </c>
      <c r="I3632" t="s">
        <v>19</v>
      </c>
      <c r="J3632" t="s">
        <v>42</v>
      </c>
      <c r="K3632">
        <v>20</v>
      </c>
      <c r="L3632" s="7">
        <f t="shared" si="169"/>
        <v>1337.8999999999999</v>
      </c>
      <c r="M3632" s="7"/>
      <c r="O3632">
        <f t="shared" si="170"/>
        <v>2</v>
      </c>
      <c r="Q3632" t="s">
        <v>19</v>
      </c>
    </row>
    <row r="3633" spans="1:17" x14ac:dyDescent="0.3">
      <c r="A3633" t="s">
        <v>4754</v>
      </c>
      <c r="B3633" s="6">
        <v>45266</v>
      </c>
      <c r="C3633" s="6" t="str">
        <f t="shared" si="168"/>
        <v>Dec</v>
      </c>
      <c r="D3633" t="s">
        <v>280</v>
      </c>
      <c r="E3633" t="s">
        <v>50</v>
      </c>
      <c r="F3633" t="s">
        <v>732</v>
      </c>
      <c r="G3633">
        <v>2</v>
      </c>
      <c r="H3633" s="7">
        <v>210.81</v>
      </c>
      <c r="I3633" t="s">
        <v>19</v>
      </c>
      <c r="J3633" t="s">
        <v>72</v>
      </c>
      <c r="K3633">
        <v>20</v>
      </c>
      <c r="L3633" s="7">
        <f t="shared" si="169"/>
        <v>421.62</v>
      </c>
      <c r="M3633" s="7"/>
      <c r="O3633">
        <f t="shared" si="170"/>
        <v>2</v>
      </c>
      <c r="Q3633" t="s">
        <v>19</v>
      </c>
    </row>
    <row r="3634" spans="1:17" x14ac:dyDescent="0.3">
      <c r="A3634" t="s">
        <v>4755</v>
      </c>
      <c r="B3634" s="6">
        <v>44977</v>
      </c>
      <c r="C3634" s="6" t="str">
        <f t="shared" si="168"/>
        <v>Feb</v>
      </c>
      <c r="D3634" t="s">
        <v>679</v>
      </c>
      <c r="E3634" t="s">
        <v>19</v>
      </c>
      <c r="F3634" t="s">
        <v>292</v>
      </c>
      <c r="G3634">
        <v>9</v>
      </c>
      <c r="H3634" s="7">
        <v>425.94</v>
      </c>
      <c r="I3634" t="s">
        <v>64</v>
      </c>
      <c r="J3634" t="s">
        <v>22</v>
      </c>
      <c r="K3634">
        <v>20</v>
      </c>
      <c r="L3634" s="7">
        <f t="shared" si="169"/>
        <v>3833.46</v>
      </c>
      <c r="M3634" s="7"/>
      <c r="O3634">
        <f t="shared" si="170"/>
        <v>5</v>
      </c>
      <c r="Q3634" t="s">
        <v>65</v>
      </c>
    </row>
    <row r="3635" spans="1:17" x14ac:dyDescent="0.3">
      <c r="A3635" t="s">
        <v>4756</v>
      </c>
      <c r="B3635" s="6">
        <v>45241</v>
      </c>
      <c r="C3635" s="6" t="str">
        <f t="shared" si="168"/>
        <v>Nov</v>
      </c>
      <c r="D3635" t="s">
        <v>1071</v>
      </c>
      <c r="E3635" t="s">
        <v>19</v>
      </c>
      <c r="F3635" t="s">
        <v>415</v>
      </c>
      <c r="G3635">
        <v>1</v>
      </c>
      <c r="H3635" s="7">
        <v>118.7</v>
      </c>
      <c r="I3635" t="s">
        <v>103</v>
      </c>
      <c r="J3635" t="s">
        <v>42</v>
      </c>
      <c r="K3635">
        <v>15</v>
      </c>
      <c r="L3635" s="7">
        <f t="shared" si="169"/>
        <v>118.7</v>
      </c>
      <c r="M3635" s="7"/>
      <c r="O3635">
        <f t="shared" si="170"/>
        <v>2</v>
      </c>
      <c r="Q3635" t="s">
        <v>104</v>
      </c>
    </row>
    <row r="3636" spans="1:17" x14ac:dyDescent="0.3">
      <c r="A3636" t="s">
        <v>4757</v>
      </c>
      <c r="B3636" s="6">
        <v>45022</v>
      </c>
      <c r="C3636" s="6" t="str">
        <f t="shared" si="168"/>
        <v>Apr</v>
      </c>
      <c r="D3636" t="s">
        <v>1520</v>
      </c>
      <c r="E3636" t="s">
        <v>36</v>
      </c>
      <c r="F3636" t="s">
        <v>789</v>
      </c>
      <c r="G3636">
        <v>6</v>
      </c>
      <c r="H3636" s="7">
        <v>123.66</v>
      </c>
      <c r="I3636" t="s">
        <v>21</v>
      </c>
      <c r="J3636" t="s">
        <v>42</v>
      </c>
      <c r="K3636">
        <v>5</v>
      </c>
      <c r="L3636" s="7">
        <f t="shared" si="169"/>
        <v>741.96</v>
      </c>
      <c r="M3636" s="7"/>
      <c r="O3636">
        <f t="shared" si="170"/>
        <v>2</v>
      </c>
      <c r="Q3636" t="s">
        <v>23</v>
      </c>
    </row>
    <row r="3637" spans="1:17" x14ac:dyDescent="0.3">
      <c r="A3637" t="s">
        <v>4758</v>
      </c>
      <c r="B3637" s="6">
        <v>45193</v>
      </c>
      <c r="C3637" s="6" t="str">
        <f t="shared" si="168"/>
        <v>Sep</v>
      </c>
      <c r="D3637" t="s">
        <v>1156</v>
      </c>
      <c r="E3637" t="s">
        <v>36</v>
      </c>
      <c r="F3637" t="s">
        <v>41</v>
      </c>
      <c r="G3637">
        <v>6</v>
      </c>
      <c r="H3637" s="7">
        <v>189.44</v>
      </c>
      <c r="I3637" t="s">
        <v>103</v>
      </c>
      <c r="J3637" t="s">
        <v>19</v>
      </c>
      <c r="K3637">
        <v>10</v>
      </c>
      <c r="L3637" s="7">
        <f t="shared" si="169"/>
        <v>1136.6399999999999</v>
      </c>
      <c r="M3637" s="7"/>
      <c r="O3637">
        <f t="shared" si="170"/>
        <v>2</v>
      </c>
      <c r="Q3637" t="s">
        <v>104</v>
      </c>
    </row>
    <row r="3638" spans="1:17" x14ac:dyDescent="0.3">
      <c r="A3638" t="s">
        <v>4759</v>
      </c>
      <c r="B3638" s="6">
        <v>45004</v>
      </c>
      <c r="C3638" s="6" t="str">
        <f t="shared" si="168"/>
        <v>Mar</v>
      </c>
      <c r="D3638" t="s">
        <v>302</v>
      </c>
      <c r="E3638" t="s">
        <v>40</v>
      </c>
      <c r="F3638" t="s">
        <v>113</v>
      </c>
      <c r="G3638">
        <v>5</v>
      </c>
      <c r="H3638" s="7">
        <v>119.02</v>
      </c>
      <c r="I3638" t="s">
        <v>103</v>
      </c>
      <c r="J3638" t="s">
        <v>19</v>
      </c>
      <c r="K3638">
        <v>10</v>
      </c>
      <c r="L3638" s="7">
        <f t="shared" si="169"/>
        <v>595.1</v>
      </c>
      <c r="M3638" s="7"/>
      <c r="O3638">
        <f t="shared" si="170"/>
        <v>2</v>
      </c>
      <c r="Q3638" t="s">
        <v>104</v>
      </c>
    </row>
    <row r="3639" spans="1:17" x14ac:dyDescent="0.3">
      <c r="A3639" t="s">
        <v>4760</v>
      </c>
      <c r="B3639" s="6">
        <v>44973</v>
      </c>
      <c r="C3639" s="6" t="str">
        <f t="shared" si="168"/>
        <v>Feb</v>
      </c>
      <c r="D3639" t="s">
        <v>1533</v>
      </c>
      <c r="E3639" t="s">
        <v>50</v>
      </c>
      <c r="F3639" t="s">
        <v>474</v>
      </c>
      <c r="G3639">
        <v>5</v>
      </c>
      <c r="H3639" s="7">
        <v>282.7</v>
      </c>
      <c r="I3639" t="s">
        <v>64</v>
      </c>
      <c r="J3639" t="s">
        <v>42</v>
      </c>
      <c r="K3639">
        <v>10</v>
      </c>
      <c r="L3639" s="7">
        <f t="shared" si="169"/>
        <v>1413.5</v>
      </c>
      <c r="M3639" s="7"/>
      <c r="O3639">
        <f t="shared" si="170"/>
        <v>2</v>
      </c>
      <c r="Q3639" t="s">
        <v>65</v>
      </c>
    </row>
    <row r="3640" spans="1:17" x14ac:dyDescent="0.3">
      <c r="A3640" t="s">
        <v>4761</v>
      </c>
      <c r="B3640" s="6">
        <v>44996</v>
      </c>
      <c r="C3640" s="6" t="str">
        <f t="shared" si="168"/>
        <v>Mar</v>
      </c>
      <c r="D3640" t="s">
        <v>1818</v>
      </c>
      <c r="E3640" t="s">
        <v>50</v>
      </c>
      <c r="F3640" t="s">
        <v>131</v>
      </c>
      <c r="G3640">
        <v>1</v>
      </c>
      <c r="H3640" s="7">
        <v>71.569999999999993</v>
      </c>
      <c r="I3640" t="s">
        <v>21</v>
      </c>
      <c r="J3640" t="s">
        <v>28</v>
      </c>
      <c r="K3640">
        <v>15</v>
      </c>
      <c r="L3640" s="7">
        <f t="shared" si="169"/>
        <v>71.569999999999993</v>
      </c>
      <c r="M3640" s="7"/>
      <c r="O3640">
        <f t="shared" si="170"/>
        <v>2</v>
      </c>
      <c r="Q3640" t="s">
        <v>23</v>
      </c>
    </row>
    <row r="3641" spans="1:17" x14ac:dyDescent="0.3">
      <c r="A3641" t="s">
        <v>4762</v>
      </c>
      <c r="B3641" s="6">
        <v>45066</v>
      </c>
      <c r="C3641" s="6" t="str">
        <f t="shared" si="168"/>
        <v>May</v>
      </c>
      <c r="D3641" t="s">
        <v>2094</v>
      </c>
      <c r="E3641" t="s">
        <v>36</v>
      </c>
      <c r="F3641" t="s">
        <v>257</v>
      </c>
      <c r="G3641">
        <v>5</v>
      </c>
      <c r="H3641" s="7">
        <v>163.49</v>
      </c>
      <c r="I3641" t="s">
        <v>64</v>
      </c>
      <c r="J3641" t="s">
        <v>19</v>
      </c>
      <c r="K3641">
        <v>15</v>
      </c>
      <c r="L3641" s="7">
        <f t="shared" si="169"/>
        <v>817.45</v>
      </c>
      <c r="M3641" s="7"/>
      <c r="O3641">
        <f t="shared" si="170"/>
        <v>2</v>
      </c>
      <c r="Q3641" t="s">
        <v>65</v>
      </c>
    </row>
    <row r="3642" spans="1:17" x14ac:dyDescent="0.3">
      <c r="A3642" t="s">
        <v>4763</v>
      </c>
      <c r="B3642" s="6">
        <v>45050</v>
      </c>
      <c r="C3642" s="6" t="str">
        <f t="shared" si="168"/>
        <v>May</v>
      </c>
      <c r="D3642" t="s">
        <v>999</v>
      </c>
      <c r="E3642" t="s">
        <v>19</v>
      </c>
      <c r="F3642" t="s">
        <v>409</v>
      </c>
      <c r="G3642">
        <v>2</v>
      </c>
      <c r="H3642" s="7">
        <v>457.16</v>
      </c>
      <c r="I3642" t="s">
        <v>19</v>
      </c>
      <c r="J3642" t="s">
        <v>19</v>
      </c>
      <c r="K3642">
        <v>10</v>
      </c>
      <c r="L3642" s="7">
        <f t="shared" si="169"/>
        <v>914.32</v>
      </c>
      <c r="M3642" s="7"/>
      <c r="O3642">
        <f t="shared" si="170"/>
        <v>2</v>
      </c>
      <c r="Q3642" t="s">
        <v>19</v>
      </c>
    </row>
    <row r="3643" spans="1:17" x14ac:dyDescent="0.3">
      <c r="A3643" t="s">
        <v>4764</v>
      </c>
      <c r="B3643" s="6">
        <v>45063</v>
      </c>
      <c r="C3643" s="6" t="str">
        <f t="shared" si="168"/>
        <v>May</v>
      </c>
      <c r="D3643" t="s">
        <v>414</v>
      </c>
      <c r="E3643" t="s">
        <v>31</v>
      </c>
      <c r="F3643" t="s">
        <v>1618</v>
      </c>
      <c r="G3643">
        <v>7</v>
      </c>
      <c r="H3643" s="7">
        <v>207.57</v>
      </c>
      <c r="I3643" t="s">
        <v>46</v>
      </c>
      <c r="J3643" t="s">
        <v>42</v>
      </c>
      <c r="K3643">
        <v>20</v>
      </c>
      <c r="L3643" s="7">
        <f t="shared" si="169"/>
        <v>1452.99</v>
      </c>
      <c r="M3643" s="7"/>
      <c r="O3643">
        <f t="shared" si="170"/>
        <v>2</v>
      </c>
      <c r="Q3643" t="s">
        <v>47</v>
      </c>
    </row>
    <row r="3644" spans="1:17" x14ac:dyDescent="0.3">
      <c r="A3644" t="s">
        <v>4765</v>
      </c>
      <c r="B3644" s="6">
        <v>45108</v>
      </c>
      <c r="C3644" s="6" t="str">
        <f t="shared" si="168"/>
        <v>Jul</v>
      </c>
      <c r="D3644" t="s">
        <v>729</v>
      </c>
      <c r="E3644" t="s">
        <v>26</v>
      </c>
      <c r="F3644" t="s">
        <v>110</v>
      </c>
      <c r="G3644">
        <v>3</v>
      </c>
      <c r="H3644" s="7">
        <v>375.38</v>
      </c>
      <c r="I3644" t="s">
        <v>46</v>
      </c>
      <c r="J3644" t="s">
        <v>22</v>
      </c>
      <c r="K3644">
        <v>10</v>
      </c>
      <c r="L3644" s="7">
        <f t="shared" si="169"/>
        <v>1126.1399999999999</v>
      </c>
      <c r="M3644" s="7"/>
      <c r="O3644">
        <f t="shared" si="170"/>
        <v>2</v>
      </c>
      <c r="Q3644" t="s">
        <v>47</v>
      </c>
    </row>
    <row r="3645" spans="1:17" x14ac:dyDescent="0.3">
      <c r="A3645" t="s">
        <v>4766</v>
      </c>
      <c r="B3645" s="6">
        <v>45131</v>
      </c>
      <c r="C3645" s="6" t="str">
        <f t="shared" si="168"/>
        <v>Jul</v>
      </c>
      <c r="D3645" t="s">
        <v>4063</v>
      </c>
      <c r="E3645" t="s">
        <v>26</v>
      </c>
      <c r="F3645" t="s">
        <v>398</v>
      </c>
      <c r="G3645">
        <v>4</v>
      </c>
      <c r="H3645" s="7">
        <v>61.16</v>
      </c>
      <c r="I3645" t="s">
        <v>103</v>
      </c>
      <c r="J3645" t="s">
        <v>42</v>
      </c>
      <c r="K3645">
        <v>10</v>
      </c>
      <c r="L3645" s="7">
        <f t="shared" si="169"/>
        <v>244.64</v>
      </c>
      <c r="M3645" s="7"/>
      <c r="O3645">
        <f t="shared" si="170"/>
        <v>2</v>
      </c>
      <c r="Q3645" t="s">
        <v>104</v>
      </c>
    </row>
    <row r="3646" spans="1:17" x14ac:dyDescent="0.3">
      <c r="A3646" t="s">
        <v>4767</v>
      </c>
      <c r="B3646" s="6">
        <v>45217</v>
      </c>
      <c r="C3646" s="6" t="str">
        <f t="shared" si="168"/>
        <v>Oct</v>
      </c>
      <c r="D3646" t="s">
        <v>1158</v>
      </c>
      <c r="E3646" t="s">
        <v>40</v>
      </c>
      <c r="F3646" t="s">
        <v>267</v>
      </c>
      <c r="G3646">
        <v>3</v>
      </c>
      <c r="H3646" s="7">
        <v>127.54</v>
      </c>
      <c r="I3646" t="s">
        <v>19</v>
      </c>
      <c r="J3646" t="s">
        <v>19</v>
      </c>
      <c r="K3646">
        <v>15</v>
      </c>
      <c r="L3646" s="7">
        <f t="shared" si="169"/>
        <v>382.62</v>
      </c>
      <c r="M3646" s="7"/>
      <c r="O3646">
        <f t="shared" si="170"/>
        <v>2</v>
      </c>
      <c r="Q3646" t="s">
        <v>19</v>
      </c>
    </row>
    <row r="3647" spans="1:17" x14ac:dyDescent="0.3">
      <c r="A3647" t="s">
        <v>4768</v>
      </c>
      <c r="B3647" s="6">
        <v>44998</v>
      </c>
      <c r="C3647" s="6" t="str">
        <f t="shared" si="168"/>
        <v>Mar</v>
      </c>
      <c r="D3647" t="s">
        <v>1383</v>
      </c>
      <c r="E3647" t="s">
        <v>40</v>
      </c>
      <c r="F3647" t="s">
        <v>308</v>
      </c>
      <c r="G3647">
        <v>3</v>
      </c>
      <c r="H3647" s="7">
        <v>404.64</v>
      </c>
      <c r="I3647" t="s">
        <v>19</v>
      </c>
      <c r="J3647" t="s">
        <v>28</v>
      </c>
      <c r="K3647">
        <v>20</v>
      </c>
      <c r="L3647" s="7">
        <f t="shared" si="169"/>
        <v>1213.92</v>
      </c>
      <c r="M3647" s="7"/>
      <c r="O3647">
        <f t="shared" si="170"/>
        <v>2</v>
      </c>
      <c r="Q3647" t="s">
        <v>19</v>
      </c>
    </row>
    <row r="3648" spans="1:17" x14ac:dyDescent="0.3">
      <c r="A3648" t="s">
        <v>4769</v>
      </c>
      <c r="B3648" s="6">
        <v>44982</v>
      </c>
      <c r="C3648" s="6" t="str">
        <f t="shared" si="168"/>
        <v>Feb</v>
      </c>
      <c r="D3648" t="s">
        <v>109</v>
      </c>
      <c r="E3648" t="s">
        <v>36</v>
      </c>
      <c r="F3648" t="s">
        <v>75</v>
      </c>
      <c r="G3648">
        <v>4</v>
      </c>
      <c r="H3648" s="7">
        <v>382.68</v>
      </c>
      <c r="I3648" t="s">
        <v>64</v>
      </c>
      <c r="J3648" t="s">
        <v>22</v>
      </c>
      <c r="K3648">
        <v>20</v>
      </c>
      <c r="L3648" s="7">
        <f t="shared" si="169"/>
        <v>1530.72</v>
      </c>
      <c r="M3648" s="7"/>
      <c r="O3648">
        <f t="shared" si="170"/>
        <v>2</v>
      </c>
      <c r="Q3648" t="s">
        <v>65</v>
      </c>
    </row>
    <row r="3649" spans="1:17" x14ac:dyDescent="0.3">
      <c r="A3649" t="s">
        <v>4770</v>
      </c>
      <c r="B3649" s="6">
        <v>45195</v>
      </c>
      <c r="C3649" s="6" t="str">
        <f t="shared" si="168"/>
        <v>Sep</v>
      </c>
      <c r="D3649" t="s">
        <v>4543</v>
      </c>
      <c r="E3649" t="s">
        <v>50</v>
      </c>
      <c r="F3649" t="s">
        <v>800</v>
      </c>
      <c r="G3649">
        <v>5</v>
      </c>
      <c r="H3649" s="7">
        <v>196.15</v>
      </c>
      <c r="I3649" t="s">
        <v>103</v>
      </c>
      <c r="J3649" t="s">
        <v>28</v>
      </c>
      <c r="K3649">
        <v>10</v>
      </c>
      <c r="L3649" s="7">
        <f t="shared" si="169"/>
        <v>980.75</v>
      </c>
      <c r="M3649" s="7"/>
      <c r="O3649">
        <f t="shared" si="170"/>
        <v>2</v>
      </c>
      <c r="Q3649" t="s">
        <v>104</v>
      </c>
    </row>
    <row r="3650" spans="1:17" x14ac:dyDescent="0.3">
      <c r="A3650" t="s">
        <v>4771</v>
      </c>
      <c r="B3650" s="6">
        <v>45146</v>
      </c>
      <c r="C3650" s="6" t="str">
        <f t="shared" si="168"/>
        <v>Aug</v>
      </c>
      <c r="D3650" t="s">
        <v>133</v>
      </c>
      <c r="E3650" t="s">
        <v>19</v>
      </c>
      <c r="F3650" t="s">
        <v>179</v>
      </c>
      <c r="G3650">
        <v>5</v>
      </c>
      <c r="H3650" s="7">
        <v>477.43</v>
      </c>
      <c r="I3650" t="s">
        <v>19</v>
      </c>
      <c r="J3650" t="s">
        <v>19</v>
      </c>
      <c r="K3650">
        <v>15</v>
      </c>
      <c r="L3650" s="7">
        <f t="shared" si="169"/>
        <v>2387.15</v>
      </c>
      <c r="M3650" s="7"/>
      <c r="O3650">
        <f t="shared" si="170"/>
        <v>2</v>
      </c>
      <c r="Q3650" t="s">
        <v>19</v>
      </c>
    </row>
    <row r="3651" spans="1:17" x14ac:dyDescent="0.3">
      <c r="A3651" t="s">
        <v>4772</v>
      </c>
      <c r="B3651" s="6">
        <v>45240</v>
      </c>
      <c r="C3651" s="6" t="str">
        <f t="shared" ref="C3651:C3714" si="171">TEXT(B3651,"MMM")</f>
        <v>Nov</v>
      </c>
      <c r="D3651" t="s">
        <v>2505</v>
      </c>
      <c r="E3651" t="s">
        <v>26</v>
      </c>
      <c r="F3651" t="s">
        <v>932</v>
      </c>
      <c r="G3651">
        <v>4</v>
      </c>
      <c r="H3651" s="7">
        <v>455.77</v>
      </c>
      <c r="I3651" t="s">
        <v>103</v>
      </c>
      <c r="J3651" t="s">
        <v>87</v>
      </c>
      <c r="K3651">
        <v>20</v>
      </c>
      <c r="L3651" s="7">
        <f t="shared" ref="L3651:L3714" si="172">G3651*H3651</f>
        <v>1823.08</v>
      </c>
      <c r="M3651" s="7"/>
      <c r="O3651">
        <f t="shared" si="170"/>
        <v>2</v>
      </c>
      <c r="Q3651" t="s">
        <v>104</v>
      </c>
    </row>
    <row r="3652" spans="1:17" x14ac:dyDescent="0.3">
      <c r="A3652" t="s">
        <v>4773</v>
      </c>
      <c r="B3652" s="6">
        <v>45056</v>
      </c>
      <c r="C3652" s="6" t="str">
        <f t="shared" si="171"/>
        <v>May</v>
      </c>
      <c r="D3652" t="s">
        <v>522</v>
      </c>
      <c r="E3652" t="s">
        <v>31</v>
      </c>
      <c r="F3652" t="s">
        <v>389</v>
      </c>
      <c r="G3652">
        <v>8</v>
      </c>
      <c r="H3652" s="7">
        <v>481.34</v>
      </c>
      <c r="I3652" t="s">
        <v>32</v>
      </c>
      <c r="J3652" t="s">
        <v>19</v>
      </c>
      <c r="K3652">
        <v>10</v>
      </c>
      <c r="L3652" s="7">
        <f t="shared" si="172"/>
        <v>3850.72</v>
      </c>
      <c r="M3652" s="7"/>
      <c r="O3652">
        <f t="shared" ref="O3652:O3715" si="173">IF(L3652&gt;3500,5,IF(L3652&gt;3000,4,IF(L3652&gt;2500,3,IF(L3652&gt;2000,2,IF(L3652&gt;1000,2,2)))))</f>
        <v>5</v>
      </c>
      <c r="Q3652" t="s">
        <v>33</v>
      </c>
    </row>
    <row r="3653" spans="1:17" x14ac:dyDescent="0.3">
      <c r="A3653" t="s">
        <v>4774</v>
      </c>
      <c r="B3653" s="6">
        <v>45140</v>
      </c>
      <c r="C3653" s="6" t="str">
        <f t="shared" si="171"/>
        <v>Aug</v>
      </c>
      <c r="D3653" t="s">
        <v>2409</v>
      </c>
      <c r="E3653" t="s">
        <v>50</v>
      </c>
      <c r="F3653" t="s">
        <v>520</v>
      </c>
      <c r="G3653">
        <v>7</v>
      </c>
      <c r="H3653" s="7">
        <v>216.82</v>
      </c>
      <c r="I3653" t="s">
        <v>64</v>
      </c>
      <c r="J3653" t="s">
        <v>28</v>
      </c>
      <c r="K3653">
        <v>5</v>
      </c>
      <c r="L3653" s="7">
        <f t="shared" si="172"/>
        <v>1517.74</v>
      </c>
      <c r="M3653" s="7"/>
      <c r="O3653">
        <f t="shared" si="173"/>
        <v>2</v>
      </c>
      <c r="Q3653" t="s">
        <v>65</v>
      </c>
    </row>
    <row r="3654" spans="1:17" x14ac:dyDescent="0.3">
      <c r="A3654" t="s">
        <v>4775</v>
      </c>
      <c r="B3654" s="6">
        <v>45167</v>
      </c>
      <c r="C3654" s="6" t="str">
        <f t="shared" si="171"/>
        <v>Aug</v>
      </c>
      <c r="D3654" t="s">
        <v>368</v>
      </c>
      <c r="E3654" t="s">
        <v>50</v>
      </c>
      <c r="F3654" t="s">
        <v>107</v>
      </c>
      <c r="G3654">
        <v>9</v>
      </c>
      <c r="H3654" s="7">
        <v>102.75</v>
      </c>
      <c r="I3654" t="s">
        <v>46</v>
      </c>
      <c r="J3654" t="s">
        <v>87</v>
      </c>
      <c r="K3654">
        <v>5</v>
      </c>
      <c r="L3654" s="7">
        <f t="shared" si="172"/>
        <v>924.75</v>
      </c>
      <c r="M3654" s="7"/>
      <c r="O3654">
        <f t="shared" si="173"/>
        <v>2</v>
      </c>
      <c r="Q3654" t="s">
        <v>47</v>
      </c>
    </row>
    <row r="3655" spans="1:17" x14ac:dyDescent="0.3">
      <c r="A3655" t="s">
        <v>4776</v>
      </c>
      <c r="B3655" s="6">
        <v>45269</v>
      </c>
      <c r="C3655" s="6" t="str">
        <f t="shared" si="171"/>
        <v>Dec</v>
      </c>
      <c r="D3655" t="s">
        <v>2577</v>
      </c>
      <c r="E3655" t="s">
        <v>50</v>
      </c>
      <c r="F3655" t="s">
        <v>231</v>
      </c>
      <c r="G3655">
        <v>5</v>
      </c>
      <c r="H3655" s="7">
        <v>315.2</v>
      </c>
      <c r="I3655" t="s">
        <v>32</v>
      </c>
      <c r="J3655" t="s">
        <v>87</v>
      </c>
      <c r="K3655">
        <v>15</v>
      </c>
      <c r="L3655" s="7">
        <f t="shared" si="172"/>
        <v>1576</v>
      </c>
      <c r="M3655" s="7"/>
      <c r="O3655">
        <f t="shared" si="173"/>
        <v>2</v>
      </c>
      <c r="Q3655" t="s">
        <v>33</v>
      </c>
    </row>
    <row r="3656" spans="1:17" x14ac:dyDescent="0.3">
      <c r="A3656" t="s">
        <v>4777</v>
      </c>
      <c r="B3656" s="6">
        <v>45264</v>
      </c>
      <c r="C3656" s="6" t="str">
        <f t="shared" si="171"/>
        <v>Dec</v>
      </c>
      <c r="D3656" t="s">
        <v>1591</v>
      </c>
      <c r="E3656" t="s">
        <v>19</v>
      </c>
      <c r="F3656" t="s">
        <v>41</v>
      </c>
      <c r="G3656">
        <v>4</v>
      </c>
      <c r="H3656" s="7">
        <v>343.96</v>
      </c>
      <c r="I3656" t="s">
        <v>21</v>
      </c>
      <c r="J3656" t="s">
        <v>22</v>
      </c>
      <c r="K3656">
        <v>10</v>
      </c>
      <c r="L3656" s="7">
        <f t="shared" si="172"/>
        <v>1375.84</v>
      </c>
      <c r="M3656" s="7"/>
      <c r="O3656">
        <f t="shared" si="173"/>
        <v>2</v>
      </c>
      <c r="Q3656" t="s">
        <v>23</v>
      </c>
    </row>
    <row r="3657" spans="1:17" x14ac:dyDescent="0.3">
      <c r="A3657" t="s">
        <v>4778</v>
      </c>
      <c r="B3657" s="6">
        <v>44992</v>
      </c>
      <c r="C3657" s="6" t="str">
        <f t="shared" si="171"/>
        <v>Mar</v>
      </c>
      <c r="D3657" t="s">
        <v>2340</v>
      </c>
      <c r="E3657" t="s">
        <v>19</v>
      </c>
      <c r="F3657" t="s">
        <v>353</v>
      </c>
      <c r="G3657">
        <v>8</v>
      </c>
      <c r="H3657" s="7">
        <v>67.09</v>
      </c>
      <c r="I3657" t="s">
        <v>19</v>
      </c>
      <c r="J3657" t="s">
        <v>28</v>
      </c>
      <c r="K3657">
        <v>10</v>
      </c>
      <c r="L3657" s="7">
        <f t="shared" si="172"/>
        <v>536.72</v>
      </c>
      <c r="M3657" s="7"/>
      <c r="O3657">
        <f t="shared" si="173"/>
        <v>2</v>
      </c>
      <c r="Q3657" t="s">
        <v>19</v>
      </c>
    </row>
    <row r="3658" spans="1:17" x14ac:dyDescent="0.3">
      <c r="A3658" t="s">
        <v>4779</v>
      </c>
      <c r="B3658" s="6">
        <v>45053</v>
      </c>
      <c r="C3658" s="6" t="str">
        <f t="shared" si="171"/>
        <v>May</v>
      </c>
      <c r="D3658" t="s">
        <v>3090</v>
      </c>
      <c r="E3658" t="s">
        <v>62</v>
      </c>
      <c r="F3658" t="s">
        <v>331</v>
      </c>
      <c r="G3658">
        <v>9</v>
      </c>
      <c r="H3658" s="7">
        <v>394.31</v>
      </c>
      <c r="I3658" t="s">
        <v>64</v>
      </c>
      <c r="J3658" t="s">
        <v>42</v>
      </c>
      <c r="K3658">
        <v>20</v>
      </c>
      <c r="L3658" s="7">
        <f t="shared" si="172"/>
        <v>3548.79</v>
      </c>
      <c r="M3658" s="7"/>
      <c r="O3658">
        <f t="shared" si="173"/>
        <v>5</v>
      </c>
      <c r="Q3658" t="s">
        <v>65</v>
      </c>
    </row>
    <row r="3659" spans="1:17" x14ac:dyDescent="0.3">
      <c r="A3659" t="s">
        <v>4780</v>
      </c>
      <c r="B3659" s="6">
        <v>45137</v>
      </c>
      <c r="C3659" s="6" t="str">
        <f t="shared" si="171"/>
        <v>Jul</v>
      </c>
      <c r="D3659" t="s">
        <v>2394</v>
      </c>
      <c r="E3659" t="s">
        <v>50</v>
      </c>
      <c r="F3659" t="s">
        <v>208</v>
      </c>
      <c r="G3659">
        <v>7</v>
      </c>
      <c r="H3659" s="7">
        <v>13.94</v>
      </c>
      <c r="I3659" t="s">
        <v>21</v>
      </c>
      <c r="J3659" t="s">
        <v>28</v>
      </c>
      <c r="K3659">
        <v>15</v>
      </c>
      <c r="L3659" s="7">
        <f t="shared" si="172"/>
        <v>97.58</v>
      </c>
      <c r="M3659" s="7"/>
      <c r="O3659">
        <f t="shared" si="173"/>
        <v>2</v>
      </c>
      <c r="Q3659" t="s">
        <v>23</v>
      </c>
    </row>
    <row r="3660" spans="1:17" x14ac:dyDescent="0.3">
      <c r="A3660" t="s">
        <v>4781</v>
      </c>
      <c r="B3660" s="6">
        <v>45070</v>
      </c>
      <c r="C3660" s="6" t="str">
        <f t="shared" si="171"/>
        <v>May</v>
      </c>
      <c r="D3660" t="s">
        <v>2336</v>
      </c>
      <c r="E3660" t="s">
        <v>19</v>
      </c>
      <c r="F3660" t="s">
        <v>856</v>
      </c>
      <c r="G3660">
        <v>7</v>
      </c>
      <c r="H3660" s="7">
        <v>243.95</v>
      </c>
      <c r="I3660" t="s">
        <v>46</v>
      </c>
      <c r="J3660" t="s">
        <v>42</v>
      </c>
      <c r="K3660">
        <v>5</v>
      </c>
      <c r="L3660" s="7">
        <f t="shared" si="172"/>
        <v>1707.6499999999999</v>
      </c>
      <c r="M3660" s="7"/>
      <c r="O3660">
        <f t="shared" si="173"/>
        <v>2</v>
      </c>
      <c r="Q3660" t="s">
        <v>47</v>
      </c>
    </row>
    <row r="3661" spans="1:17" x14ac:dyDescent="0.3">
      <c r="A3661" t="s">
        <v>4782</v>
      </c>
      <c r="B3661" s="6">
        <v>44942</v>
      </c>
      <c r="C3661" s="6" t="str">
        <f t="shared" si="171"/>
        <v>Jan</v>
      </c>
      <c r="D3661" t="s">
        <v>868</v>
      </c>
      <c r="E3661" t="s">
        <v>40</v>
      </c>
      <c r="F3661" t="s">
        <v>406</v>
      </c>
      <c r="G3661">
        <v>5</v>
      </c>
      <c r="H3661" s="7">
        <v>168.85</v>
      </c>
      <c r="I3661" t="s">
        <v>32</v>
      </c>
      <c r="J3661" t="s">
        <v>19</v>
      </c>
      <c r="K3661">
        <v>10</v>
      </c>
      <c r="L3661" s="7">
        <f t="shared" si="172"/>
        <v>844.25</v>
      </c>
      <c r="M3661" s="7"/>
      <c r="O3661">
        <f t="shared" si="173"/>
        <v>2</v>
      </c>
      <c r="Q3661" t="s">
        <v>33</v>
      </c>
    </row>
    <row r="3662" spans="1:17" x14ac:dyDescent="0.3">
      <c r="A3662" t="s">
        <v>4783</v>
      </c>
      <c r="B3662" s="6">
        <v>45153</v>
      </c>
      <c r="C3662" s="6" t="str">
        <f t="shared" si="171"/>
        <v>Aug</v>
      </c>
      <c r="D3662" t="s">
        <v>300</v>
      </c>
      <c r="E3662" t="s">
        <v>19</v>
      </c>
      <c r="F3662" t="s">
        <v>713</v>
      </c>
      <c r="G3662">
        <v>4</v>
      </c>
      <c r="H3662" s="7">
        <v>371.45</v>
      </c>
      <c r="I3662" t="s">
        <v>21</v>
      </c>
      <c r="J3662" t="s">
        <v>19</v>
      </c>
      <c r="K3662">
        <v>20</v>
      </c>
      <c r="L3662" s="7">
        <f t="shared" si="172"/>
        <v>1485.8</v>
      </c>
      <c r="M3662" s="7"/>
      <c r="O3662">
        <f t="shared" si="173"/>
        <v>2</v>
      </c>
      <c r="Q3662" t="s">
        <v>23</v>
      </c>
    </row>
    <row r="3663" spans="1:17" x14ac:dyDescent="0.3">
      <c r="A3663" t="s">
        <v>4784</v>
      </c>
      <c r="B3663" s="6">
        <v>45195</v>
      </c>
      <c r="C3663" s="6" t="str">
        <f t="shared" si="171"/>
        <v>Sep</v>
      </c>
      <c r="D3663" t="s">
        <v>286</v>
      </c>
      <c r="E3663" t="s">
        <v>40</v>
      </c>
      <c r="F3663" t="s">
        <v>188</v>
      </c>
      <c r="G3663">
        <v>1</v>
      </c>
      <c r="H3663" s="7">
        <v>159.82</v>
      </c>
      <c r="I3663" t="s">
        <v>21</v>
      </c>
      <c r="J3663" t="s">
        <v>22</v>
      </c>
      <c r="K3663">
        <v>10</v>
      </c>
      <c r="L3663" s="7">
        <f t="shared" si="172"/>
        <v>159.82</v>
      </c>
      <c r="M3663" s="7"/>
      <c r="O3663">
        <f t="shared" si="173"/>
        <v>2</v>
      </c>
      <c r="Q3663" t="s">
        <v>23</v>
      </c>
    </row>
    <row r="3664" spans="1:17" x14ac:dyDescent="0.3">
      <c r="A3664" t="s">
        <v>4785</v>
      </c>
      <c r="B3664" s="6">
        <v>45286</v>
      </c>
      <c r="C3664" s="6" t="str">
        <f t="shared" si="171"/>
        <v>Dec</v>
      </c>
      <c r="D3664" t="s">
        <v>44</v>
      </c>
      <c r="E3664" t="s">
        <v>19</v>
      </c>
      <c r="F3664" t="s">
        <v>1237</v>
      </c>
      <c r="G3664">
        <v>7</v>
      </c>
      <c r="H3664" s="7">
        <v>414.27</v>
      </c>
      <c r="I3664" t="s">
        <v>19</v>
      </c>
      <c r="J3664" t="s">
        <v>72</v>
      </c>
      <c r="K3664">
        <v>20</v>
      </c>
      <c r="L3664" s="7">
        <f t="shared" si="172"/>
        <v>2899.89</v>
      </c>
      <c r="M3664" s="7"/>
      <c r="O3664">
        <f t="shared" si="173"/>
        <v>3</v>
      </c>
      <c r="Q3664" t="s">
        <v>19</v>
      </c>
    </row>
    <row r="3665" spans="1:17" x14ac:dyDescent="0.3">
      <c r="A3665" t="s">
        <v>4786</v>
      </c>
      <c r="B3665" s="6">
        <v>45187</v>
      </c>
      <c r="C3665" s="6" t="str">
        <f t="shared" si="171"/>
        <v>Sep</v>
      </c>
      <c r="D3665" t="s">
        <v>1968</v>
      </c>
      <c r="E3665" t="s">
        <v>40</v>
      </c>
      <c r="F3665" t="s">
        <v>350</v>
      </c>
      <c r="G3665">
        <v>1</v>
      </c>
      <c r="H3665" s="7">
        <v>299.5</v>
      </c>
      <c r="I3665" t="s">
        <v>46</v>
      </c>
      <c r="J3665" t="s">
        <v>72</v>
      </c>
      <c r="K3665">
        <v>0</v>
      </c>
      <c r="L3665" s="7">
        <f t="shared" si="172"/>
        <v>299.5</v>
      </c>
      <c r="M3665" s="7"/>
      <c r="O3665">
        <f t="shared" si="173"/>
        <v>2</v>
      </c>
      <c r="Q3665" t="s">
        <v>47</v>
      </c>
    </row>
    <row r="3666" spans="1:17" x14ac:dyDescent="0.3">
      <c r="A3666" t="s">
        <v>4787</v>
      </c>
      <c r="B3666" s="6">
        <v>45102</v>
      </c>
      <c r="C3666" s="6" t="str">
        <f t="shared" si="171"/>
        <v>Jun</v>
      </c>
      <c r="D3666" t="s">
        <v>4592</v>
      </c>
      <c r="E3666" t="s">
        <v>19</v>
      </c>
      <c r="F3666" t="s">
        <v>234</v>
      </c>
      <c r="G3666">
        <v>1</v>
      </c>
      <c r="H3666" s="7">
        <v>397.98</v>
      </c>
      <c r="I3666" t="s">
        <v>64</v>
      </c>
      <c r="J3666" t="s">
        <v>19</v>
      </c>
      <c r="K3666">
        <v>10</v>
      </c>
      <c r="L3666" s="7">
        <f t="shared" si="172"/>
        <v>397.98</v>
      </c>
      <c r="M3666" s="7"/>
      <c r="O3666">
        <f t="shared" si="173"/>
        <v>2</v>
      </c>
      <c r="Q3666" t="s">
        <v>65</v>
      </c>
    </row>
    <row r="3667" spans="1:17" x14ac:dyDescent="0.3">
      <c r="A3667" t="s">
        <v>4788</v>
      </c>
      <c r="B3667" s="6">
        <v>45205</v>
      </c>
      <c r="C3667" s="6" t="str">
        <f t="shared" si="171"/>
        <v>Oct</v>
      </c>
      <c r="D3667" t="s">
        <v>1564</v>
      </c>
      <c r="E3667" t="s">
        <v>19</v>
      </c>
      <c r="F3667" t="s">
        <v>78</v>
      </c>
      <c r="G3667">
        <v>5</v>
      </c>
      <c r="H3667" s="7">
        <v>494.72</v>
      </c>
      <c r="I3667" t="s">
        <v>46</v>
      </c>
      <c r="J3667" t="s">
        <v>42</v>
      </c>
      <c r="K3667">
        <v>15</v>
      </c>
      <c r="L3667" s="7">
        <f t="shared" si="172"/>
        <v>2473.6000000000004</v>
      </c>
      <c r="M3667" s="7"/>
      <c r="O3667">
        <f t="shared" si="173"/>
        <v>2</v>
      </c>
      <c r="Q3667" t="s">
        <v>47</v>
      </c>
    </row>
    <row r="3668" spans="1:17" x14ac:dyDescent="0.3">
      <c r="A3668" t="s">
        <v>4789</v>
      </c>
      <c r="B3668" s="6">
        <v>45248</v>
      </c>
      <c r="C3668" s="6" t="str">
        <f t="shared" si="171"/>
        <v>Nov</v>
      </c>
      <c r="D3668" t="s">
        <v>1567</v>
      </c>
      <c r="E3668" t="s">
        <v>36</v>
      </c>
      <c r="F3668" t="s">
        <v>1851</v>
      </c>
      <c r="G3668">
        <v>9</v>
      </c>
      <c r="H3668" s="7">
        <v>341.18</v>
      </c>
      <c r="I3668" t="s">
        <v>32</v>
      </c>
      <c r="J3668" t="s">
        <v>22</v>
      </c>
      <c r="K3668">
        <v>10</v>
      </c>
      <c r="L3668" s="7">
        <f t="shared" si="172"/>
        <v>3070.62</v>
      </c>
      <c r="M3668" s="7"/>
      <c r="O3668">
        <f t="shared" si="173"/>
        <v>4</v>
      </c>
      <c r="Q3668" t="s">
        <v>33</v>
      </c>
    </row>
    <row r="3669" spans="1:17" x14ac:dyDescent="0.3">
      <c r="A3669" t="s">
        <v>4790</v>
      </c>
      <c r="B3669" s="6">
        <v>45065</v>
      </c>
      <c r="C3669" s="6" t="str">
        <f t="shared" si="171"/>
        <v>May</v>
      </c>
      <c r="D3669" t="s">
        <v>1466</v>
      </c>
      <c r="E3669" t="s">
        <v>36</v>
      </c>
      <c r="F3669" t="s">
        <v>119</v>
      </c>
      <c r="G3669">
        <v>6</v>
      </c>
      <c r="H3669" s="7">
        <v>492.55</v>
      </c>
      <c r="I3669" t="s">
        <v>21</v>
      </c>
      <c r="J3669" t="s">
        <v>28</v>
      </c>
      <c r="K3669">
        <v>10</v>
      </c>
      <c r="L3669" s="7">
        <f t="shared" si="172"/>
        <v>2955.3</v>
      </c>
      <c r="M3669" s="7"/>
      <c r="O3669">
        <f t="shared" si="173"/>
        <v>3</v>
      </c>
      <c r="Q3669" t="s">
        <v>23</v>
      </c>
    </row>
    <row r="3670" spans="1:17" x14ac:dyDescent="0.3">
      <c r="A3670" t="s">
        <v>4791</v>
      </c>
      <c r="B3670" s="6">
        <v>45194</v>
      </c>
      <c r="C3670" s="6" t="str">
        <f t="shared" si="171"/>
        <v>Sep</v>
      </c>
      <c r="D3670" t="s">
        <v>478</v>
      </c>
      <c r="E3670" t="s">
        <v>40</v>
      </c>
      <c r="F3670" t="s">
        <v>303</v>
      </c>
      <c r="G3670">
        <v>3</v>
      </c>
      <c r="H3670" s="7">
        <v>19.27</v>
      </c>
      <c r="I3670" t="s">
        <v>19</v>
      </c>
      <c r="J3670" t="s">
        <v>22</v>
      </c>
      <c r="K3670">
        <v>20</v>
      </c>
      <c r="L3670" s="7">
        <f t="shared" si="172"/>
        <v>57.81</v>
      </c>
      <c r="M3670" s="7"/>
      <c r="O3670">
        <f t="shared" si="173"/>
        <v>2</v>
      </c>
      <c r="Q3670" t="s">
        <v>19</v>
      </c>
    </row>
    <row r="3671" spans="1:17" x14ac:dyDescent="0.3">
      <c r="A3671" t="s">
        <v>4792</v>
      </c>
      <c r="B3671" s="6">
        <v>45266</v>
      </c>
      <c r="C3671" s="6" t="str">
        <f t="shared" si="171"/>
        <v>Dec</v>
      </c>
      <c r="D3671" t="s">
        <v>1050</v>
      </c>
      <c r="E3671" t="s">
        <v>50</v>
      </c>
      <c r="F3671" t="s">
        <v>499</v>
      </c>
      <c r="G3671">
        <v>3</v>
      </c>
      <c r="H3671" s="7">
        <v>172.38</v>
      </c>
      <c r="I3671" t="s">
        <v>64</v>
      </c>
      <c r="J3671" t="s">
        <v>72</v>
      </c>
      <c r="K3671">
        <v>5</v>
      </c>
      <c r="L3671" s="7">
        <f t="shared" si="172"/>
        <v>517.14</v>
      </c>
      <c r="M3671" s="7"/>
      <c r="O3671">
        <f t="shared" si="173"/>
        <v>2</v>
      </c>
      <c r="Q3671" t="s">
        <v>65</v>
      </c>
    </row>
    <row r="3672" spans="1:17" x14ac:dyDescent="0.3">
      <c r="A3672" t="s">
        <v>4793</v>
      </c>
      <c r="B3672" s="6">
        <v>45214</v>
      </c>
      <c r="C3672" s="6" t="str">
        <f t="shared" si="171"/>
        <v>Oct</v>
      </c>
      <c r="D3672" t="s">
        <v>3409</v>
      </c>
      <c r="E3672" t="s">
        <v>19</v>
      </c>
      <c r="F3672" t="s">
        <v>517</v>
      </c>
      <c r="G3672">
        <v>7</v>
      </c>
      <c r="H3672" s="7">
        <v>58.39</v>
      </c>
      <c r="I3672" t="s">
        <v>19</v>
      </c>
      <c r="J3672" t="s">
        <v>28</v>
      </c>
      <c r="K3672">
        <v>0</v>
      </c>
      <c r="L3672" s="7">
        <f t="shared" si="172"/>
        <v>408.73</v>
      </c>
      <c r="M3672" s="7"/>
      <c r="O3672">
        <f t="shared" si="173"/>
        <v>2</v>
      </c>
      <c r="Q3672" t="s">
        <v>19</v>
      </c>
    </row>
    <row r="3673" spans="1:17" x14ac:dyDescent="0.3">
      <c r="A3673" t="s">
        <v>4794</v>
      </c>
      <c r="B3673" s="6">
        <v>45183</v>
      </c>
      <c r="C3673" s="6" t="str">
        <f t="shared" si="171"/>
        <v>Sep</v>
      </c>
      <c r="D3673" t="s">
        <v>2409</v>
      </c>
      <c r="E3673" t="s">
        <v>50</v>
      </c>
      <c r="F3673" t="s">
        <v>822</v>
      </c>
      <c r="G3673">
        <v>6</v>
      </c>
      <c r="H3673" s="7">
        <v>134.84</v>
      </c>
      <c r="I3673" t="s">
        <v>64</v>
      </c>
      <c r="J3673" t="s">
        <v>28</v>
      </c>
      <c r="K3673">
        <v>10</v>
      </c>
      <c r="L3673" s="7">
        <f t="shared" si="172"/>
        <v>809.04</v>
      </c>
      <c r="M3673" s="7"/>
      <c r="O3673">
        <f t="shared" si="173"/>
        <v>2</v>
      </c>
      <c r="Q3673" t="s">
        <v>65</v>
      </c>
    </row>
    <row r="3674" spans="1:17" x14ac:dyDescent="0.3">
      <c r="A3674" t="s">
        <v>4795</v>
      </c>
      <c r="B3674" s="6">
        <v>45285</v>
      </c>
      <c r="C3674" s="6" t="str">
        <f t="shared" si="171"/>
        <v>Dec</v>
      </c>
      <c r="D3674" t="s">
        <v>2560</v>
      </c>
      <c r="E3674" t="s">
        <v>40</v>
      </c>
      <c r="F3674" t="s">
        <v>281</v>
      </c>
      <c r="G3674">
        <v>9</v>
      </c>
      <c r="H3674" s="7">
        <v>420.25</v>
      </c>
      <c r="I3674" t="s">
        <v>19</v>
      </c>
      <c r="J3674" t="s">
        <v>87</v>
      </c>
      <c r="K3674">
        <v>5</v>
      </c>
      <c r="L3674" s="7">
        <f t="shared" si="172"/>
        <v>3782.25</v>
      </c>
      <c r="M3674" s="7"/>
      <c r="O3674">
        <f t="shared" si="173"/>
        <v>5</v>
      </c>
      <c r="Q3674" t="s">
        <v>19</v>
      </c>
    </row>
    <row r="3675" spans="1:17" x14ac:dyDescent="0.3">
      <c r="A3675" t="s">
        <v>4796</v>
      </c>
      <c r="B3675" s="6">
        <v>45231</v>
      </c>
      <c r="C3675" s="6" t="str">
        <f t="shared" si="171"/>
        <v>Nov</v>
      </c>
      <c r="D3675" t="s">
        <v>330</v>
      </c>
      <c r="E3675" t="s">
        <v>40</v>
      </c>
      <c r="F3675" t="s">
        <v>939</v>
      </c>
      <c r="G3675">
        <v>6</v>
      </c>
      <c r="H3675" s="7">
        <v>21</v>
      </c>
      <c r="I3675" t="s">
        <v>64</v>
      </c>
      <c r="J3675" t="s">
        <v>22</v>
      </c>
      <c r="K3675">
        <v>10</v>
      </c>
      <c r="L3675" s="7">
        <f t="shared" si="172"/>
        <v>126</v>
      </c>
      <c r="M3675" s="7"/>
      <c r="O3675">
        <f t="shared" si="173"/>
        <v>2</v>
      </c>
      <c r="Q3675" t="s">
        <v>65</v>
      </c>
    </row>
    <row r="3676" spans="1:17" x14ac:dyDescent="0.3">
      <c r="A3676" t="s">
        <v>4797</v>
      </c>
      <c r="B3676" s="6">
        <v>45026</v>
      </c>
      <c r="C3676" s="6" t="str">
        <f t="shared" si="171"/>
        <v>Apr</v>
      </c>
      <c r="D3676" t="s">
        <v>2675</v>
      </c>
      <c r="E3676" t="s">
        <v>19</v>
      </c>
      <c r="F3676" t="s">
        <v>511</v>
      </c>
      <c r="G3676">
        <v>5</v>
      </c>
      <c r="H3676" s="7">
        <v>262.49</v>
      </c>
      <c r="I3676" t="s">
        <v>21</v>
      </c>
      <c r="J3676" t="s">
        <v>22</v>
      </c>
      <c r="K3676">
        <v>0</v>
      </c>
      <c r="L3676" s="7">
        <f t="shared" si="172"/>
        <v>1312.45</v>
      </c>
      <c r="M3676" s="7"/>
      <c r="O3676">
        <f t="shared" si="173"/>
        <v>2</v>
      </c>
      <c r="Q3676" t="s">
        <v>23</v>
      </c>
    </row>
    <row r="3677" spans="1:17" x14ac:dyDescent="0.3">
      <c r="A3677" t="s">
        <v>4798</v>
      </c>
      <c r="B3677" s="6">
        <v>44964</v>
      </c>
      <c r="C3677" s="6" t="str">
        <f t="shared" si="171"/>
        <v>Feb</v>
      </c>
      <c r="D3677" t="s">
        <v>682</v>
      </c>
      <c r="E3677" t="s">
        <v>50</v>
      </c>
      <c r="F3677" t="s">
        <v>254</v>
      </c>
      <c r="G3677">
        <v>7</v>
      </c>
      <c r="H3677" s="7">
        <v>285.73</v>
      </c>
      <c r="I3677" t="s">
        <v>64</v>
      </c>
      <c r="J3677" t="s">
        <v>28</v>
      </c>
      <c r="K3677">
        <v>0</v>
      </c>
      <c r="L3677" s="7">
        <f t="shared" si="172"/>
        <v>2000.1100000000001</v>
      </c>
      <c r="M3677" s="7"/>
      <c r="O3677">
        <f t="shared" si="173"/>
        <v>2</v>
      </c>
      <c r="Q3677" t="s">
        <v>65</v>
      </c>
    </row>
    <row r="3678" spans="1:17" x14ac:dyDescent="0.3">
      <c r="A3678" t="s">
        <v>4799</v>
      </c>
      <c r="B3678" s="6">
        <v>45142</v>
      </c>
      <c r="C3678" s="6" t="str">
        <f t="shared" si="171"/>
        <v>Aug</v>
      </c>
      <c r="D3678" t="s">
        <v>3693</v>
      </c>
      <c r="E3678" t="s">
        <v>19</v>
      </c>
      <c r="F3678" t="s">
        <v>134</v>
      </c>
      <c r="G3678">
        <v>1</v>
      </c>
      <c r="H3678" s="7">
        <v>282.77</v>
      </c>
      <c r="I3678" t="s">
        <v>64</v>
      </c>
      <c r="J3678" t="s">
        <v>42</v>
      </c>
      <c r="K3678">
        <v>20</v>
      </c>
      <c r="L3678" s="7">
        <f t="shared" si="172"/>
        <v>282.77</v>
      </c>
      <c r="M3678" s="7"/>
      <c r="O3678">
        <f t="shared" si="173"/>
        <v>2</v>
      </c>
      <c r="Q3678" t="s">
        <v>65</v>
      </c>
    </row>
    <row r="3679" spans="1:17" x14ac:dyDescent="0.3">
      <c r="A3679" t="s">
        <v>4800</v>
      </c>
      <c r="B3679" s="6">
        <v>45262</v>
      </c>
      <c r="C3679" s="6" t="str">
        <f t="shared" si="171"/>
        <v>Dec</v>
      </c>
      <c r="D3679" t="s">
        <v>1171</v>
      </c>
      <c r="E3679" t="s">
        <v>50</v>
      </c>
      <c r="F3679" t="s">
        <v>856</v>
      </c>
      <c r="G3679">
        <v>7</v>
      </c>
      <c r="H3679" s="7">
        <v>240.27</v>
      </c>
      <c r="I3679" t="s">
        <v>103</v>
      </c>
      <c r="J3679" t="s">
        <v>87</v>
      </c>
      <c r="K3679">
        <v>10</v>
      </c>
      <c r="L3679" s="7">
        <f t="shared" si="172"/>
        <v>1681.89</v>
      </c>
      <c r="M3679" s="7"/>
      <c r="O3679">
        <f t="shared" si="173"/>
        <v>2</v>
      </c>
      <c r="Q3679" t="s">
        <v>104</v>
      </c>
    </row>
    <row r="3680" spans="1:17" x14ac:dyDescent="0.3">
      <c r="A3680" t="s">
        <v>4801</v>
      </c>
      <c r="B3680" s="6">
        <v>45222</v>
      </c>
      <c r="C3680" s="6" t="str">
        <f t="shared" si="171"/>
        <v>Oct</v>
      </c>
      <c r="D3680" t="s">
        <v>828</v>
      </c>
      <c r="E3680" t="s">
        <v>19</v>
      </c>
      <c r="F3680" t="s">
        <v>549</v>
      </c>
      <c r="G3680">
        <v>3</v>
      </c>
      <c r="H3680" s="7">
        <v>396.35</v>
      </c>
      <c r="I3680" t="s">
        <v>21</v>
      </c>
      <c r="J3680" t="s">
        <v>87</v>
      </c>
      <c r="K3680">
        <v>10</v>
      </c>
      <c r="L3680" s="7">
        <f t="shared" si="172"/>
        <v>1189.0500000000002</v>
      </c>
      <c r="M3680" s="7"/>
      <c r="O3680">
        <f t="shared" si="173"/>
        <v>2</v>
      </c>
      <c r="Q3680" t="s">
        <v>23</v>
      </c>
    </row>
    <row r="3681" spans="1:17" x14ac:dyDescent="0.3">
      <c r="A3681" t="s">
        <v>4802</v>
      </c>
      <c r="B3681" s="6">
        <v>45137</v>
      </c>
      <c r="C3681" s="6" t="str">
        <f t="shared" si="171"/>
        <v>Jul</v>
      </c>
      <c r="D3681" t="s">
        <v>2738</v>
      </c>
      <c r="E3681" t="s">
        <v>40</v>
      </c>
      <c r="F3681" t="s">
        <v>231</v>
      </c>
      <c r="G3681">
        <v>9</v>
      </c>
      <c r="H3681" s="7">
        <v>71.099999999999994</v>
      </c>
      <c r="I3681" t="s">
        <v>46</v>
      </c>
      <c r="J3681" t="s">
        <v>19</v>
      </c>
      <c r="K3681">
        <v>20</v>
      </c>
      <c r="L3681" s="7">
        <f t="shared" si="172"/>
        <v>639.9</v>
      </c>
      <c r="M3681" s="7"/>
      <c r="O3681">
        <f t="shared" si="173"/>
        <v>2</v>
      </c>
      <c r="Q3681" t="s">
        <v>47</v>
      </c>
    </row>
    <row r="3682" spans="1:17" x14ac:dyDescent="0.3">
      <c r="A3682" t="s">
        <v>4803</v>
      </c>
      <c r="B3682" s="6">
        <v>45132</v>
      </c>
      <c r="C3682" s="6" t="str">
        <f t="shared" si="171"/>
        <v>Jul</v>
      </c>
      <c r="D3682" t="s">
        <v>216</v>
      </c>
      <c r="E3682" t="s">
        <v>19</v>
      </c>
      <c r="F3682" t="s">
        <v>409</v>
      </c>
      <c r="G3682">
        <v>6</v>
      </c>
      <c r="H3682" s="7">
        <v>158.74</v>
      </c>
      <c r="I3682" t="s">
        <v>46</v>
      </c>
      <c r="J3682" t="s">
        <v>28</v>
      </c>
      <c r="K3682">
        <v>15</v>
      </c>
      <c r="L3682" s="7">
        <f t="shared" si="172"/>
        <v>952.44</v>
      </c>
      <c r="M3682" s="7"/>
      <c r="O3682">
        <f t="shared" si="173"/>
        <v>2</v>
      </c>
      <c r="Q3682" t="s">
        <v>47</v>
      </c>
    </row>
    <row r="3683" spans="1:17" x14ac:dyDescent="0.3">
      <c r="A3683" t="s">
        <v>4804</v>
      </c>
      <c r="B3683" s="6">
        <v>45001</v>
      </c>
      <c r="C3683" s="6" t="str">
        <f t="shared" si="171"/>
        <v>Mar</v>
      </c>
      <c r="D3683" t="s">
        <v>124</v>
      </c>
      <c r="E3683" t="s">
        <v>31</v>
      </c>
      <c r="F3683" t="s">
        <v>732</v>
      </c>
      <c r="G3683">
        <v>9</v>
      </c>
      <c r="H3683" s="7">
        <v>309.77999999999997</v>
      </c>
      <c r="I3683" t="s">
        <v>21</v>
      </c>
      <c r="J3683" t="s">
        <v>22</v>
      </c>
      <c r="K3683">
        <v>5</v>
      </c>
      <c r="L3683" s="7">
        <f t="shared" si="172"/>
        <v>2788.0199999999995</v>
      </c>
      <c r="M3683" s="7"/>
      <c r="O3683">
        <f t="shared" si="173"/>
        <v>3</v>
      </c>
      <c r="Q3683" t="s">
        <v>23</v>
      </c>
    </row>
    <row r="3684" spans="1:17" x14ac:dyDescent="0.3">
      <c r="A3684" t="s">
        <v>4805</v>
      </c>
      <c r="B3684" s="6">
        <v>44964</v>
      </c>
      <c r="C3684" s="6" t="str">
        <f t="shared" si="171"/>
        <v>Feb</v>
      </c>
      <c r="D3684" t="s">
        <v>1225</v>
      </c>
      <c r="E3684" t="s">
        <v>50</v>
      </c>
      <c r="F3684" t="s">
        <v>81</v>
      </c>
      <c r="G3684">
        <v>5</v>
      </c>
      <c r="H3684" s="7">
        <v>347.02</v>
      </c>
      <c r="I3684" t="s">
        <v>21</v>
      </c>
      <c r="J3684" t="s">
        <v>28</v>
      </c>
      <c r="K3684">
        <v>5</v>
      </c>
      <c r="L3684" s="7">
        <f t="shared" si="172"/>
        <v>1735.1</v>
      </c>
      <c r="M3684" s="7"/>
      <c r="O3684">
        <f t="shared" si="173"/>
        <v>2</v>
      </c>
      <c r="Q3684" t="s">
        <v>23</v>
      </c>
    </row>
    <row r="3685" spans="1:17" x14ac:dyDescent="0.3">
      <c r="A3685" t="s">
        <v>4806</v>
      </c>
      <c r="B3685" s="6">
        <v>45261</v>
      </c>
      <c r="C3685" s="6" t="str">
        <f t="shared" si="171"/>
        <v>Dec</v>
      </c>
      <c r="D3685" t="s">
        <v>623</v>
      </c>
      <c r="E3685" t="s">
        <v>31</v>
      </c>
      <c r="F3685" t="s">
        <v>406</v>
      </c>
      <c r="G3685">
        <v>7</v>
      </c>
      <c r="H3685" s="7">
        <v>205.05</v>
      </c>
      <c r="I3685" t="s">
        <v>103</v>
      </c>
      <c r="J3685" t="s">
        <v>19</v>
      </c>
      <c r="K3685">
        <v>20</v>
      </c>
      <c r="L3685" s="7">
        <f t="shared" si="172"/>
        <v>1435.3500000000001</v>
      </c>
      <c r="M3685" s="7"/>
      <c r="O3685">
        <f t="shared" si="173"/>
        <v>2</v>
      </c>
      <c r="Q3685" t="s">
        <v>104</v>
      </c>
    </row>
    <row r="3686" spans="1:17" x14ac:dyDescent="0.3">
      <c r="A3686" t="s">
        <v>4807</v>
      </c>
      <c r="B3686" s="6">
        <v>45088</v>
      </c>
      <c r="C3686" s="6" t="str">
        <f t="shared" si="171"/>
        <v>Jun</v>
      </c>
      <c r="D3686" t="s">
        <v>541</v>
      </c>
      <c r="E3686" t="s">
        <v>31</v>
      </c>
      <c r="F3686" t="s">
        <v>319</v>
      </c>
      <c r="G3686">
        <v>4</v>
      </c>
      <c r="H3686" s="7">
        <v>438.31</v>
      </c>
      <c r="I3686" t="s">
        <v>19</v>
      </c>
      <c r="J3686" t="s">
        <v>42</v>
      </c>
      <c r="K3686">
        <v>5</v>
      </c>
      <c r="L3686" s="7">
        <f t="shared" si="172"/>
        <v>1753.24</v>
      </c>
      <c r="M3686" s="7"/>
      <c r="O3686">
        <f t="shared" si="173"/>
        <v>2</v>
      </c>
      <c r="Q3686" t="s">
        <v>19</v>
      </c>
    </row>
    <row r="3687" spans="1:17" x14ac:dyDescent="0.3">
      <c r="A3687" t="s">
        <v>4808</v>
      </c>
      <c r="B3687" s="6">
        <v>44999</v>
      </c>
      <c r="C3687" s="6" t="str">
        <f t="shared" si="171"/>
        <v>Mar</v>
      </c>
      <c r="D3687" t="s">
        <v>1205</v>
      </c>
      <c r="E3687" t="s">
        <v>31</v>
      </c>
      <c r="F3687" t="s">
        <v>412</v>
      </c>
      <c r="G3687">
        <v>7</v>
      </c>
      <c r="H3687" s="7">
        <v>210.67</v>
      </c>
      <c r="I3687" t="s">
        <v>103</v>
      </c>
      <c r="J3687" t="s">
        <v>19</v>
      </c>
      <c r="K3687">
        <v>10</v>
      </c>
      <c r="L3687" s="7">
        <f t="shared" si="172"/>
        <v>1474.6899999999998</v>
      </c>
      <c r="M3687" s="7"/>
      <c r="O3687">
        <f t="shared" si="173"/>
        <v>2</v>
      </c>
      <c r="Q3687" t="s">
        <v>104</v>
      </c>
    </row>
    <row r="3688" spans="1:17" x14ac:dyDescent="0.3">
      <c r="A3688" t="s">
        <v>4809</v>
      </c>
      <c r="B3688" s="6">
        <v>45058</v>
      </c>
      <c r="C3688" s="6" t="str">
        <f t="shared" si="171"/>
        <v>May</v>
      </c>
      <c r="D3688" t="s">
        <v>288</v>
      </c>
      <c r="E3688" t="s">
        <v>40</v>
      </c>
      <c r="F3688" t="s">
        <v>119</v>
      </c>
      <c r="G3688">
        <v>1</v>
      </c>
      <c r="H3688" s="7">
        <v>204.37</v>
      </c>
      <c r="I3688" t="s">
        <v>103</v>
      </c>
      <c r="J3688" t="s">
        <v>22</v>
      </c>
      <c r="K3688">
        <v>5</v>
      </c>
      <c r="L3688" s="7">
        <f t="shared" si="172"/>
        <v>204.37</v>
      </c>
      <c r="M3688" s="7"/>
      <c r="O3688">
        <f t="shared" si="173"/>
        <v>2</v>
      </c>
      <c r="Q3688" t="s">
        <v>104</v>
      </c>
    </row>
    <row r="3689" spans="1:17" x14ac:dyDescent="0.3">
      <c r="A3689" t="s">
        <v>4810</v>
      </c>
      <c r="B3689" s="6">
        <v>45032</v>
      </c>
      <c r="C3689" s="6" t="str">
        <f t="shared" si="171"/>
        <v>Apr</v>
      </c>
      <c r="D3689" t="s">
        <v>661</v>
      </c>
      <c r="E3689" t="s">
        <v>62</v>
      </c>
      <c r="F3689" t="s">
        <v>222</v>
      </c>
      <c r="G3689">
        <v>7</v>
      </c>
      <c r="H3689" s="7">
        <v>22.92</v>
      </c>
      <c r="I3689" t="s">
        <v>21</v>
      </c>
      <c r="J3689" t="s">
        <v>87</v>
      </c>
      <c r="K3689">
        <v>10</v>
      </c>
      <c r="L3689" s="7">
        <f t="shared" si="172"/>
        <v>160.44</v>
      </c>
      <c r="M3689" s="7"/>
      <c r="O3689">
        <f t="shared" si="173"/>
        <v>2</v>
      </c>
      <c r="Q3689" t="s">
        <v>23</v>
      </c>
    </row>
    <row r="3690" spans="1:17" x14ac:dyDescent="0.3">
      <c r="A3690" t="s">
        <v>4811</v>
      </c>
      <c r="B3690" s="6">
        <v>44944</v>
      </c>
      <c r="C3690" s="6" t="str">
        <f t="shared" si="171"/>
        <v>Jan</v>
      </c>
      <c r="D3690" t="s">
        <v>1523</v>
      </c>
      <c r="E3690" t="s">
        <v>19</v>
      </c>
      <c r="F3690" t="s">
        <v>386</v>
      </c>
      <c r="G3690">
        <v>8</v>
      </c>
      <c r="H3690" s="7">
        <v>277.81</v>
      </c>
      <c r="I3690" t="s">
        <v>21</v>
      </c>
      <c r="J3690" t="s">
        <v>22</v>
      </c>
      <c r="K3690">
        <v>15</v>
      </c>
      <c r="L3690" s="7">
        <f t="shared" si="172"/>
        <v>2222.48</v>
      </c>
      <c r="M3690" s="7"/>
      <c r="O3690">
        <f t="shared" si="173"/>
        <v>2</v>
      </c>
      <c r="Q3690" t="s">
        <v>23</v>
      </c>
    </row>
    <row r="3691" spans="1:17" x14ac:dyDescent="0.3">
      <c r="A3691" t="s">
        <v>4812</v>
      </c>
      <c r="B3691" s="6">
        <v>45062</v>
      </c>
      <c r="C3691" s="6" t="str">
        <f t="shared" si="171"/>
        <v>May</v>
      </c>
      <c r="D3691" t="s">
        <v>960</v>
      </c>
      <c r="E3691" t="s">
        <v>40</v>
      </c>
      <c r="F3691" t="s">
        <v>295</v>
      </c>
      <c r="G3691">
        <v>5</v>
      </c>
      <c r="H3691" s="7">
        <v>355.8</v>
      </c>
      <c r="I3691" t="s">
        <v>32</v>
      </c>
      <c r="J3691" t="s">
        <v>72</v>
      </c>
      <c r="K3691">
        <v>10</v>
      </c>
      <c r="L3691" s="7">
        <f t="shared" si="172"/>
        <v>1779</v>
      </c>
      <c r="M3691" s="7"/>
      <c r="O3691">
        <f t="shared" si="173"/>
        <v>2</v>
      </c>
      <c r="Q3691" t="s">
        <v>33</v>
      </c>
    </row>
    <row r="3692" spans="1:17" x14ac:dyDescent="0.3">
      <c r="A3692" t="s">
        <v>4813</v>
      </c>
      <c r="B3692" s="6">
        <v>45206</v>
      </c>
      <c r="C3692" s="6" t="str">
        <f t="shared" si="171"/>
        <v>Oct</v>
      </c>
      <c r="D3692" t="s">
        <v>2712</v>
      </c>
      <c r="E3692" t="s">
        <v>19</v>
      </c>
      <c r="F3692" t="s">
        <v>81</v>
      </c>
      <c r="G3692">
        <v>2</v>
      </c>
      <c r="H3692" s="7">
        <v>61.65</v>
      </c>
      <c r="I3692" t="s">
        <v>103</v>
      </c>
      <c r="J3692" t="s">
        <v>28</v>
      </c>
      <c r="K3692">
        <v>0</v>
      </c>
      <c r="L3692" s="7">
        <f t="shared" si="172"/>
        <v>123.3</v>
      </c>
      <c r="M3692" s="7"/>
      <c r="O3692">
        <f t="shared" si="173"/>
        <v>2</v>
      </c>
      <c r="Q3692" t="s">
        <v>104</v>
      </c>
    </row>
    <row r="3693" spans="1:17" x14ac:dyDescent="0.3">
      <c r="A3693" t="s">
        <v>4814</v>
      </c>
      <c r="B3693" s="6">
        <v>45018</v>
      </c>
      <c r="C3693" s="6" t="str">
        <f t="shared" si="171"/>
        <v>Apr</v>
      </c>
      <c r="D3693" t="s">
        <v>819</v>
      </c>
      <c r="E3693" t="s">
        <v>19</v>
      </c>
      <c r="F3693" t="s">
        <v>586</v>
      </c>
      <c r="G3693">
        <v>5</v>
      </c>
      <c r="H3693" s="7">
        <v>156.19</v>
      </c>
      <c r="I3693" t="s">
        <v>103</v>
      </c>
      <c r="J3693" t="s">
        <v>28</v>
      </c>
      <c r="K3693">
        <v>20</v>
      </c>
      <c r="L3693" s="7">
        <f t="shared" si="172"/>
        <v>780.95</v>
      </c>
      <c r="M3693" s="7"/>
      <c r="O3693">
        <f t="shared" si="173"/>
        <v>2</v>
      </c>
      <c r="Q3693" t="s">
        <v>104</v>
      </c>
    </row>
    <row r="3694" spans="1:17" x14ac:dyDescent="0.3">
      <c r="A3694" t="s">
        <v>4815</v>
      </c>
      <c r="B3694" s="6">
        <v>45022</v>
      </c>
      <c r="C3694" s="6" t="str">
        <f t="shared" si="171"/>
        <v>Apr</v>
      </c>
      <c r="D3694" t="s">
        <v>266</v>
      </c>
      <c r="E3694" t="s">
        <v>62</v>
      </c>
      <c r="F3694" t="s">
        <v>281</v>
      </c>
      <c r="G3694">
        <v>6</v>
      </c>
      <c r="H3694" s="7">
        <v>391.72</v>
      </c>
      <c r="I3694" t="s">
        <v>32</v>
      </c>
      <c r="J3694" t="s">
        <v>19</v>
      </c>
      <c r="K3694">
        <v>20</v>
      </c>
      <c r="L3694" s="7">
        <f t="shared" si="172"/>
        <v>2350.3200000000002</v>
      </c>
      <c r="M3694" s="7"/>
      <c r="O3694">
        <f t="shared" si="173"/>
        <v>2</v>
      </c>
      <c r="Q3694" t="s">
        <v>33</v>
      </c>
    </row>
    <row r="3695" spans="1:17" x14ac:dyDescent="0.3">
      <c r="A3695" t="s">
        <v>4816</v>
      </c>
      <c r="B3695" s="6">
        <v>44961</v>
      </c>
      <c r="C3695" s="6" t="str">
        <f t="shared" si="171"/>
        <v>Feb</v>
      </c>
      <c r="D3695" t="s">
        <v>402</v>
      </c>
      <c r="E3695" t="s">
        <v>50</v>
      </c>
      <c r="F3695" t="s">
        <v>94</v>
      </c>
      <c r="G3695">
        <v>2</v>
      </c>
      <c r="H3695" s="7">
        <v>186.13</v>
      </c>
      <c r="I3695" t="s">
        <v>103</v>
      </c>
      <c r="J3695" t="s">
        <v>87</v>
      </c>
      <c r="K3695">
        <v>10</v>
      </c>
      <c r="L3695" s="7">
        <f t="shared" si="172"/>
        <v>372.26</v>
      </c>
      <c r="M3695" s="7"/>
      <c r="O3695">
        <f t="shared" si="173"/>
        <v>2</v>
      </c>
      <c r="Q3695" t="s">
        <v>104</v>
      </c>
    </row>
    <row r="3696" spans="1:17" x14ac:dyDescent="0.3">
      <c r="A3696" t="s">
        <v>4817</v>
      </c>
      <c r="B3696" s="6">
        <v>45004</v>
      </c>
      <c r="C3696" s="6" t="str">
        <f t="shared" si="171"/>
        <v>Mar</v>
      </c>
      <c r="D3696" t="s">
        <v>2134</v>
      </c>
      <c r="E3696" t="s">
        <v>40</v>
      </c>
      <c r="F3696" t="s">
        <v>504</v>
      </c>
      <c r="G3696">
        <v>6</v>
      </c>
      <c r="H3696" s="7">
        <v>124.59</v>
      </c>
      <c r="I3696" t="s">
        <v>64</v>
      </c>
      <c r="J3696" t="s">
        <v>42</v>
      </c>
      <c r="K3696">
        <v>15</v>
      </c>
      <c r="L3696" s="7">
        <f t="shared" si="172"/>
        <v>747.54</v>
      </c>
      <c r="M3696" s="7"/>
      <c r="O3696">
        <f t="shared" si="173"/>
        <v>2</v>
      </c>
      <c r="Q3696" t="s">
        <v>65</v>
      </c>
    </row>
    <row r="3697" spans="1:17" x14ac:dyDescent="0.3">
      <c r="A3697" t="s">
        <v>4818</v>
      </c>
      <c r="B3697" s="6">
        <v>45177</v>
      </c>
      <c r="C3697" s="6" t="str">
        <f t="shared" si="171"/>
        <v>Sep</v>
      </c>
      <c r="D3697" t="s">
        <v>4819</v>
      </c>
      <c r="E3697" t="s">
        <v>62</v>
      </c>
      <c r="F3697" t="s">
        <v>278</v>
      </c>
      <c r="G3697">
        <v>5</v>
      </c>
      <c r="H3697" s="7">
        <v>337.74</v>
      </c>
      <c r="I3697" t="s">
        <v>32</v>
      </c>
      <c r="J3697" t="s">
        <v>72</v>
      </c>
      <c r="K3697">
        <v>15</v>
      </c>
      <c r="L3697" s="7">
        <f t="shared" si="172"/>
        <v>1688.7</v>
      </c>
      <c r="M3697" s="7"/>
      <c r="O3697">
        <f t="shared" si="173"/>
        <v>2</v>
      </c>
      <c r="Q3697" t="s">
        <v>33</v>
      </c>
    </row>
    <row r="3698" spans="1:17" x14ac:dyDescent="0.3">
      <c r="A3698" t="s">
        <v>4820</v>
      </c>
      <c r="B3698" s="6">
        <v>45012</v>
      </c>
      <c r="C3698" s="6" t="str">
        <f t="shared" si="171"/>
        <v>Mar</v>
      </c>
      <c r="D3698" t="s">
        <v>1152</v>
      </c>
      <c r="E3698" t="s">
        <v>19</v>
      </c>
      <c r="F3698" t="s">
        <v>185</v>
      </c>
      <c r="G3698">
        <v>1</v>
      </c>
      <c r="H3698" s="7">
        <v>102.4</v>
      </c>
      <c r="I3698" t="s">
        <v>21</v>
      </c>
      <c r="J3698" t="s">
        <v>22</v>
      </c>
      <c r="K3698">
        <v>0</v>
      </c>
      <c r="L3698" s="7">
        <f t="shared" si="172"/>
        <v>102.4</v>
      </c>
      <c r="M3698" s="7"/>
      <c r="O3698">
        <f t="shared" si="173"/>
        <v>2</v>
      </c>
      <c r="Q3698" t="s">
        <v>23</v>
      </c>
    </row>
    <row r="3699" spans="1:17" x14ac:dyDescent="0.3">
      <c r="A3699" t="s">
        <v>4821</v>
      </c>
      <c r="B3699" s="6">
        <v>45171</v>
      </c>
      <c r="C3699" s="6" t="str">
        <f t="shared" si="171"/>
        <v>Sep</v>
      </c>
      <c r="D3699" t="s">
        <v>2779</v>
      </c>
      <c r="E3699" t="s">
        <v>40</v>
      </c>
      <c r="F3699" t="s">
        <v>913</v>
      </c>
      <c r="G3699">
        <v>1</v>
      </c>
      <c r="H3699" s="7">
        <v>448.35</v>
      </c>
      <c r="I3699" t="s">
        <v>46</v>
      </c>
      <c r="J3699" t="s">
        <v>19</v>
      </c>
      <c r="K3699">
        <v>10</v>
      </c>
      <c r="L3699" s="7">
        <f t="shared" si="172"/>
        <v>448.35</v>
      </c>
      <c r="M3699" s="7"/>
      <c r="O3699">
        <f t="shared" si="173"/>
        <v>2</v>
      </c>
      <c r="Q3699" t="s">
        <v>47</v>
      </c>
    </row>
    <row r="3700" spans="1:17" x14ac:dyDescent="0.3">
      <c r="A3700" t="s">
        <v>4822</v>
      </c>
      <c r="B3700" s="6">
        <v>44986</v>
      </c>
      <c r="C3700" s="6" t="str">
        <f t="shared" si="171"/>
        <v>Mar</v>
      </c>
      <c r="D3700" t="s">
        <v>1416</v>
      </c>
      <c r="E3700" t="s">
        <v>19</v>
      </c>
      <c r="F3700" t="s">
        <v>99</v>
      </c>
      <c r="G3700">
        <v>3</v>
      </c>
      <c r="H3700" s="7">
        <v>57.27</v>
      </c>
      <c r="I3700" t="s">
        <v>103</v>
      </c>
      <c r="J3700" t="s">
        <v>72</v>
      </c>
      <c r="K3700">
        <v>20</v>
      </c>
      <c r="L3700" s="7">
        <f t="shared" si="172"/>
        <v>171.81</v>
      </c>
      <c r="M3700" s="7"/>
      <c r="O3700">
        <f t="shared" si="173"/>
        <v>2</v>
      </c>
      <c r="Q3700" t="s">
        <v>104</v>
      </c>
    </row>
    <row r="3701" spans="1:17" x14ac:dyDescent="0.3">
      <c r="A3701" t="s">
        <v>4823</v>
      </c>
      <c r="B3701" s="6">
        <v>45157</v>
      </c>
      <c r="C3701" s="6" t="str">
        <f t="shared" si="171"/>
        <v>Aug</v>
      </c>
      <c r="D3701" t="s">
        <v>2085</v>
      </c>
      <c r="E3701" t="s">
        <v>26</v>
      </c>
      <c r="F3701" t="s">
        <v>450</v>
      </c>
      <c r="G3701">
        <v>3</v>
      </c>
      <c r="H3701" s="7">
        <v>354.74</v>
      </c>
      <c r="I3701" t="s">
        <v>19</v>
      </c>
      <c r="J3701" t="s">
        <v>28</v>
      </c>
      <c r="K3701">
        <v>10</v>
      </c>
      <c r="L3701" s="7">
        <f t="shared" si="172"/>
        <v>1064.22</v>
      </c>
      <c r="M3701" s="7"/>
      <c r="O3701">
        <f t="shared" si="173"/>
        <v>2</v>
      </c>
      <c r="Q3701" t="s">
        <v>19</v>
      </c>
    </row>
    <row r="3702" spans="1:17" x14ac:dyDescent="0.3">
      <c r="A3702" t="s">
        <v>4824</v>
      </c>
      <c r="B3702" s="6">
        <v>45003</v>
      </c>
      <c r="C3702" s="6" t="str">
        <f t="shared" si="171"/>
        <v>Mar</v>
      </c>
      <c r="D3702" t="s">
        <v>1406</v>
      </c>
      <c r="E3702" t="s">
        <v>40</v>
      </c>
      <c r="F3702" t="s">
        <v>1237</v>
      </c>
      <c r="G3702">
        <v>4</v>
      </c>
      <c r="H3702" s="7">
        <v>252.28</v>
      </c>
      <c r="I3702" t="s">
        <v>64</v>
      </c>
      <c r="J3702" t="s">
        <v>22</v>
      </c>
      <c r="K3702">
        <v>15</v>
      </c>
      <c r="L3702" s="7">
        <f t="shared" si="172"/>
        <v>1009.12</v>
      </c>
      <c r="M3702" s="7"/>
      <c r="O3702">
        <f t="shared" si="173"/>
        <v>2</v>
      </c>
      <c r="Q3702" t="s">
        <v>65</v>
      </c>
    </row>
    <row r="3703" spans="1:17" x14ac:dyDescent="0.3">
      <c r="A3703" t="s">
        <v>4825</v>
      </c>
      <c r="B3703" s="6">
        <v>45136</v>
      </c>
      <c r="C3703" s="6" t="str">
        <f t="shared" si="171"/>
        <v>Jul</v>
      </c>
      <c r="D3703" t="s">
        <v>2537</v>
      </c>
      <c r="E3703" t="s">
        <v>26</v>
      </c>
      <c r="F3703" t="s">
        <v>54</v>
      </c>
      <c r="G3703">
        <v>2</v>
      </c>
      <c r="H3703" s="7">
        <v>435.62</v>
      </c>
      <c r="I3703" t="s">
        <v>64</v>
      </c>
      <c r="J3703" t="s">
        <v>42</v>
      </c>
      <c r="K3703">
        <v>20</v>
      </c>
      <c r="L3703" s="7">
        <f t="shared" si="172"/>
        <v>871.24</v>
      </c>
      <c r="M3703" s="7"/>
      <c r="O3703">
        <f t="shared" si="173"/>
        <v>2</v>
      </c>
      <c r="Q3703" t="s">
        <v>65</v>
      </c>
    </row>
    <row r="3704" spans="1:17" x14ac:dyDescent="0.3">
      <c r="A3704" t="s">
        <v>4826</v>
      </c>
      <c r="B3704" s="6">
        <v>45101</v>
      </c>
      <c r="C3704" s="6" t="str">
        <f t="shared" si="171"/>
        <v>Jun</v>
      </c>
      <c r="D3704" t="s">
        <v>2057</v>
      </c>
      <c r="E3704" t="s">
        <v>31</v>
      </c>
      <c r="F3704" t="s">
        <v>423</v>
      </c>
      <c r="G3704">
        <v>9</v>
      </c>
      <c r="H3704" s="7">
        <v>67.47</v>
      </c>
      <c r="I3704" t="s">
        <v>103</v>
      </c>
      <c r="J3704" t="s">
        <v>87</v>
      </c>
      <c r="K3704">
        <v>10</v>
      </c>
      <c r="L3704" s="7">
        <f t="shared" si="172"/>
        <v>607.23</v>
      </c>
      <c r="M3704" s="7"/>
      <c r="O3704">
        <f t="shared" si="173"/>
        <v>2</v>
      </c>
      <c r="Q3704" t="s">
        <v>104</v>
      </c>
    </row>
    <row r="3705" spans="1:17" x14ac:dyDescent="0.3">
      <c r="A3705" t="s">
        <v>4827</v>
      </c>
      <c r="B3705" s="6">
        <v>45118</v>
      </c>
      <c r="C3705" s="6" t="str">
        <f t="shared" si="171"/>
        <v>Jul</v>
      </c>
      <c r="D3705" t="s">
        <v>774</v>
      </c>
      <c r="E3705" t="s">
        <v>50</v>
      </c>
      <c r="F3705" t="s">
        <v>68</v>
      </c>
      <c r="G3705">
        <v>7</v>
      </c>
      <c r="H3705" s="7">
        <v>340.56</v>
      </c>
      <c r="I3705" t="s">
        <v>32</v>
      </c>
      <c r="J3705" t="s">
        <v>22</v>
      </c>
      <c r="K3705">
        <v>5</v>
      </c>
      <c r="L3705" s="7">
        <f t="shared" si="172"/>
        <v>2383.92</v>
      </c>
      <c r="M3705" s="7"/>
      <c r="O3705">
        <f t="shared" si="173"/>
        <v>2</v>
      </c>
      <c r="Q3705" t="s">
        <v>33</v>
      </c>
    </row>
    <row r="3706" spans="1:17" x14ac:dyDescent="0.3">
      <c r="A3706" t="s">
        <v>4828</v>
      </c>
      <c r="B3706" s="6">
        <v>45074</v>
      </c>
      <c r="C3706" s="6" t="str">
        <f t="shared" si="171"/>
        <v>May</v>
      </c>
      <c r="D3706" t="s">
        <v>352</v>
      </c>
      <c r="E3706" t="s">
        <v>50</v>
      </c>
      <c r="F3706" t="s">
        <v>556</v>
      </c>
      <c r="G3706">
        <v>7</v>
      </c>
      <c r="H3706" s="7">
        <v>288.17</v>
      </c>
      <c r="I3706" t="s">
        <v>19</v>
      </c>
      <c r="J3706" t="s">
        <v>19</v>
      </c>
      <c r="K3706">
        <v>20</v>
      </c>
      <c r="L3706" s="7">
        <f t="shared" si="172"/>
        <v>2017.19</v>
      </c>
      <c r="M3706" s="7"/>
      <c r="O3706">
        <f t="shared" si="173"/>
        <v>2</v>
      </c>
      <c r="Q3706" t="s">
        <v>19</v>
      </c>
    </row>
    <row r="3707" spans="1:17" x14ac:dyDescent="0.3">
      <c r="A3707" t="s">
        <v>4829</v>
      </c>
      <c r="B3707" s="6">
        <v>45236</v>
      </c>
      <c r="C3707" s="6" t="str">
        <f t="shared" si="171"/>
        <v>Nov</v>
      </c>
      <c r="D3707" t="s">
        <v>2915</v>
      </c>
      <c r="E3707" t="s">
        <v>19</v>
      </c>
      <c r="F3707" t="s">
        <v>1693</v>
      </c>
      <c r="G3707">
        <v>6</v>
      </c>
      <c r="H3707" s="7">
        <v>242.64</v>
      </c>
      <c r="I3707" t="s">
        <v>103</v>
      </c>
      <c r="J3707" t="s">
        <v>28</v>
      </c>
      <c r="K3707">
        <v>10</v>
      </c>
      <c r="L3707" s="7">
        <f t="shared" si="172"/>
        <v>1455.84</v>
      </c>
      <c r="M3707" s="7"/>
      <c r="O3707">
        <f t="shared" si="173"/>
        <v>2</v>
      </c>
      <c r="Q3707" t="s">
        <v>104</v>
      </c>
    </row>
    <row r="3708" spans="1:17" x14ac:dyDescent="0.3">
      <c r="A3708" t="s">
        <v>4830</v>
      </c>
      <c r="B3708" s="6">
        <v>45144</v>
      </c>
      <c r="C3708" s="6" t="str">
        <f t="shared" si="171"/>
        <v>Aug</v>
      </c>
      <c r="D3708" t="s">
        <v>592</v>
      </c>
      <c r="E3708" t="s">
        <v>19</v>
      </c>
      <c r="F3708" t="s">
        <v>134</v>
      </c>
      <c r="G3708">
        <v>3</v>
      </c>
      <c r="H3708" s="7">
        <v>248.25</v>
      </c>
      <c r="I3708" t="s">
        <v>19</v>
      </c>
      <c r="J3708" t="s">
        <v>19</v>
      </c>
      <c r="K3708">
        <v>10</v>
      </c>
      <c r="L3708" s="7">
        <f t="shared" si="172"/>
        <v>744.75</v>
      </c>
      <c r="M3708" s="7"/>
      <c r="O3708">
        <f t="shared" si="173"/>
        <v>2</v>
      </c>
      <c r="Q3708" t="s">
        <v>19</v>
      </c>
    </row>
    <row r="3709" spans="1:17" x14ac:dyDescent="0.3">
      <c r="A3709" t="s">
        <v>4831</v>
      </c>
      <c r="B3709" s="6">
        <v>45024</v>
      </c>
      <c r="C3709" s="6" t="str">
        <f t="shared" si="171"/>
        <v>Apr</v>
      </c>
      <c r="D3709" t="s">
        <v>236</v>
      </c>
      <c r="E3709" t="s">
        <v>19</v>
      </c>
      <c r="F3709" t="s">
        <v>1461</v>
      </c>
      <c r="G3709">
        <v>6</v>
      </c>
      <c r="H3709" s="7">
        <v>362.38</v>
      </c>
      <c r="I3709" t="s">
        <v>64</v>
      </c>
      <c r="J3709" t="s">
        <v>22</v>
      </c>
      <c r="K3709">
        <v>10</v>
      </c>
      <c r="L3709" s="7">
        <f t="shared" si="172"/>
        <v>2174.2799999999997</v>
      </c>
      <c r="M3709" s="7"/>
      <c r="O3709">
        <f t="shared" si="173"/>
        <v>2</v>
      </c>
      <c r="Q3709" t="s">
        <v>65</v>
      </c>
    </row>
    <row r="3710" spans="1:17" x14ac:dyDescent="0.3">
      <c r="A3710" t="s">
        <v>4832</v>
      </c>
      <c r="B3710" s="6">
        <v>45121</v>
      </c>
      <c r="C3710" s="6" t="str">
        <f t="shared" si="171"/>
        <v>Jul</v>
      </c>
      <c r="D3710" t="s">
        <v>1313</v>
      </c>
      <c r="E3710" t="s">
        <v>40</v>
      </c>
      <c r="F3710" t="s">
        <v>538</v>
      </c>
      <c r="G3710">
        <v>8</v>
      </c>
      <c r="H3710" s="7">
        <v>469.18</v>
      </c>
      <c r="I3710" t="s">
        <v>21</v>
      </c>
      <c r="J3710" t="s">
        <v>22</v>
      </c>
      <c r="K3710">
        <v>20</v>
      </c>
      <c r="L3710" s="7">
        <f t="shared" si="172"/>
        <v>3753.44</v>
      </c>
      <c r="M3710" s="7"/>
      <c r="O3710">
        <f t="shared" si="173"/>
        <v>5</v>
      </c>
      <c r="Q3710" t="s">
        <v>23</v>
      </c>
    </row>
    <row r="3711" spans="1:17" x14ac:dyDescent="0.3">
      <c r="A3711" t="s">
        <v>4833</v>
      </c>
      <c r="B3711" s="6">
        <v>45193</v>
      </c>
      <c r="C3711" s="6" t="str">
        <f t="shared" si="171"/>
        <v>Sep</v>
      </c>
      <c r="D3711" t="s">
        <v>555</v>
      </c>
      <c r="E3711" t="s">
        <v>19</v>
      </c>
      <c r="F3711" t="s">
        <v>145</v>
      </c>
      <c r="G3711">
        <v>8</v>
      </c>
      <c r="H3711" s="7">
        <v>50.17</v>
      </c>
      <c r="I3711" t="s">
        <v>32</v>
      </c>
      <c r="J3711" t="s">
        <v>42</v>
      </c>
      <c r="K3711">
        <v>5</v>
      </c>
      <c r="L3711" s="7">
        <f t="shared" si="172"/>
        <v>401.36</v>
      </c>
      <c r="M3711" s="7"/>
      <c r="O3711">
        <f t="shared" si="173"/>
        <v>2</v>
      </c>
      <c r="Q3711" t="s">
        <v>33</v>
      </c>
    </row>
    <row r="3712" spans="1:17" x14ac:dyDescent="0.3">
      <c r="A3712" t="s">
        <v>4834</v>
      </c>
      <c r="B3712" s="6">
        <v>45268</v>
      </c>
      <c r="C3712" s="6" t="str">
        <f t="shared" si="171"/>
        <v>Dec</v>
      </c>
      <c r="D3712" t="s">
        <v>4835</v>
      </c>
      <c r="E3712" t="s">
        <v>26</v>
      </c>
      <c r="F3712" t="s">
        <v>222</v>
      </c>
      <c r="G3712">
        <v>9</v>
      </c>
      <c r="H3712" s="7">
        <v>14.65</v>
      </c>
      <c r="I3712" t="s">
        <v>32</v>
      </c>
      <c r="J3712" t="s">
        <v>42</v>
      </c>
      <c r="K3712">
        <v>10</v>
      </c>
      <c r="L3712" s="7">
        <f t="shared" si="172"/>
        <v>131.85</v>
      </c>
      <c r="M3712" s="7"/>
      <c r="O3712">
        <f t="shared" si="173"/>
        <v>2</v>
      </c>
      <c r="Q3712" t="s">
        <v>33</v>
      </c>
    </row>
    <row r="3713" spans="1:17" x14ac:dyDescent="0.3">
      <c r="A3713" t="s">
        <v>4836</v>
      </c>
      <c r="B3713" s="6">
        <v>45278</v>
      </c>
      <c r="C3713" s="6" t="str">
        <f t="shared" si="171"/>
        <v>Dec</v>
      </c>
      <c r="D3713" t="s">
        <v>4459</v>
      </c>
      <c r="E3713" t="s">
        <v>31</v>
      </c>
      <c r="F3713" t="s">
        <v>84</v>
      </c>
      <c r="G3713">
        <v>1</v>
      </c>
      <c r="H3713" s="7">
        <v>403.82</v>
      </c>
      <c r="I3713" t="s">
        <v>103</v>
      </c>
      <c r="J3713" t="s">
        <v>28</v>
      </c>
      <c r="K3713">
        <v>15</v>
      </c>
      <c r="L3713" s="7">
        <f t="shared" si="172"/>
        <v>403.82</v>
      </c>
      <c r="M3713" s="7"/>
      <c r="O3713">
        <f t="shared" si="173"/>
        <v>2</v>
      </c>
      <c r="Q3713" t="s">
        <v>104</v>
      </c>
    </row>
    <row r="3714" spans="1:17" x14ac:dyDescent="0.3">
      <c r="A3714" t="s">
        <v>4837</v>
      </c>
      <c r="B3714" s="6">
        <v>45161</v>
      </c>
      <c r="C3714" s="6" t="str">
        <f t="shared" si="171"/>
        <v>Aug</v>
      </c>
      <c r="D3714" t="s">
        <v>1834</v>
      </c>
      <c r="E3714" t="s">
        <v>31</v>
      </c>
      <c r="F3714" t="s">
        <v>398</v>
      </c>
      <c r="G3714">
        <v>1</v>
      </c>
      <c r="H3714" s="7">
        <v>58.54</v>
      </c>
      <c r="I3714" t="s">
        <v>46</v>
      </c>
      <c r="J3714" t="s">
        <v>19</v>
      </c>
      <c r="K3714">
        <v>10</v>
      </c>
      <c r="L3714" s="7">
        <f t="shared" si="172"/>
        <v>58.54</v>
      </c>
      <c r="M3714" s="7"/>
      <c r="O3714">
        <f t="shared" si="173"/>
        <v>2</v>
      </c>
      <c r="Q3714" t="s">
        <v>47</v>
      </c>
    </row>
    <row r="3715" spans="1:17" x14ac:dyDescent="0.3">
      <c r="A3715" t="s">
        <v>4838</v>
      </c>
      <c r="B3715" s="6">
        <v>44992</v>
      </c>
      <c r="C3715" s="6" t="str">
        <f t="shared" ref="C3715:C3778" si="174">TEXT(B3715,"MMM")</f>
        <v>Mar</v>
      </c>
      <c r="D3715" t="s">
        <v>1475</v>
      </c>
      <c r="E3715" t="s">
        <v>26</v>
      </c>
      <c r="F3715" t="s">
        <v>856</v>
      </c>
      <c r="G3715">
        <v>3</v>
      </c>
      <c r="H3715" s="7">
        <v>493.41</v>
      </c>
      <c r="I3715" t="s">
        <v>19</v>
      </c>
      <c r="J3715" t="s">
        <v>42</v>
      </c>
      <c r="K3715">
        <v>20</v>
      </c>
      <c r="L3715" s="7">
        <f t="shared" ref="L3715:L3778" si="175">G3715*H3715</f>
        <v>1480.23</v>
      </c>
      <c r="M3715" s="7"/>
      <c r="O3715">
        <f t="shared" si="173"/>
        <v>2</v>
      </c>
      <c r="Q3715" t="s">
        <v>19</v>
      </c>
    </row>
    <row r="3716" spans="1:17" x14ac:dyDescent="0.3">
      <c r="A3716" t="s">
        <v>4839</v>
      </c>
      <c r="B3716" s="6">
        <v>45243</v>
      </c>
      <c r="C3716" s="6" t="str">
        <f t="shared" si="174"/>
        <v>Nov</v>
      </c>
      <c r="D3716" t="s">
        <v>184</v>
      </c>
      <c r="E3716" t="s">
        <v>31</v>
      </c>
      <c r="F3716" t="s">
        <v>488</v>
      </c>
      <c r="G3716">
        <v>3</v>
      </c>
      <c r="H3716" s="7">
        <v>311.58</v>
      </c>
      <c r="I3716" t="s">
        <v>64</v>
      </c>
      <c r="J3716" t="s">
        <v>72</v>
      </c>
      <c r="K3716">
        <v>5</v>
      </c>
      <c r="L3716" s="7">
        <f t="shared" si="175"/>
        <v>934.74</v>
      </c>
      <c r="M3716" s="7"/>
      <c r="O3716">
        <f t="shared" ref="O3716:O3779" si="176">IF(L3716&gt;3500,5,IF(L3716&gt;3000,4,IF(L3716&gt;2500,3,IF(L3716&gt;2000,2,IF(L3716&gt;1000,2,2)))))</f>
        <v>2</v>
      </c>
      <c r="Q3716" t="s">
        <v>65</v>
      </c>
    </row>
    <row r="3717" spans="1:17" x14ac:dyDescent="0.3">
      <c r="A3717" t="s">
        <v>4840</v>
      </c>
      <c r="B3717" s="6">
        <v>45284</v>
      </c>
      <c r="C3717" s="6" t="str">
        <f t="shared" si="174"/>
        <v>Dec</v>
      </c>
      <c r="D3717" t="s">
        <v>349</v>
      </c>
      <c r="E3717" t="s">
        <v>50</v>
      </c>
      <c r="F3717" t="s">
        <v>389</v>
      </c>
      <c r="G3717">
        <v>8</v>
      </c>
      <c r="H3717" s="7">
        <v>327.18</v>
      </c>
      <c r="I3717" t="s">
        <v>103</v>
      </c>
      <c r="J3717" t="s">
        <v>22</v>
      </c>
      <c r="K3717">
        <v>15</v>
      </c>
      <c r="L3717" s="7">
        <f t="shared" si="175"/>
        <v>2617.44</v>
      </c>
      <c r="M3717" s="7"/>
      <c r="O3717">
        <f t="shared" si="176"/>
        <v>3</v>
      </c>
      <c r="Q3717" t="s">
        <v>104</v>
      </c>
    </row>
    <row r="3718" spans="1:17" x14ac:dyDescent="0.3">
      <c r="A3718" t="s">
        <v>4841</v>
      </c>
      <c r="B3718" s="6">
        <v>45080</v>
      </c>
      <c r="C3718" s="6" t="str">
        <f t="shared" si="174"/>
        <v>Jun</v>
      </c>
      <c r="D3718" t="s">
        <v>1380</v>
      </c>
      <c r="E3718" t="s">
        <v>62</v>
      </c>
      <c r="F3718" t="s">
        <v>432</v>
      </c>
      <c r="G3718">
        <v>1</v>
      </c>
      <c r="H3718" s="7">
        <v>103.45</v>
      </c>
      <c r="I3718" t="s">
        <v>46</v>
      </c>
      <c r="J3718" t="s">
        <v>42</v>
      </c>
      <c r="K3718">
        <v>20</v>
      </c>
      <c r="L3718" s="7">
        <f t="shared" si="175"/>
        <v>103.45</v>
      </c>
      <c r="M3718" s="7"/>
      <c r="O3718">
        <f t="shared" si="176"/>
        <v>2</v>
      </c>
      <c r="Q3718" t="s">
        <v>47</v>
      </c>
    </row>
    <row r="3719" spans="1:17" x14ac:dyDescent="0.3">
      <c r="A3719" t="s">
        <v>4842</v>
      </c>
      <c r="B3719" s="6">
        <v>45288</v>
      </c>
      <c r="C3719" s="6" t="str">
        <f t="shared" si="174"/>
        <v>Dec</v>
      </c>
      <c r="D3719" t="s">
        <v>172</v>
      </c>
      <c r="E3719" t="s">
        <v>40</v>
      </c>
      <c r="F3719" t="s">
        <v>1063</v>
      </c>
      <c r="G3719">
        <v>2</v>
      </c>
      <c r="H3719" s="7">
        <v>123.95</v>
      </c>
      <c r="I3719" t="s">
        <v>46</v>
      </c>
      <c r="J3719" t="s">
        <v>72</v>
      </c>
      <c r="K3719">
        <v>5</v>
      </c>
      <c r="L3719" s="7">
        <f t="shared" si="175"/>
        <v>247.9</v>
      </c>
      <c r="M3719" s="7"/>
      <c r="O3719">
        <f t="shared" si="176"/>
        <v>2</v>
      </c>
      <c r="Q3719" t="s">
        <v>47</v>
      </c>
    </row>
    <row r="3720" spans="1:17" x14ac:dyDescent="0.3">
      <c r="A3720" t="s">
        <v>4843</v>
      </c>
      <c r="B3720" s="6">
        <v>45061</v>
      </c>
      <c r="C3720" s="6" t="str">
        <f t="shared" si="174"/>
        <v>May</v>
      </c>
      <c r="D3720" t="s">
        <v>893</v>
      </c>
      <c r="E3720" t="s">
        <v>50</v>
      </c>
      <c r="F3720" t="s">
        <v>480</v>
      </c>
      <c r="G3720">
        <v>2</v>
      </c>
      <c r="H3720" s="7">
        <v>331.38</v>
      </c>
      <c r="I3720" t="s">
        <v>32</v>
      </c>
      <c r="J3720" t="s">
        <v>87</v>
      </c>
      <c r="K3720">
        <v>15</v>
      </c>
      <c r="L3720" s="7">
        <f t="shared" si="175"/>
        <v>662.76</v>
      </c>
      <c r="M3720" s="7"/>
      <c r="O3720">
        <f t="shared" si="176"/>
        <v>2</v>
      </c>
      <c r="Q3720" t="s">
        <v>33</v>
      </c>
    </row>
    <row r="3721" spans="1:17" x14ac:dyDescent="0.3">
      <c r="A3721" t="s">
        <v>4844</v>
      </c>
      <c r="B3721" s="6">
        <v>45197</v>
      </c>
      <c r="C3721" s="6" t="str">
        <f t="shared" si="174"/>
        <v>Sep</v>
      </c>
      <c r="D3721" t="s">
        <v>1173</v>
      </c>
      <c r="E3721" t="s">
        <v>26</v>
      </c>
      <c r="F3721" t="s">
        <v>248</v>
      </c>
      <c r="G3721">
        <v>3</v>
      </c>
      <c r="H3721" s="7">
        <v>455.31</v>
      </c>
      <c r="I3721" t="s">
        <v>46</v>
      </c>
      <c r="J3721" t="s">
        <v>42</v>
      </c>
      <c r="K3721">
        <v>10</v>
      </c>
      <c r="L3721" s="7">
        <f t="shared" si="175"/>
        <v>1365.93</v>
      </c>
      <c r="M3721" s="7"/>
      <c r="O3721">
        <f t="shared" si="176"/>
        <v>2</v>
      </c>
      <c r="Q3721" t="s">
        <v>47</v>
      </c>
    </row>
    <row r="3722" spans="1:17" x14ac:dyDescent="0.3">
      <c r="A3722" t="s">
        <v>4845</v>
      </c>
      <c r="B3722" s="6">
        <v>45234</v>
      </c>
      <c r="C3722" s="6" t="str">
        <f t="shared" si="174"/>
        <v>Nov</v>
      </c>
      <c r="D3722" t="s">
        <v>1690</v>
      </c>
      <c r="E3722" t="s">
        <v>19</v>
      </c>
      <c r="F3722" t="s">
        <v>102</v>
      </c>
      <c r="G3722">
        <v>6</v>
      </c>
      <c r="H3722" s="7">
        <v>491.28</v>
      </c>
      <c r="I3722" t="s">
        <v>103</v>
      </c>
      <c r="J3722" t="s">
        <v>72</v>
      </c>
      <c r="K3722">
        <v>20</v>
      </c>
      <c r="L3722" s="7">
        <f t="shared" si="175"/>
        <v>2947.68</v>
      </c>
      <c r="M3722" s="7"/>
      <c r="O3722">
        <f t="shared" si="176"/>
        <v>3</v>
      </c>
      <c r="Q3722" t="s">
        <v>104</v>
      </c>
    </row>
    <row r="3723" spans="1:17" x14ac:dyDescent="0.3">
      <c r="A3723" t="s">
        <v>4846</v>
      </c>
      <c r="B3723" s="6">
        <v>44940</v>
      </c>
      <c r="C3723" s="6" t="str">
        <f t="shared" si="174"/>
        <v>Jan</v>
      </c>
      <c r="D3723" t="s">
        <v>1437</v>
      </c>
      <c r="E3723" t="s">
        <v>62</v>
      </c>
      <c r="F3723" t="s">
        <v>284</v>
      </c>
      <c r="G3723">
        <v>1</v>
      </c>
      <c r="H3723" s="7">
        <v>103.03</v>
      </c>
      <c r="I3723" t="s">
        <v>46</v>
      </c>
      <c r="J3723" t="s">
        <v>72</v>
      </c>
      <c r="K3723">
        <v>20</v>
      </c>
      <c r="L3723" s="7">
        <f t="shared" si="175"/>
        <v>103.03</v>
      </c>
      <c r="M3723" s="7"/>
      <c r="O3723">
        <f t="shared" si="176"/>
        <v>2</v>
      </c>
      <c r="Q3723" t="s">
        <v>47</v>
      </c>
    </row>
    <row r="3724" spans="1:17" x14ac:dyDescent="0.3">
      <c r="A3724" t="s">
        <v>4847</v>
      </c>
      <c r="B3724" s="6">
        <v>45004</v>
      </c>
      <c r="C3724" s="6" t="str">
        <f t="shared" si="174"/>
        <v>Mar</v>
      </c>
      <c r="D3724" t="s">
        <v>3502</v>
      </c>
      <c r="E3724" t="s">
        <v>19</v>
      </c>
      <c r="F3724" t="s">
        <v>71</v>
      </c>
      <c r="G3724">
        <v>2</v>
      </c>
      <c r="H3724" s="7">
        <v>71.39</v>
      </c>
      <c r="I3724" t="s">
        <v>46</v>
      </c>
      <c r="J3724" t="s">
        <v>22</v>
      </c>
      <c r="K3724">
        <v>10</v>
      </c>
      <c r="L3724" s="7">
        <f t="shared" si="175"/>
        <v>142.78</v>
      </c>
      <c r="M3724" s="7"/>
      <c r="O3724">
        <f t="shared" si="176"/>
        <v>2</v>
      </c>
      <c r="Q3724" t="s">
        <v>47</v>
      </c>
    </row>
    <row r="3725" spans="1:17" x14ac:dyDescent="0.3">
      <c r="A3725" t="s">
        <v>4848</v>
      </c>
      <c r="B3725" s="6">
        <v>45134</v>
      </c>
      <c r="C3725" s="6" t="str">
        <f t="shared" si="174"/>
        <v>Jul</v>
      </c>
      <c r="D3725" t="s">
        <v>637</v>
      </c>
      <c r="E3725" t="s">
        <v>36</v>
      </c>
      <c r="F3725" t="s">
        <v>267</v>
      </c>
      <c r="G3725">
        <v>1</v>
      </c>
      <c r="H3725" s="7">
        <v>32.92</v>
      </c>
      <c r="I3725" t="s">
        <v>19</v>
      </c>
      <c r="J3725" t="s">
        <v>19</v>
      </c>
      <c r="K3725">
        <v>0</v>
      </c>
      <c r="L3725" s="7">
        <f t="shared" si="175"/>
        <v>32.92</v>
      </c>
      <c r="M3725" s="7"/>
      <c r="O3725">
        <f t="shared" si="176"/>
        <v>2</v>
      </c>
      <c r="Q3725" t="s">
        <v>19</v>
      </c>
    </row>
    <row r="3726" spans="1:17" x14ac:dyDescent="0.3">
      <c r="A3726" t="s">
        <v>4849</v>
      </c>
      <c r="B3726" s="6">
        <v>44977</v>
      </c>
      <c r="C3726" s="6" t="str">
        <f t="shared" si="174"/>
        <v>Feb</v>
      </c>
      <c r="D3726" t="s">
        <v>4289</v>
      </c>
      <c r="E3726" t="s">
        <v>19</v>
      </c>
      <c r="F3726" t="s">
        <v>54</v>
      </c>
      <c r="G3726">
        <v>5</v>
      </c>
      <c r="H3726" s="7">
        <v>434.81</v>
      </c>
      <c r="I3726" t="s">
        <v>21</v>
      </c>
      <c r="J3726" t="s">
        <v>28</v>
      </c>
      <c r="K3726">
        <v>15</v>
      </c>
      <c r="L3726" s="7">
        <f t="shared" si="175"/>
        <v>2174.0500000000002</v>
      </c>
      <c r="M3726" s="7"/>
      <c r="O3726">
        <f t="shared" si="176"/>
        <v>2</v>
      </c>
      <c r="Q3726" t="s">
        <v>23</v>
      </c>
    </row>
    <row r="3727" spans="1:17" x14ac:dyDescent="0.3">
      <c r="A3727" t="s">
        <v>4850</v>
      </c>
      <c r="B3727" s="6">
        <v>45107</v>
      </c>
      <c r="C3727" s="6" t="str">
        <f t="shared" si="174"/>
        <v>Jun</v>
      </c>
      <c r="D3727" t="s">
        <v>1028</v>
      </c>
      <c r="E3727" t="s">
        <v>62</v>
      </c>
      <c r="F3727" t="s">
        <v>432</v>
      </c>
      <c r="G3727">
        <v>7</v>
      </c>
      <c r="H3727" s="7">
        <v>150.88</v>
      </c>
      <c r="I3727" t="s">
        <v>103</v>
      </c>
      <c r="J3727" t="s">
        <v>28</v>
      </c>
      <c r="K3727">
        <v>10</v>
      </c>
      <c r="L3727" s="7">
        <f t="shared" si="175"/>
        <v>1056.1599999999999</v>
      </c>
      <c r="M3727" s="7"/>
      <c r="O3727">
        <f t="shared" si="176"/>
        <v>2</v>
      </c>
      <c r="Q3727" t="s">
        <v>104</v>
      </c>
    </row>
    <row r="3728" spans="1:17" x14ac:dyDescent="0.3">
      <c r="A3728" t="s">
        <v>4851</v>
      </c>
      <c r="B3728" s="6">
        <v>45145</v>
      </c>
      <c r="C3728" s="6" t="str">
        <f t="shared" si="174"/>
        <v>Aug</v>
      </c>
      <c r="D3728" t="s">
        <v>546</v>
      </c>
      <c r="E3728" t="s">
        <v>19</v>
      </c>
      <c r="F3728" t="s">
        <v>237</v>
      </c>
      <c r="G3728">
        <v>8</v>
      </c>
      <c r="H3728" s="7">
        <v>5.9</v>
      </c>
      <c r="I3728" t="s">
        <v>19</v>
      </c>
      <c r="J3728" t="s">
        <v>22</v>
      </c>
      <c r="K3728">
        <v>20</v>
      </c>
      <c r="L3728" s="7">
        <f t="shared" si="175"/>
        <v>47.2</v>
      </c>
      <c r="M3728" s="7"/>
      <c r="O3728">
        <f t="shared" si="176"/>
        <v>2</v>
      </c>
      <c r="Q3728" t="s">
        <v>19</v>
      </c>
    </row>
    <row r="3729" spans="1:17" x14ac:dyDescent="0.3">
      <c r="A3729" t="s">
        <v>4852</v>
      </c>
      <c r="B3729" s="6">
        <v>45068</v>
      </c>
      <c r="C3729" s="6" t="str">
        <f t="shared" si="174"/>
        <v>May</v>
      </c>
      <c r="D3729" t="s">
        <v>721</v>
      </c>
      <c r="E3729" t="s">
        <v>19</v>
      </c>
      <c r="F3729" t="s">
        <v>386</v>
      </c>
      <c r="G3729">
        <v>1</v>
      </c>
      <c r="H3729" s="7">
        <v>115.79</v>
      </c>
      <c r="I3729" t="s">
        <v>46</v>
      </c>
      <c r="J3729" t="s">
        <v>28</v>
      </c>
      <c r="K3729">
        <v>15</v>
      </c>
      <c r="L3729" s="7">
        <f t="shared" si="175"/>
        <v>115.79</v>
      </c>
      <c r="M3729" s="7"/>
      <c r="O3729">
        <f t="shared" si="176"/>
        <v>2</v>
      </c>
      <c r="Q3729" t="s">
        <v>47</v>
      </c>
    </row>
    <row r="3730" spans="1:17" x14ac:dyDescent="0.3">
      <c r="A3730" t="s">
        <v>4853</v>
      </c>
      <c r="B3730" s="6">
        <v>44990</v>
      </c>
      <c r="C3730" s="6" t="str">
        <f t="shared" si="174"/>
        <v>Mar</v>
      </c>
      <c r="D3730" t="s">
        <v>1684</v>
      </c>
      <c r="E3730" t="s">
        <v>19</v>
      </c>
      <c r="F3730" t="s">
        <v>125</v>
      </c>
      <c r="G3730">
        <v>7</v>
      </c>
      <c r="H3730" s="7">
        <v>173.52</v>
      </c>
      <c r="I3730" t="s">
        <v>19</v>
      </c>
      <c r="J3730" t="s">
        <v>28</v>
      </c>
      <c r="K3730">
        <v>15</v>
      </c>
      <c r="L3730" s="7">
        <f t="shared" si="175"/>
        <v>1214.6400000000001</v>
      </c>
      <c r="M3730" s="7"/>
      <c r="O3730">
        <f t="shared" si="176"/>
        <v>2</v>
      </c>
      <c r="Q3730" t="s">
        <v>19</v>
      </c>
    </row>
    <row r="3731" spans="1:17" x14ac:dyDescent="0.3">
      <c r="A3731" t="s">
        <v>4854</v>
      </c>
      <c r="B3731" s="6">
        <v>45207</v>
      </c>
      <c r="C3731" s="6" t="str">
        <f t="shared" si="174"/>
        <v>Oct</v>
      </c>
      <c r="D3731" t="s">
        <v>1605</v>
      </c>
      <c r="E3731" t="s">
        <v>26</v>
      </c>
      <c r="F3731" t="s">
        <v>687</v>
      </c>
      <c r="G3731">
        <v>5</v>
      </c>
      <c r="H3731" s="7">
        <v>252.16</v>
      </c>
      <c r="I3731" t="s">
        <v>46</v>
      </c>
      <c r="J3731" t="s">
        <v>22</v>
      </c>
      <c r="K3731">
        <v>0</v>
      </c>
      <c r="L3731" s="7">
        <f t="shared" si="175"/>
        <v>1260.8</v>
      </c>
      <c r="M3731" s="7"/>
      <c r="O3731">
        <f t="shared" si="176"/>
        <v>2</v>
      </c>
      <c r="Q3731" t="s">
        <v>47</v>
      </c>
    </row>
    <row r="3732" spans="1:17" x14ac:dyDescent="0.3">
      <c r="A3732" t="s">
        <v>4855</v>
      </c>
      <c r="B3732" s="6">
        <v>45265</v>
      </c>
      <c r="C3732" s="6" t="str">
        <f t="shared" si="174"/>
        <v>Dec</v>
      </c>
      <c r="D3732" t="s">
        <v>1660</v>
      </c>
      <c r="E3732" t="s">
        <v>31</v>
      </c>
      <c r="F3732" t="s">
        <v>403</v>
      </c>
      <c r="G3732">
        <v>5</v>
      </c>
      <c r="H3732" s="7">
        <v>264.14999999999998</v>
      </c>
      <c r="I3732" t="s">
        <v>32</v>
      </c>
      <c r="J3732" t="s">
        <v>22</v>
      </c>
      <c r="K3732">
        <v>20</v>
      </c>
      <c r="L3732" s="7">
        <f t="shared" si="175"/>
        <v>1320.75</v>
      </c>
      <c r="M3732" s="7"/>
      <c r="O3732">
        <f t="shared" si="176"/>
        <v>2</v>
      </c>
      <c r="Q3732" t="s">
        <v>33</v>
      </c>
    </row>
    <row r="3733" spans="1:17" x14ac:dyDescent="0.3">
      <c r="A3733" t="s">
        <v>4856</v>
      </c>
      <c r="B3733" s="6">
        <v>45111</v>
      </c>
      <c r="C3733" s="6" t="str">
        <f t="shared" si="174"/>
        <v>Jul</v>
      </c>
      <c r="D3733" t="s">
        <v>574</v>
      </c>
      <c r="E3733" t="s">
        <v>19</v>
      </c>
      <c r="F3733" t="s">
        <v>116</v>
      </c>
      <c r="G3733">
        <v>3</v>
      </c>
      <c r="H3733" s="7">
        <v>106.33</v>
      </c>
      <c r="I3733" t="s">
        <v>46</v>
      </c>
      <c r="J3733" t="s">
        <v>87</v>
      </c>
      <c r="K3733">
        <v>5</v>
      </c>
      <c r="L3733" s="7">
        <f t="shared" si="175"/>
        <v>318.99</v>
      </c>
      <c r="M3733" s="7"/>
      <c r="O3733">
        <f t="shared" si="176"/>
        <v>2</v>
      </c>
      <c r="Q3733" t="s">
        <v>47</v>
      </c>
    </row>
    <row r="3734" spans="1:17" x14ac:dyDescent="0.3">
      <c r="A3734" t="s">
        <v>4857</v>
      </c>
      <c r="B3734" s="6">
        <v>45174</v>
      </c>
      <c r="C3734" s="6" t="str">
        <f t="shared" si="174"/>
        <v>Sep</v>
      </c>
      <c r="D3734" t="s">
        <v>897</v>
      </c>
      <c r="E3734" t="s">
        <v>36</v>
      </c>
      <c r="F3734" t="s">
        <v>201</v>
      </c>
      <c r="G3734">
        <v>7</v>
      </c>
      <c r="H3734" s="7">
        <v>170.74</v>
      </c>
      <c r="I3734" t="s">
        <v>32</v>
      </c>
      <c r="J3734" t="s">
        <v>87</v>
      </c>
      <c r="K3734">
        <v>0</v>
      </c>
      <c r="L3734" s="7">
        <f t="shared" si="175"/>
        <v>1195.18</v>
      </c>
      <c r="M3734" s="7"/>
      <c r="O3734">
        <f t="shared" si="176"/>
        <v>2</v>
      </c>
      <c r="Q3734" t="s">
        <v>33</v>
      </c>
    </row>
    <row r="3735" spans="1:17" x14ac:dyDescent="0.3">
      <c r="A3735" t="s">
        <v>4858</v>
      </c>
      <c r="B3735" s="6">
        <v>45228</v>
      </c>
      <c r="C3735" s="6" t="str">
        <f t="shared" si="174"/>
        <v>Oct</v>
      </c>
      <c r="D3735" t="s">
        <v>3009</v>
      </c>
      <c r="E3735" t="s">
        <v>62</v>
      </c>
      <c r="F3735" t="s">
        <v>466</v>
      </c>
      <c r="G3735">
        <v>1</v>
      </c>
      <c r="H3735" s="7">
        <v>168.5</v>
      </c>
      <c r="I3735" t="s">
        <v>32</v>
      </c>
      <c r="J3735" t="s">
        <v>87</v>
      </c>
      <c r="K3735">
        <v>0</v>
      </c>
      <c r="L3735" s="7">
        <f t="shared" si="175"/>
        <v>168.5</v>
      </c>
      <c r="M3735" s="7"/>
      <c r="O3735">
        <f t="shared" si="176"/>
        <v>2</v>
      </c>
      <c r="Q3735" t="s">
        <v>33</v>
      </c>
    </row>
    <row r="3736" spans="1:17" x14ac:dyDescent="0.3">
      <c r="A3736" t="s">
        <v>4859</v>
      </c>
      <c r="B3736" s="6">
        <v>45170</v>
      </c>
      <c r="C3736" s="6" t="str">
        <f t="shared" si="174"/>
        <v>Sep</v>
      </c>
      <c r="D3736" t="s">
        <v>1975</v>
      </c>
      <c r="E3736" t="s">
        <v>40</v>
      </c>
      <c r="F3736" t="s">
        <v>450</v>
      </c>
      <c r="G3736">
        <v>7</v>
      </c>
      <c r="H3736" s="7">
        <v>14.76</v>
      </c>
      <c r="I3736" t="s">
        <v>32</v>
      </c>
      <c r="J3736" t="s">
        <v>87</v>
      </c>
      <c r="K3736">
        <v>5</v>
      </c>
      <c r="L3736" s="7">
        <f t="shared" si="175"/>
        <v>103.32</v>
      </c>
      <c r="M3736" s="7"/>
      <c r="O3736">
        <f t="shared" si="176"/>
        <v>2</v>
      </c>
      <c r="Q3736" t="s">
        <v>33</v>
      </c>
    </row>
    <row r="3737" spans="1:17" x14ac:dyDescent="0.3">
      <c r="A3737" t="s">
        <v>4860</v>
      </c>
      <c r="B3737" s="6">
        <v>45022</v>
      </c>
      <c r="C3737" s="6" t="str">
        <f t="shared" si="174"/>
        <v>Apr</v>
      </c>
      <c r="D3737" t="s">
        <v>954</v>
      </c>
      <c r="E3737" t="s">
        <v>19</v>
      </c>
      <c r="F3737" t="s">
        <v>359</v>
      </c>
      <c r="G3737">
        <v>5</v>
      </c>
      <c r="H3737" s="7">
        <v>71.92</v>
      </c>
      <c r="I3737" t="s">
        <v>103</v>
      </c>
      <c r="J3737" t="s">
        <v>42</v>
      </c>
      <c r="K3737">
        <v>5</v>
      </c>
      <c r="L3737" s="7">
        <f t="shared" si="175"/>
        <v>359.6</v>
      </c>
      <c r="M3737" s="7"/>
      <c r="O3737">
        <f t="shared" si="176"/>
        <v>2</v>
      </c>
      <c r="Q3737" t="s">
        <v>104</v>
      </c>
    </row>
    <row r="3738" spans="1:17" x14ac:dyDescent="0.3">
      <c r="A3738" t="s">
        <v>4861</v>
      </c>
      <c r="B3738" s="6">
        <v>44951</v>
      </c>
      <c r="C3738" s="6" t="str">
        <f t="shared" si="174"/>
        <v>Jan</v>
      </c>
      <c r="D3738" t="s">
        <v>1022</v>
      </c>
      <c r="E3738" t="s">
        <v>19</v>
      </c>
      <c r="F3738" t="s">
        <v>1038</v>
      </c>
      <c r="G3738">
        <v>1</v>
      </c>
      <c r="H3738" s="7">
        <v>349.12</v>
      </c>
      <c r="I3738" t="s">
        <v>103</v>
      </c>
      <c r="J3738" t="s">
        <v>87</v>
      </c>
      <c r="K3738">
        <v>0</v>
      </c>
      <c r="L3738" s="7">
        <f t="shared" si="175"/>
        <v>349.12</v>
      </c>
      <c r="M3738" s="7"/>
      <c r="O3738">
        <f t="shared" si="176"/>
        <v>2</v>
      </c>
      <c r="Q3738" t="s">
        <v>104</v>
      </c>
    </row>
    <row r="3739" spans="1:17" x14ac:dyDescent="0.3">
      <c r="A3739" t="s">
        <v>4862</v>
      </c>
      <c r="B3739" s="6">
        <v>44957</v>
      </c>
      <c r="C3739" s="6" t="str">
        <f t="shared" si="174"/>
        <v>Jan</v>
      </c>
      <c r="D3739" t="s">
        <v>686</v>
      </c>
      <c r="E3739" t="s">
        <v>19</v>
      </c>
      <c r="F3739" t="s">
        <v>182</v>
      </c>
      <c r="G3739">
        <v>1</v>
      </c>
      <c r="H3739" s="7">
        <v>64.52</v>
      </c>
      <c r="I3739" t="s">
        <v>103</v>
      </c>
      <c r="J3739" t="s">
        <v>22</v>
      </c>
      <c r="K3739">
        <v>15</v>
      </c>
      <c r="L3739" s="7">
        <f t="shared" si="175"/>
        <v>64.52</v>
      </c>
      <c r="M3739" s="7"/>
      <c r="O3739">
        <f t="shared" si="176"/>
        <v>2</v>
      </c>
      <c r="Q3739" t="s">
        <v>104</v>
      </c>
    </row>
    <row r="3740" spans="1:17" x14ac:dyDescent="0.3">
      <c r="A3740" t="s">
        <v>4863</v>
      </c>
      <c r="B3740" s="6">
        <v>45041</v>
      </c>
      <c r="C3740" s="6" t="str">
        <f t="shared" si="174"/>
        <v>Apr</v>
      </c>
      <c r="D3740" t="s">
        <v>172</v>
      </c>
      <c r="E3740" t="s">
        <v>50</v>
      </c>
      <c r="F3740" t="s">
        <v>257</v>
      </c>
      <c r="G3740">
        <v>1</v>
      </c>
      <c r="H3740" s="7">
        <v>119.21</v>
      </c>
      <c r="I3740" t="s">
        <v>19</v>
      </c>
      <c r="J3740" t="s">
        <v>28</v>
      </c>
      <c r="K3740">
        <v>10</v>
      </c>
      <c r="L3740" s="7">
        <f t="shared" si="175"/>
        <v>119.21</v>
      </c>
      <c r="M3740" s="7"/>
      <c r="O3740">
        <f t="shared" si="176"/>
        <v>2</v>
      </c>
      <c r="Q3740" t="s">
        <v>19</v>
      </c>
    </row>
    <row r="3741" spans="1:17" x14ac:dyDescent="0.3">
      <c r="A3741" t="s">
        <v>4864</v>
      </c>
      <c r="B3741" s="6">
        <v>45070</v>
      </c>
      <c r="C3741" s="6" t="str">
        <f t="shared" si="174"/>
        <v>May</v>
      </c>
      <c r="D3741" t="s">
        <v>4193</v>
      </c>
      <c r="E3741" t="s">
        <v>50</v>
      </c>
      <c r="F3741" t="s">
        <v>944</v>
      </c>
      <c r="G3741">
        <v>9</v>
      </c>
      <c r="H3741" s="7">
        <v>178.61</v>
      </c>
      <c r="I3741" t="s">
        <v>46</v>
      </c>
      <c r="J3741" t="s">
        <v>22</v>
      </c>
      <c r="K3741">
        <v>10</v>
      </c>
      <c r="L3741" s="7">
        <f t="shared" si="175"/>
        <v>1607.4900000000002</v>
      </c>
      <c r="M3741" s="7"/>
      <c r="O3741">
        <f t="shared" si="176"/>
        <v>2</v>
      </c>
      <c r="Q3741" t="s">
        <v>47</v>
      </c>
    </row>
    <row r="3742" spans="1:17" x14ac:dyDescent="0.3">
      <c r="A3742" t="s">
        <v>4865</v>
      </c>
      <c r="B3742" s="6">
        <v>45256</v>
      </c>
      <c r="C3742" s="6" t="str">
        <f t="shared" si="174"/>
        <v>Nov</v>
      </c>
      <c r="D3742" t="s">
        <v>4073</v>
      </c>
      <c r="E3742" t="s">
        <v>50</v>
      </c>
      <c r="F3742" t="s">
        <v>154</v>
      </c>
      <c r="G3742">
        <v>3</v>
      </c>
      <c r="H3742" s="7">
        <v>380.08</v>
      </c>
      <c r="I3742" t="s">
        <v>21</v>
      </c>
      <c r="J3742" t="s">
        <v>72</v>
      </c>
      <c r="K3742">
        <v>0</v>
      </c>
      <c r="L3742" s="7">
        <f t="shared" si="175"/>
        <v>1140.24</v>
      </c>
      <c r="M3742" s="7"/>
      <c r="O3742">
        <f t="shared" si="176"/>
        <v>2</v>
      </c>
      <c r="Q3742" t="s">
        <v>23</v>
      </c>
    </row>
    <row r="3743" spans="1:17" x14ac:dyDescent="0.3">
      <c r="A3743" t="s">
        <v>4866</v>
      </c>
      <c r="B3743" s="6">
        <v>45237</v>
      </c>
      <c r="C3743" s="6" t="str">
        <f t="shared" si="174"/>
        <v>Nov</v>
      </c>
      <c r="D3743" t="s">
        <v>3244</v>
      </c>
      <c r="E3743" t="s">
        <v>40</v>
      </c>
      <c r="F3743" t="s">
        <v>398</v>
      </c>
      <c r="G3743">
        <v>5</v>
      </c>
      <c r="H3743" s="7">
        <v>293.29000000000002</v>
      </c>
      <c r="I3743" t="s">
        <v>64</v>
      </c>
      <c r="J3743" t="s">
        <v>87</v>
      </c>
      <c r="K3743">
        <v>15</v>
      </c>
      <c r="L3743" s="7">
        <f t="shared" si="175"/>
        <v>1466.45</v>
      </c>
      <c r="M3743" s="7"/>
      <c r="O3743">
        <f t="shared" si="176"/>
        <v>2</v>
      </c>
      <c r="Q3743" t="s">
        <v>65</v>
      </c>
    </row>
    <row r="3744" spans="1:17" x14ac:dyDescent="0.3">
      <c r="A3744" t="s">
        <v>4867</v>
      </c>
      <c r="B3744" s="6">
        <v>45218</v>
      </c>
      <c r="C3744" s="6" t="str">
        <f t="shared" si="174"/>
        <v>Oct</v>
      </c>
      <c r="D3744" t="s">
        <v>1028</v>
      </c>
      <c r="E3744" t="s">
        <v>50</v>
      </c>
      <c r="F3744" t="s">
        <v>102</v>
      </c>
      <c r="G3744">
        <v>9</v>
      </c>
      <c r="H3744" s="7">
        <v>346.05</v>
      </c>
      <c r="I3744" t="s">
        <v>19</v>
      </c>
      <c r="J3744" t="s">
        <v>19</v>
      </c>
      <c r="K3744">
        <v>5</v>
      </c>
      <c r="L3744" s="7">
        <f t="shared" si="175"/>
        <v>3114.4500000000003</v>
      </c>
      <c r="M3744" s="7"/>
      <c r="O3744">
        <f t="shared" si="176"/>
        <v>4</v>
      </c>
      <c r="Q3744" t="s">
        <v>19</v>
      </c>
    </row>
    <row r="3745" spans="1:17" x14ac:dyDescent="0.3">
      <c r="A3745" t="s">
        <v>4868</v>
      </c>
      <c r="B3745" s="6">
        <v>45107</v>
      </c>
      <c r="C3745" s="6" t="str">
        <f t="shared" si="174"/>
        <v>Jun</v>
      </c>
      <c r="D3745" t="s">
        <v>471</v>
      </c>
      <c r="E3745" t="s">
        <v>40</v>
      </c>
      <c r="F3745" t="s">
        <v>1568</v>
      </c>
      <c r="G3745">
        <v>6</v>
      </c>
      <c r="H3745" s="7">
        <v>285.67</v>
      </c>
      <c r="I3745" t="s">
        <v>46</v>
      </c>
      <c r="J3745" t="s">
        <v>42</v>
      </c>
      <c r="K3745">
        <v>10</v>
      </c>
      <c r="L3745" s="7">
        <f t="shared" si="175"/>
        <v>1714.02</v>
      </c>
      <c r="M3745" s="7"/>
      <c r="O3745">
        <f t="shared" si="176"/>
        <v>2</v>
      </c>
      <c r="Q3745" t="s">
        <v>47</v>
      </c>
    </row>
    <row r="3746" spans="1:17" x14ac:dyDescent="0.3">
      <c r="A3746" t="s">
        <v>4869</v>
      </c>
      <c r="B3746" s="6">
        <v>45046</v>
      </c>
      <c r="C3746" s="6" t="str">
        <f t="shared" si="174"/>
        <v>Apr</v>
      </c>
      <c r="D3746" t="s">
        <v>846</v>
      </c>
      <c r="E3746" t="s">
        <v>19</v>
      </c>
      <c r="F3746" t="s">
        <v>586</v>
      </c>
      <c r="G3746">
        <v>9</v>
      </c>
      <c r="H3746" s="7">
        <v>343.38</v>
      </c>
      <c r="I3746" t="s">
        <v>64</v>
      </c>
      <c r="J3746" t="s">
        <v>42</v>
      </c>
      <c r="K3746">
        <v>0</v>
      </c>
      <c r="L3746" s="7">
        <f t="shared" si="175"/>
        <v>3090.42</v>
      </c>
      <c r="M3746" s="7"/>
      <c r="O3746">
        <f t="shared" si="176"/>
        <v>4</v>
      </c>
      <c r="Q3746" t="s">
        <v>65</v>
      </c>
    </row>
    <row r="3747" spans="1:17" x14ac:dyDescent="0.3">
      <c r="A3747" t="s">
        <v>4870</v>
      </c>
      <c r="B3747" s="6">
        <v>45121</v>
      </c>
      <c r="C3747" s="6" t="str">
        <f t="shared" si="174"/>
        <v>Jul</v>
      </c>
      <c r="D3747" t="s">
        <v>1144</v>
      </c>
      <c r="E3747" t="s">
        <v>19</v>
      </c>
      <c r="F3747" t="s">
        <v>234</v>
      </c>
      <c r="G3747">
        <v>8</v>
      </c>
      <c r="H3747" s="7">
        <v>6.41</v>
      </c>
      <c r="I3747" t="s">
        <v>64</v>
      </c>
      <c r="J3747" t="s">
        <v>72</v>
      </c>
      <c r="K3747">
        <v>20</v>
      </c>
      <c r="L3747" s="7">
        <f t="shared" si="175"/>
        <v>51.28</v>
      </c>
      <c r="M3747" s="7"/>
      <c r="O3747">
        <f t="shared" si="176"/>
        <v>2</v>
      </c>
      <c r="Q3747" t="s">
        <v>65</v>
      </c>
    </row>
    <row r="3748" spans="1:17" x14ac:dyDescent="0.3">
      <c r="A3748" t="s">
        <v>4871</v>
      </c>
      <c r="B3748" s="6">
        <v>45181</v>
      </c>
      <c r="C3748" s="6" t="str">
        <f t="shared" si="174"/>
        <v>Sep</v>
      </c>
      <c r="D3748" t="s">
        <v>1191</v>
      </c>
      <c r="E3748" t="s">
        <v>31</v>
      </c>
      <c r="F3748" t="s">
        <v>151</v>
      </c>
      <c r="G3748">
        <v>8</v>
      </c>
      <c r="H3748" s="7">
        <v>465.79</v>
      </c>
      <c r="I3748" t="s">
        <v>21</v>
      </c>
      <c r="J3748" t="s">
        <v>87</v>
      </c>
      <c r="K3748">
        <v>15</v>
      </c>
      <c r="L3748" s="7">
        <f t="shared" si="175"/>
        <v>3726.32</v>
      </c>
      <c r="M3748" s="7"/>
      <c r="O3748">
        <f t="shared" si="176"/>
        <v>5</v>
      </c>
      <c r="Q3748" t="s">
        <v>23</v>
      </c>
    </row>
    <row r="3749" spans="1:17" x14ac:dyDescent="0.3">
      <c r="A3749" t="s">
        <v>4872</v>
      </c>
      <c r="B3749" s="6">
        <v>45048</v>
      </c>
      <c r="C3749" s="6" t="str">
        <f t="shared" si="174"/>
        <v>May</v>
      </c>
      <c r="D3749" t="s">
        <v>2790</v>
      </c>
      <c r="E3749" t="s">
        <v>50</v>
      </c>
      <c r="F3749" t="s">
        <v>157</v>
      </c>
      <c r="G3749">
        <v>1</v>
      </c>
      <c r="H3749" s="7">
        <v>59.91</v>
      </c>
      <c r="I3749" t="s">
        <v>21</v>
      </c>
      <c r="J3749" t="s">
        <v>28</v>
      </c>
      <c r="K3749">
        <v>20</v>
      </c>
      <c r="L3749" s="7">
        <f t="shared" si="175"/>
        <v>59.91</v>
      </c>
      <c r="M3749" s="7"/>
      <c r="O3749">
        <f t="shared" si="176"/>
        <v>2</v>
      </c>
      <c r="Q3749" t="s">
        <v>23</v>
      </c>
    </row>
    <row r="3750" spans="1:17" x14ac:dyDescent="0.3">
      <c r="A3750" t="s">
        <v>4873</v>
      </c>
      <c r="B3750" s="6">
        <v>45085</v>
      </c>
      <c r="C3750" s="6" t="str">
        <f t="shared" si="174"/>
        <v>Jun</v>
      </c>
      <c r="D3750" t="s">
        <v>1718</v>
      </c>
      <c r="E3750" t="s">
        <v>19</v>
      </c>
      <c r="F3750" t="s">
        <v>378</v>
      </c>
      <c r="G3750">
        <v>9</v>
      </c>
      <c r="H3750" s="7">
        <v>206.09</v>
      </c>
      <c r="I3750" t="s">
        <v>32</v>
      </c>
      <c r="J3750" t="s">
        <v>19</v>
      </c>
      <c r="K3750">
        <v>20</v>
      </c>
      <c r="L3750" s="7">
        <f t="shared" si="175"/>
        <v>1854.81</v>
      </c>
      <c r="M3750" s="7"/>
      <c r="O3750">
        <f t="shared" si="176"/>
        <v>2</v>
      </c>
      <c r="Q3750" t="s">
        <v>33</v>
      </c>
    </row>
    <row r="3751" spans="1:17" x14ac:dyDescent="0.3">
      <c r="A3751" t="s">
        <v>4874</v>
      </c>
      <c r="B3751" s="6">
        <v>45211</v>
      </c>
      <c r="C3751" s="6" t="str">
        <f t="shared" si="174"/>
        <v>Oct</v>
      </c>
      <c r="D3751" t="s">
        <v>2181</v>
      </c>
      <c r="E3751" t="s">
        <v>62</v>
      </c>
      <c r="F3751" t="s">
        <v>94</v>
      </c>
      <c r="G3751">
        <v>6</v>
      </c>
      <c r="H3751" s="7">
        <v>386.66</v>
      </c>
      <c r="I3751" t="s">
        <v>19</v>
      </c>
      <c r="J3751" t="s">
        <v>28</v>
      </c>
      <c r="K3751">
        <v>0</v>
      </c>
      <c r="L3751" s="7">
        <f t="shared" si="175"/>
        <v>2319.96</v>
      </c>
      <c r="M3751" s="7"/>
      <c r="O3751">
        <f t="shared" si="176"/>
        <v>2</v>
      </c>
      <c r="Q3751" t="s">
        <v>19</v>
      </c>
    </row>
    <row r="3752" spans="1:17" x14ac:dyDescent="0.3">
      <c r="A3752" t="s">
        <v>4875</v>
      </c>
      <c r="B3752" s="6">
        <v>45185</v>
      </c>
      <c r="C3752" s="6" t="str">
        <f t="shared" si="174"/>
        <v>Sep</v>
      </c>
      <c r="D3752" t="s">
        <v>4876</v>
      </c>
      <c r="E3752" t="s">
        <v>62</v>
      </c>
      <c r="F3752" t="s">
        <v>415</v>
      </c>
      <c r="G3752">
        <v>9</v>
      </c>
      <c r="H3752" s="7">
        <v>220.44</v>
      </c>
      <c r="I3752" t="s">
        <v>103</v>
      </c>
      <c r="J3752" t="s">
        <v>28</v>
      </c>
      <c r="K3752">
        <v>15</v>
      </c>
      <c r="L3752" s="7">
        <f t="shared" si="175"/>
        <v>1983.96</v>
      </c>
      <c r="M3752" s="7"/>
      <c r="O3752">
        <f t="shared" si="176"/>
        <v>2</v>
      </c>
      <c r="Q3752" t="s">
        <v>104</v>
      </c>
    </row>
    <row r="3753" spans="1:17" x14ac:dyDescent="0.3">
      <c r="A3753" t="s">
        <v>4877</v>
      </c>
      <c r="B3753" s="6">
        <v>45224</v>
      </c>
      <c r="C3753" s="6" t="str">
        <f t="shared" si="174"/>
        <v>Oct</v>
      </c>
      <c r="D3753" t="s">
        <v>1870</v>
      </c>
      <c r="E3753" t="s">
        <v>62</v>
      </c>
      <c r="F3753" t="s">
        <v>480</v>
      </c>
      <c r="G3753">
        <v>3</v>
      </c>
      <c r="H3753" s="7">
        <v>473.69</v>
      </c>
      <c r="I3753" t="s">
        <v>19</v>
      </c>
      <c r="J3753" t="s">
        <v>22</v>
      </c>
      <c r="K3753">
        <v>20</v>
      </c>
      <c r="L3753" s="7">
        <f t="shared" si="175"/>
        <v>1421.07</v>
      </c>
      <c r="M3753" s="7"/>
      <c r="O3753">
        <f t="shared" si="176"/>
        <v>2</v>
      </c>
      <c r="Q3753" t="s">
        <v>19</v>
      </c>
    </row>
    <row r="3754" spans="1:17" x14ac:dyDescent="0.3">
      <c r="A3754" t="s">
        <v>4878</v>
      </c>
      <c r="B3754" s="6">
        <v>45094</v>
      </c>
      <c r="C3754" s="6" t="str">
        <f t="shared" si="174"/>
        <v>Jun</v>
      </c>
      <c r="D3754" t="s">
        <v>1368</v>
      </c>
      <c r="E3754" t="s">
        <v>19</v>
      </c>
      <c r="F3754" t="s">
        <v>188</v>
      </c>
      <c r="G3754">
        <v>3</v>
      </c>
      <c r="H3754" s="7">
        <v>236.46</v>
      </c>
      <c r="I3754" t="s">
        <v>64</v>
      </c>
      <c r="J3754" t="s">
        <v>19</v>
      </c>
      <c r="K3754">
        <v>15</v>
      </c>
      <c r="L3754" s="7">
        <f t="shared" si="175"/>
        <v>709.38</v>
      </c>
      <c r="M3754" s="7"/>
      <c r="O3754">
        <f t="shared" si="176"/>
        <v>2</v>
      </c>
      <c r="Q3754" t="s">
        <v>65</v>
      </c>
    </row>
    <row r="3755" spans="1:17" x14ac:dyDescent="0.3">
      <c r="A3755" t="s">
        <v>4879</v>
      </c>
      <c r="B3755" s="6">
        <v>44964</v>
      </c>
      <c r="C3755" s="6" t="str">
        <f t="shared" si="174"/>
        <v>Feb</v>
      </c>
      <c r="D3755" t="s">
        <v>577</v>
      </c>
      <c r="E3755" t="s">
        <v>40</v>
      </c>
      <c r="F3755" t="s">
        <v>900</v>
      </c>
      <c r="G3755">
        <v>6</v>
      </c>
      <c r="H3755" s="7">
        <v>438.1</v>
      </c>
      <c r="I3755" t="s">
        <v>64</v>
      </c>
      <c r="J3755" t="s">
        <v>19</v>
      </c>
      <c r="K3755">
        <v>10</v>
      </c>
      <c r="L3755" s="7">
        <f t="shared" si="175"/>
        <v>2628.6000000000004</v>
      </c>
      <c r="M3755" s="7"/>
      <c r="O3755">
        <f t="shared" si="176"/>
        <v>3</v>
      </c>
      <c r="Q3755" t="s">
        <v>65</v>
      </c>
    </row>
    <row r="3756" spans="1:17" x14ac:dyDescent="0.3">
      <c r="A3756" t="s">
        <v>4880</v>
      </c>
      <c r="B3756" s="6">
        <v>45166</v>
      </c>
      <c r="C3756" s="6" t="str">
        <f t="shared" si="174"/>
        <v>Aug</v>
      </c>
      <c r="D3756" t="s">
        <v>2228</v>
      </c>
      <c r="E3756" t="s">
        <v>19</v>
      </c>
      <c r="F3756" t="s">
        <v>102</v>
      </c>
      <c r="G3756">
        <v>9</v>
      </c>
      <c r="H3756" s="7">
        <v>406.36</v>
      </c>
      <c r="I3756" t="s">
        <v>19</v>
      </c>
      <c r="J3756" t="s">
        <v>42</v>
      </c>
      <c r="K3756">
        <v>10</v>
      </c>
      <c r="L3756" s="7">
        <f t="shared" si="175"/>
        <v>3657.2400000000002</v>
      </c>
      <c r="M3756" s="7"/>
      <c r="O3756">
        <f t="shared" si="176"/>
        <v>5</v>
      </c>
      <c r="Q3756" t="s">
        <v>19</v>
      </c>
    </row>
    <row r="3757" spans="1:17" x14ac:dyDescent="0.3">
      <c r="A3757" t="s">
        <v>4881</v>
      </c>
      <c r="B3757" s="6">
        <v>45026</v>
      </c>
      <c r="C3757" s="6" t="str">
        <f t="shared" si="174"/>
        <v>Apr</v>
      </c>
      <c r="D3757" t="s">
        <v>1764</v>
      </c>
      <c r="E3757" t="s">
        <v>19</v>
      </c>
      <c r="F3757" t="s">
        <v>27</v>
      </c>
      <c r="G3757">
        <v>7</v>
      </c>
      <c r="H3757" s="7">
        <v>490.59</v>
      </c>
      <c r="I3757" t="s">
        <v>64</v>
      </c>
      <c r="J3757" t="s">
        <v>72</v>
      </c>
      <c r="K3757">
        <v>20</v>
      </c>
      <c r="L3757" s="7">
        <f t="shared" si="175"/>
        <v>3434.1299999999997</v>
      </c>
      <c r="M3757" s="7"/>
      <c r="O3757">
        <f t="shared" si="176"/>
        <v>4</v>
      </c>
      <c r="Q3757" t="s">
        <v>65</v>
      </c>
    </row>
    <row r="3758" spans="1:17" x14ac:dyDescent="0.3">
      <c r="A3758" t="s">
        <v>4882</v>
      </c>
      <c r="B3758" s="6">
        <v>45290</v>
      </c>
      <c r="C3758" s="6" t="str">
        <f t="shared" si="174"/>
        <v>Dec</v>
      </c>
      <c r="D3758" t="s">
        <v>1746</v>
      </c>
      <c r="E3758" t="s">
        <v>62</v>
      </c>
      <c r="F3758" t="s">
        <v>706</v>
      </c>
      <c r="G3758">
        <v>3</v>
      </c>
      <c r="H3758" s="7">
        <v>463.64</v>
      </c>
      <c r="I3758" t="s">
        <v>19</v>
      </c>
      <c r="J3758" t="s">
        <v>87</v>
      </c>
      <c r="K3758">
        <v>20</v>
      </c>
      <c r="L3758" s="7">
        <f t="shared" si="175"/>
        <v>1390.92</v>
      </c>
      <c r="M3758" s="7"/>
      <c r="O3758">
        <f t="shared" si="176"/>
        <v>2</v>
      </c>
      <c r="Q3758" t="s">
        <v>19</v>
      </c>
    </row>
    <row r="3759" spans="1:17" x14ac:dyDescent="0.3">
      <c r="A3759" t="s">
        <v>4883</v>
      </c>
      <c r="B3759" s="6">
        <v>45200</v>
      </c>
      <c r="C3759" s="6" t="str">
        <f t="shared" si="174"/>
        <v>Oct</v>
      </c>
      <c r="D3759" t="s">
        <v>912</v>
      </c>
      <c r="E3759" t="s">
        <v>62</v>
      </c>
      <c r="F3759" t="s">
        <v>1568</v>
      </c>
      <c r="G3759">
        <v>3</v>
      </c>
      <c r="H3759" s="7">
        <v>449.57</v>
      </c>
      <c r="I3759" t="s">
        <v>64</v>
      </c>
      <c r="J3759" t="s">
        <v>42</v>
      </c>
      <c r="K3759">
        <v>15</v>
      </c>
      <c r="L3759" s="7">
        <f t="shared" si="175"/>
        <v>1348.71</v>
      </c>
      <c r="M3759" s="7"/>
      <c r="O3759">
        <f t="shared" si="176"/>
        <v>2</v>
      </c>
      <c r="Q3759" t="s">
        <v>65</v>
      </c>
    </row>
    <row r="3760" spans="1:17" x14ac:dyDescent="0.3">
      <c r="A3760" t="s">
        <v>4884</v>
      </c>
      <c r="B3760" s="6">
        <v>44937</v>
      </c>
      <c r="C3760" s="6" t="str">
        <f t="shared" si="174"/>
        <v>Jan</v>
      </c>
      <c r="D3760" t="s">
        <v>893</v>
      </c>
      <c r="E3760" t="s">
        <v>31</v>
      </c>
      <c r="F3760" t="s">
        <v>732</v>
      </c>
      <c r="G3760">
        <v>2</v>
      </c>
      <c r="H3760" s="7">
        <v>367.14</v>
      </c>
      <c r="I3760" t="s">
        <v>21</v>
      </c>
      <c r="J3760" t="s">
        <v>72</v>
      </c>
      <c r="K3760">
        <v>10</v>
      </c>
      <c r="L3760" s="7">
        <f t="shared" si="175"/>
        <v>734.28</v>
      </c>
      <c r="M3760" s="7"/>
      <c r="O3760">
        <f t="shared" si="176"/>
        <v>2</v>
      </c>
      <c r="Q3760" t="s">
        <v>23</v>
      </c>
    </row>
    <row r="3761" spans="1:17" x14ac:dyDescent="0.3">
      <c r="A3761" t="s">
        <v>4885</v>
      </c>
      <c r="B3761" s="6">
        <v>45020</v>
      </c>
      <c r="C3761" s="6" t="str">
        <f t="shared" si="174"/>
        <v>Apr</v>
      </c>
      <c r="D3761" t="s">
        <v>2569</v>
      </c>
      <c r="E3761" t="s">
        <v>31</v>
      </c>
      <c r="F3761" t="s">
        <v>128</v>
      </c>
      <c r="G3761">
        <v>9</v>
      </c>
      <c r="H3761" s="7">
        <v>186.66</v>
      </c>
      <c r="I3761" t="s">
        <v>32</v>
      </c>
      <c r="J3761" t="s">
        <v>42</v>
      </c>
      <c r="K3761">
        <v>10</v>
      </c>
      <c r="L3761" s="7">
        <f t="shared" si="175"/>
        <v>1679.94</v>
      </c>
      <c r="M3761" s="7"/>
      <c r="O3761">
        <f t="shared" si="176"/>
        <v>2</v>
      </c>
      <c r="Q3761" t="s">
        <v>33</v>
      </c>
    </row>
    <row r="3762" spans="1:17" x14ac:dyDescent="0.3">
      <c r="A3762" t="s">
        <v>4886</v>
      </c>
      <c r="B3762" s="6">
        <v>45008</v>
      </c>
      <c r="C3762" s="6" t="str">
        <f t="shared" si="174"/>
        <v>Mar</v>
      </c>
      <c r="D3762" t="s">
        <v>501</v>
      </c>
      <c r="E3762" t="s">
        <v>31</v>
      </c>
      <c r="F3762" t="s">
        <v>575</v>
      </c>
      <c r="G3762">
        <v>3</v>
      </c>
      <c r="H3762" s="7">
        <v>57.53</v>
      </c>
      <c r="I3762" t="s">
        <v>21</v>
      </c>
      <c r="J3762" t="s">
        <v>42</v>
      </c>
      <c r="K3762">
        <v>20</v>
      </c>
      <c r="L3762" s="7">
        <f t="shared" si="175"/>
        <v>172.59</v>
      </c>
      <c r="M3762" s="7"/>
      <c r="O3762">
        <f t="shared" si="176"/>
        <v>2</v>
      </c>
      <c r="Q3762" t="s">
        <v>23</v>
      </c>
    </row>
    <row r="3763" spans="1:17" x14ac:dyDescent="0.3">
      <c r="A3763" t="s">
        <v>4887</v>
      </c>
      <c r="B3763" s="6">
        <v>45181</v>
      </c>
      <c r="C3763" s="6" t="str">
        <f t="shared" si="174"/>
        <v>Sep</v>
      </c>
      <c r="D3763" t="s">
        <v>1152</v>
      </c>
      <c r="E3763" t="s">
        <v>19</v>
      </c>
      <c r="F3763" t="s">
        <v>642</v>
      </c>
      <c r="G3763">
        <v>5</v>
      </c>
      <c r="H3763" s="7">
        <v>345.88</v>
      </c>
      <c r="I3763" t="s">
        <v>64</v>
      </c>
      <c r="J3763" t="s">
        <v>72</v>
      </c>
      <c r="K3763">
        <v>0</v>
      </c>
      <c r="L3763" s="7">
        <f t="shared" si="175"/>
        <v>1729.4</v>
      </c>
      <c r="M3763" s="7"/>
      <c r="O3763">
        <f t="shared" si="176"/>
        <v>2</v>
      </c>
      <c r="Q3763" t="s">
        <v>65</v>
      </c>
    </row>
    <row r="3764" spans="1:17" x14ac:dyDescent="0.3">
      <c r="A3764" t="s">
        <v>4888</v>
      </c>
      <c r="B3764" s="6">
        <v>45031</v>
      </c>
      <c r="C3764" s="6" t="str">
        <f t="shared" si="174"/>
        <v>Apr</v>
      </c>
      <c r="D3764" t="s">
        <v>717</v>
      </c>
      <c r="E3764" t="s">
        <v>62</v>
      </c>
      <c r="F3764" t="s">
        <v>665</v>
      </c>
      <c r="G3764">
        <v>9</v>
      </c>
      <c r="H3764" s="7">
        <v>489.43</v>
      </c>
      <c r="I3764" t="s">
        <v>21</v>
      </c>
      <c r="J3764" t="s">
        <v>87</v>
      </c>
      <c r="K3764">
        <v>15</v>
      </c>
      <c r="L3764" s="7">
        <f t="shared" si="175"/>
        <v>4404.87</v>
      </c>
      <c r="M3764" s="7"/>
      <c r="O3764">
        <f t="shared" si="176"/>
        <v>5</v>
      </c>
      <c r="Q3764" t="s">
        <v>23</v>
      </c>
    </row>
    <row r="3765" spans="1:17" x14ac:dyDescent="0.3">
      <c r="A3765" t="s">
        <v>4889</v>
      </c>
      <c r="B3765" s="6">
        <v>45259</v>
      </c>
      <c r="C3765" s="6" t="str">
        <f t="shared" si="174"/>
        <v>Nov</v>
      </c>
      <c r="D3765" t="s">
        <v>1705</v>
      </c>
      <c r="E3765" t="s">
        <v>26</v>
      </c>
      <c r="F3765" t="s">
        <v>822</v>
      </c>
      <c r="G3765">
        <v>8</v>
      </c>
      <c r="H3765" s="7">
        <v>364.67</v>
      </c>
      <c r="I3765" t="s">
        <v>46</v>
      </c>
      <c r="J3765" t="s">
        <v>72</v>
      </c>
      <c r="K3765">
        <v>15</v>
      </c>
      <c r="L3765" s="7">
        <f t="shared" si="175"/>
        <v>2917.36</v>
      </c>
      <c r="M3765" s="7"/>
      <c r="O3765">
        <f t="shared" si="176"/>
        <v>3</v>
      </c>
      <c r="Q3765" t="s">
        <v>47</v>
      </c>
    </row>
    <row r="3766" spans="1:17" x14ac:dyDescent="0.3">
      <c r="A3766" t="s">
        <v>4890</v>
      </c>
      <c r="B3766" s="6">
        <v>44976</v>
      </c>
      <c r="C3766" s="6" t="str">
        <f t="shared" si="174"/>
        <v>Feb</v>
      </c>
      <c r="D3766" t="s">
        <v>1975</v>
      </c>
      <c r="E3766" t="s">
        <v>31</v>
      </c>
      <c r="F3766" t="s">
        <v>1023</v>
      </c>
      <c r="G3766">
        <v>2</v>
      </c>
      <c r="H3766" s="7">
        <v>464.72</v>
      </c>
      <c r="I3766" t="s">
        <v>21</v>
      </c>
      <c r="J3766" t="s">
        <v>72</v>
      </c>
      <c r="K3766">
        <v>20</v>
      </c>
      <c r="L3766" s="7">
        <f t="shared" si="175"/>
        <v>929.44</v>
      </c>
      <c r="M3766" s="7"/>
      <c r="O3766">
        <f t="shared" si="176"/>
        <v>2</v>
      </c>
      <c r="Q3766" t="s">
        <v>23</v>
      </c>
    </row>
    <row r="3767" spans="1:17" x14ac:dyDescent="0.3">
      <c r="A3767" t="s">
        <v>4891</v>
      </c>
      <c r="B3767" s="6">
        <v>44999</v>
      </c>
      <c r="C3767" s="6" t="str">
        <f t="shared" si="174"/>
        <v>Mar</v>
      </c>
      <c r="D3767" t="s">
        <v>452</v>
      </c>
      <c r="E3767" t="s">
        <v>40</v>
      </c>
      <c r="F3767" t="s">
        <v>176</v>
      </c>
      <c r="G3767">
        <v>3</v>
      </c>
      <c r="H3767" s="7">
        <v>403.13</v>
      </c>
      <c r="I3767" t="s">
        <v>32</v>
      </c>
      <c r="J3767" t="s">
        <v>22</v>
      </c>
      <c r="K3767">
        <v>10</v>
      </c>
      <c r="L3767" s="7">
        <f t="shared" si="175"/>
        <v>1209.3899999999999</v>
      </c>
      <c r="M3767" s="7"/>
      <c r="O3767">
        <f t="shared" si="176"/>
        <v>2</v>
      </c>
      <c r="Q3767" t="s">
        <v>33</v>
      </c>
    </row>
    <row r="3768" spans="1:17" x14ac:dyDescent="0.3">
      <c r="A3768" t="s">
        <v>4892</v>
      </c>
      <c r="B3768" s="6">
        <v>45031</v>
      </c>
      <c r="C3768" s="6" t="str">
        <f t="shared" si="174"/>
        <v>Apr</v>
      </c>
      <c r="D3768" t="s">
        <v>4011</v>
      </c>
      <c r="E3768" t="s">
        <v>19</v>
      </c>
      <c r="F3768" t="s">
        <v>198</v>
      </c>
      <c r="G3768">
        <v>2</v>
      </c>
      <c r="H3768" s="7">
        <v>85.74</v>
      </c>
      <c r="I3768" t="s">
        <v>64</v>
      </c>
      <c r="J3768" t="s">
        <v>87</v>
      </c>
      <c r="K3768">
        <v>20</v>
      </c>
      <c r="L3768" s="7">
        <f t="shared" si="175"/>
        <v>171.48</v>
      </c>
      <c r="M3768" s="7"/>
      <c r="O3768">
        <f t="shared" si="176"/>
        <v>2</v>
      </c>
      <c r="Q3768" t="s">
        <v>65</v>
      </c>
    </row>
    <row r="3769" spans="1:17" x14ac:dyDescent="0.3">
      <c r="A3769" t="s">
        <v>4893</v>
      </c>
      <c r="B3769" s="6">
        <v>45126</v>
      </c>
      <c r="C3769" s="6" t="str">
        <f t="shared" si="174"/>
        <v>Jul</v>
      </c>
      <c r="D3769" t="s">
        <v>1449</v>
      </c>
      <c r="E3769" t="s">
        <v>50</v>
      </c>
      <c r="F3769" t="s">
        <v>378</v>
      </c>
      <c r="G3769">
        <v>8</v>
      </c>
      <c r="H3769" s="7">
        <v>128.36000000000001</v>
      </c>
      <c r="I3769" t="s">
        <v>21</v>
      </c>
      <c r="J3769" t="s">
        <v>22</v>
      </c>
      <c r="K3769">
        <v>5</v>
      </c>
      <c r="L3769" s="7">
        <f t="shared" si="175"/>
        <v>1026.8800000000001</v>
      </c>
      <c r="M3769" s="7"/>
      <c r="O3769">
        <f t="shared" si="176"/>
        <v>2</v>
      </c>
      <c r="Q3769" t="s">
        <v>23</v>
      </c>
    </row>
    <row r="3770" spans="1:17" x14ac:dyDescent="0.3">
      <c r="A3770" t="s">
        <v>4894</v>
      </c>
      <c r="B3770" s="6">
        <v>45276</v>
      </c>
      <c r="C3770" s="6" t="str">
        <f t="shared" si="174"/>
        <v>Dec</v>
      </c>
      <c r="D3770" t="s">
        <v>1421</v>
      </c>
      <c r="E3770" t="s">
        <v>31</v>
      </c>
      <c r="F3770" t="s">
        <v>415</v>
      </c>
      <c r="G3770">
        <v>6</v>
      </c>
      <c r="H3770" s="7">
        <v>174.22</v>
      </c>
      <c r="I3770" t="s">
        <v>64</v>
      </c>
      <c r="J3770" t="s">
        <v>28</v>
      </c>
      <c r="K3770">
        <v>20</v>
      </c>
      <c r="L3770" s="7">
        <f t="shared" si="175"/>
        <v>1045.32</v>
      </c>
      <c r="M3770" s="7"/>
      <c r="O3770">
        <f t="shared" si="176"/>
        <v>2</v>
      </c>
      <c r="Q3770" t="s">
        <v>65</v>
      </c>
    </row>
    <row r="3771" spans="1:17" x14ac:dyDescent="0.3">
      <c r="A3771" t="s">
        <v>4895</v>
      </c>
      <c r="B3771" s="6">
        <v>45292</v>
      </c>
      <c r="C3771" s="6" t="str">
        <f t="shared" si="174"/>
        <v>Jan</v>
      </c>
      <c r="D3771" t="s">
        <v>1968</v>
      </c>
      <c r="E3771" t="s">
        <v>36</v>
      </c>
      <c r="F3771" t="s">
        <v>1142</v>
      </c>
      <c r="G3771">
        <v>6</v>
      </c>
      <c r="H3771" s="7">
        <v>88.29</v>
      </c>
      <c r="I3771" t="s">
        <v>46</v>
      </c>
      <c r="J3771" t="s">
        <v>19</v>
      </c>
      <c r="K3771">
        <v>10</v>
      </c>
      <c r="L3771" s="7">
        <f t="shared" si="175"/>
        <v>529.74</v>
      </c>
      <c r="M3771" s="7"/>
      <c r="O3771">
        <f t="shared" si="176"/>
        <v>2</v>
      </c>
      <c r="Q3771" t="s">
        <v>47</v>
      </c>
    </row>
    <row r="3772" spans="1:17" x14ac:dyDescent="0.3">
      <c r="A3772" t="s">
        <v>4896</v>
      </c>
      <c r="B3772" s="6">
        <v>45229</v>
      </c>
      <c r="C3772" s="6" t="str">
        <f t="shared" si="174"/>
        <v>Oct</v>
      </c>
      <c r="D3772" t="s">
        <v>411</v>
      </c>
      <c r="E3772" t="s">
        <v>62</v>
      </c>
      <c r="F3772" t="s">
        <v>406</v>
      </c>
      <c r="G3772">
        <v>9</v>
      </c>
      <c r="H3772" s="7">
        <v>292.92</v>
      </c>
      <c r="I3772" t="s">
        <v>21</v>
      </c>
      <c r="J3772" t="s">
        <v>72</v>
      </c>
      <c r="K3772">
        <v>10</v>
      </c>
      <c r="L3772" s="7">
        <f t="shared" si="175"/>
        <v>2636.28</v>
      </c>
      <c r="M3772" s="7"/>
      <c r="O3772">
        <f t="shared" si="176"/>
        <v>3</v>
      </c>
      <c r="Q3772" t="s">
        <v>23</v>
      </c>
    </row>
    <row r="3773" spans="1:17" x14ac:dyDescent="0.3">
      <c r="A3773" t="s">
        <v>4897</v>
      </c>
      <c r="B3773" s="6">
        <v>45008</v>
      </c>
      <c r="C3773" s="6" t="str">
        <f t="shared" si="174"/>
        <v>Mar</v>
      </c>
      <c r="D3773" t="s">
        <v>626</v>
      </c>
      <c r="E3773" t="s">
        <v>31</v>
      </c>
      <c r="F3773" t="s">
        <v>369</v>
      </c>
      <c r="G3773">
        <v>8</v>
      </c>
      <c r="H3773" s="7">
        <v>487.85</v>
      </c>
      <c r="I3773" t="s">
        <v>19</v>
      </c>
      <c r="J3773" t="s">
        <v>72</v>
      </c>
      <c r="K3773">
        <v>5</v>
      </c>
      <c r="L3773" s="7">
        <f t="shared" si="175"/>
        <v>3902.8</v>
      </c>
      <c r="M3773" s="7"/>
      <c r="O3773">
        <f t="shared" si="176"/>
        <v>5</v>
      </c>
      <c r="Q3773" t="s">
        <v>19</v>
      </c>
    </row>
    <row r="3774" spans="1:17" x14ac:dyDescent="0.3">
      <c r="A3774" t="s">
        <v>4898</v>
      </c>
      <c r="B3774" s="6">
        <v>45154</v>
      </c>
      <c r="C3774" s="6" t="str">
        <f t="shared" si="174"/>
        <v>Aug</v>
      </c>
      <c r="D3774" t="s">
        <v>275</v>
      </c>
      <c r="E3774" t="s">
        <v>62</v>
      </c>
      <c r="F3774" t="s">
        <v>488</v>
      </c>
      <c r="G3774">
        <v>4</v>
      </c>
      <c r="H3774" s="7">
        <v>381.92</v>
      </c>
      <c r="I3774" t="s">
        <v>19</v>
      </c>
      <c r="J3774" t="s">
        <v>28</v>
      </c>
      <c r="K3774">
        <v>10</v>
      </c>
      <c r="L3774" s="7">
        <f t="shared" si="175"/>
        <v>1527.68</v>
      </c>
      <c r="M3774" s="7"/>
      <c r="O3774">
        <f t="shared" si="176"/>
        <v>2</v>
      </c>
      <c r="Q3774" t="s">
        <v>19</v>
      </c>
    </row>
    <row r="3775" spans="1:17" x14ac:dyDescent="0.3">
      <c r="A3775" t="s">
        <v>4899</v>
      </c>
      <c r="B3775" s="6">
        <v>45124</v>
      </c>
      <c r="C3775" s="6" t="str">
        <f t="shared" si="174"/>
        <v>Jul</v>
      </c>
      <c r="D3775" t="s">
        <v>4459</v>
      </c>
      <c r="E3775" t="s">
        <v>26</v>
      </c>
      <c r="F3775" t="s">
        <v>99</v>
      </c>
      <c r="G3775">
        <v>4</v>
      </c>
      <c r="H3775" s="7">
        <v>214.58</v>
      </c>
      <c r="I3775" t="s">
        <v>64</v>
      </c>
      <c r="J3775" t="s">
        <v>28</v>
      </c>
      <c r="K3775">
        <v>10</v>
      </c>
      <c r="L3775" s="7">
        <f t="shared" si="175"/>
        <v>858.32</v>
      </c>
      <c r="M3775" s="7"/>
      <c r="O3775">
        <f t="shared" si="176"/>
        <v>2</v>
      </c>
      <c r="Q3775" t="s">
        <v>65</v>
      </c>
    </row>
    <row r="3776" spans="1:17" x14ac:dyDescent="0.3">
      <c r="A3776" t="s">
        <v>4900</v>
      </c>
      <c r="B3776" s="6">
        <v>44993</v>
      </c>
      <c r="C3776" s="6" t="str">
        <f t="shared" si="174"/>
        <v>Mar</v>
      </c>
      <c r="D3776" t="s">
        <v>3142</v>
      </c>
      <c r="E3776" t="s">
        <v>31</v>
      </c>
      <c r="F3776" t="s">
        <v>2185</v>
      </c>
      <c r="G3776">
        <v>9</v>
      </c>
      <c r="H3776" s="7">
        <v>7.23</v>
      </c>
      <c r="I3776" t="s">
        <v>103</v>
      </c>
      <c r="J3776" t="s">
        <v>28</v>
      </c>
      <c r="K3776">
        <v>0</v>
      </c>
      <c r="L3776" s="7">
        <f t="shared" si="175"/>
        <v>65.070000000000007</v>
      </c>
      <c r="M3776" s="7"/>
      <c r="O3776">
        <f t="shared" si="176"/>
        <v>2</v>
      </c>
      <c r="Q3776" t="s">
        <v>104</v>
      </c>
    </row>
    <row r="3777" spans="1:17" x14ac:dyDescent="0.3">
      <c r="A3777" t="s">
        <v>4901</v>
      </c>
      <c r="B3777" s="6">
        <v>45117</v>
      </c>
      <c r="C3777" s="6" t="str">
        <f t="shared" si="174"/>
        <v>Jul</v>
      </c>
      <c r="D3777" t="s">
        <v>400</v>
      </c>
      <c r="E3777" t="s">
        <v>31</v>
      </c>
      <c r="F3777" t="s">
        <v>833</v>
      </c>
      <c r="G3777">
        <v>1</v>
      </c>
      <c r="H3777" s="7">
        <v>160.07</v>
      </c>
      <c r="I3777" t="s">
        <v>46</v>
      </c>
      <c r="J3777" t="s">
        <v>19</v>
      </c>
      <c r="K3777">
        <v>15</v>
      </c>
      <c r="L3777" s="7">
        <f t="shared" si="175"/>
        <v>160.07</v>
      </c>
      <c r="M3777" s="7"/>
      <c r="O3777">
        <f t="shared" si="176"/>
        <v>2</v>
      </c>
      <c r="Q3777" t="s">
        <v>47</v>
      </c>
    </row>
    <row r="3778" spans="1:17" x14ac:dyDescent="0.3">
      <c r="A3778" t="s">
        <v>4902</v>
      </c>
      <c r="B3778" s="6">
        <v>45001</v>
      </c>
      <c r="C3778" s="6" t="str">
        <f t="shared" si="174"/>
        <v>Mar</v>
      </c>
      <c r="D3778" t="s">
        <v>2094</v>
      </c>
      <c r="E3778" t="s">
        <v>40</v>
      </c>
      <c r="F3778" t="s">
        <v>450</v>
      </c>
      <c r="G3778">
        <v>2</v>
      </c>
      <c r="H3778" s="7">
        <v>265.75</v>
      </c>
      <c r="I3778" t="s">
        <v>103</v>
      </c>
      <c r="J3778" t="s">
        <v>22</v>
      </c>
      <c r="K3778">
        <v>10</v>
      </c>
      <c r="L3778" s="7">
        <f t="shared" si="175"/>
        <v>531.5</v>
      </c>
      <c r="M3778" s="7"/>
      <c r="O3778">
        <f t="shared" si="176"/>
        <v>2</v>
      </c>
      <c r="Q3778" t="s">
        <v>104</v>
      </c>
    </row>
    <row r="3779" spans="1:17" x14ac:dyDescent="0.3">
      <c r="A3779" t="s">
        <v>4903</v>
      </c>
      <c r="B3779" s="6">
        <v>44964</v>
      </c>
      <c r="C3779" s="6" t="str">
        <f t="shared" ref="C3779:C3842" si="177">TEXT(B3779,"MMM")</f>
        <v>Feb</v>
      </c>
      <c r="D3779" t="s">
        <v>101</v>
      </c>
      <c r="E3779" t="s">
        <v>36</v>
      </c>
      <c r="F3779" t="s">
        <v>125</v>
      </c>
      <c r="G3779">
        <v>2</v>
      </c>
      <c r="H3779" s="7">
        <v>165.5</v>
      </c>
      <c r="I3779" t="s">
        <v>32</v>
      </c>
      <c r="J3779" t="s">
        <v>28</v>
      </c>
      <c r="K3779">
        <v>15</v>
      </c>
      <c r="L3779" s="7">
        <f t="shared" ref="L3779:L3842" si="178">G3779*H3779</f>
        <v>331</v>
      </c>
      <c r="M3779" s="7"/>
      <c r="O3779">
        <f t="shared" si="176"/>
        <v>2</v>
      </c>
      <c r="Q3779" t="s">
        <v>33</v>
      </c>
    </row>
    <row r="3780" spans="1:17" x14ac:dyDescent="0.3">
      <c r="A3780" t="s">
        <v>4904</v>
      </c>
      <c r="B3780" s="6">
        <v>45277</v>
      </c>
      <c r="C3780" s="6" t="str">
        <f t="shared" si="177"/>
        <v>Dec</v>
      </c>
      <c r="D3780" t="s">
        <v>3830</v>
      </c>
      <c r="E3780" t="s">
        <v>50</v>
      </c>
      <c r="F3780" t="s">
        <v>344</v>
      </c>
      <c r="G3780">
        <v>6</v>
      </c>
      <c r="H3780" s="7">
        <v>59.96</v>
      </c>
      <c r="I3780" t="s">
        <v>19</v>
      </c>
      <c r="J3780" t="s">
        <v>72</v>
      </c>
      <c r="K3780">
        <v>10</v>
      </c>
      <c r="L3780" s="7">
        <f t="shared" si="178"/>
        <v>359.76</v>
      </c>
      <c r="M3780" s="7"/>
      <c r="O3780">
        <f t="shared" ref="O3780:O3843" si="179">IF(L3780&gt;3500,5,IF(L3780&gt;3000,4,IF(L3780&gt;2500,3,IF(L3780&gt;2000,2,IF(L3780&gt;1000,2,2)))))</f>
        <v>2</v>
      </c>
      <c r="Q3780" t="s">
        <v>19</v>
      </c>
    </row>
    <row r="3781" spans="1:17" x14ac:dyDescent="0.3">
      <c r="A3781" t="s">
        <v>4905</v>
      </c>
      <c r="B3781" s="6">
        <v>45276</v>
      </c>
      <c r="C3781" s="6" t="str">
        <f t="shared" si="177"/>
        <v>Dec</v>
      </c>
      <c r="D3781" t="s">
        <v>1426</v>
      </c>
      <c r="E3781" t="s">
        <v>62</v>
      </c>
      <c r="F3781" t="s">
        <v>37</v>
      </c>
      <c r="G3781">
        <v>4</v>
      </c>
      <c r="H3781" s="7">
        <v>224.17</v>
      </c>
      <c r="I3781" t="s">
        <v>19</v>
      </c>
      <c r="J3781" t="s">
        <v>28</v>
      </c>
      <c r="K3781">
        <v>20</v>
      </c>
      <c r="L3781" s="7">
        <f t="shared" si="178"/>
        <v>896.68</v>
      </c>
      <c r="M3781" s="7"/>
      <c r="O3781">
        <f t="shared" si="179"/>
        <v>2</v>
      </c>
      <c r="Q3781" t="s">
        <v>19</v>
      </c>
    </row>
    <row r="3782" spans="1:17" x14ac:dyDescent="0.3">
      <c r="A3782" t="s">
        <v>4906</v>
      </c>
      <c r="B3782" s="6">
        <v>45276</v>
      </c>
      <c r="C3782" s="6" t="str">
        <f t="shared" si="177"/>
        <v>Dec</v>
      </c>
      <c r="D3782" t="s">
        <v>385</v>
      </c>
      <c r="E3782" t="s">
        <v>31</v>
      </c>
      <c r="F3782" t="s">
        <v>800</v>
      </c>
      <c r="G3782">
        <v>3</v>
      </c>
      <c r="H3782" s="7">
        <v>130.36000000000001</v>
      </c>
      <c r="I3782" t="s">
        <v>32</v>
      </c>
      <c r="J3782" t="s">
        <v>87</v>
      </c>
      <c r="K3782">
        <v>0</v>
      </c>
      <c r="L3782" s="7">
        <f t="shared" si="178"/>
        <v>391.08000000000004</v>
      </c>
      <c r="M3782" s="7"/>
      <c r="O3782">
        <f t="shared" si="179"/>
        <v>2</v>
      </c>
      <c r="Q3782" t="s">
        <v>33</v>
      </c>
    </row>
    <row r="3783" spans="1:17" x14ac:dyDescent="0.3">
      <c r="A3783" t="s">
        <v>4907</v>
      </c>
      <c r="B3783" s="6">
        <v>45163</v>
      </c>
      <c r="C3783" s="6" t="str">
        <f t="shared" si="177"/>
        <v>Aug</v>
      </c>
      <c r="D3783" t="s">
        <v>4908</v>
      </c>
      <c r="E3783" t="s">
        <v>50</v>
      </c>
      <c r="F3783" t="s">
        <v>1693</v>
      </c>
      <c r="G3783">
        <v>3</v>
      </c>
      <c r="H3783" s="7">
        <v>455.07</v>
      </c>
      <c r="I3783" t="s">
        <v>103</v>
      </c>
      <c r="J3783" t="s">
        <v>19</v>
      </c>
      <c r="K3783">
        <v>5</v>
      </c>
      <c r="L3783" s="7">
        <f t="shared" si="178"/>
        <v>1365.21</v>
      </c>
      <c r="M3783" s="7"/>
      <c r="O3783">
        <f t="shared" si="179"/>
        <v>2</v>
      </c>
      <c r="Q3783" t="s">
        <v>104</v>
      </c>
    </row>
    <row r="3784" spans="1:17" x14ac:dyDescent="0.3">
      <c r="A3784" t="s">
        <v>4909</v>
      </c>
      <c r="B3784" s="6">
        <v>45010</v>
      </c>
      <c r="C3784" s="6" t="str">
        <f t="shared" si="177"/>
        <v>Mar</v>
      </c>
      <c r="D3784" t="s">
        <v>192</v>
      </c>
      <c r="E3784" t="s">
        <v>26</v>
      </c>
      <c r="F3784" t="s">
        <v>90</v>
      </c>
      <c r="G3784">
        <v>3</v>
      </c>
      <c r="H3784" s="7">
        <v>55.37</v>
      </c>
      <c r="I3784" t="s">
        <v>32</v>
      </c>
      <c r="J3784" t="s">
        <v>72</v>
      </c>
      <c r="K3784">
        <v>10</v>
      </c>
      <c r="L3784" s="7">
        <f t="shared" si="178"/>
        <v>166.10999999999999</v>
      </c>
      <c r="M3784" s="7"/>
      <c r="O3784">
        <f t="shared" si="179"/>
        <v>2</v>
      </c>
      <c r="Q3784" t="s">
        <v>33</v>
      </c>
    </row>
    <row r="3785" spans="1:17" x14ac:dyDescent="0.3">
      <c r="A3785" t="s">
        <v>4910</v>
      </c>
      <c r="B3785" s="6">
        <v>45097</v>
      </c>
      <c r="C3785" s="6" t="str">
        <f t="shared" si="177"/>
        <v>Jun</v>
      </c>
      <c r="D3785" t="s">
        <v>809</v>
      </c>
      <c r="E3785" t="s">
        <v>26</v>
      </c>
      <c r="F3785" t="s">
        <v>684</v>
      </c>
      <c r="G3785">
        <v>6</v>
      </c>
      <c r="H3785" s="7">
        <v>29.33</v>
      </c>
      <c r="I3785" t="s">
        <v>103</v>
      </c>
      <c r="J3785" t="s">
        <v>28</v>
      </c>
      <c r="K3785">
        <v>0</v>
      </c>
      <c r="L3785" s="7">
        <f t="shared" si="178"/>
        <v>175.98</v>
      </c>
      <c r="M3785" s="7"/>
      <c r="O3785">
        <f t="shared" si="179"/>
        <v>2</v>
      </c>
      <c r="Q3785" t="s">
        <v>104</v>
      </c>
    </row>
    <row r="3786" spans="1:17" x14ac:dyDescent="0.3">
      <c r="A3786" t="s">
        <v>4911</v>
      </c>
      <c r="B3786" s="6">
        <v>44986</v>
      </c>
      <c r="C3786" s="6" t="str">
        <f t="shared" si="177"/>
        <v>Mar</v>
      </c>
      <c r="D3786" t="s">
        <v>3013</v>
      </c>
      <c r="E3786" t="s">
        <v>40</v>
      </c>
      <c r="F3786" t="s">
        <v>856</v>
      </c>
      <c r="G3786">
        <v>8</v>
      </c>
      <c r="H3786" s="7">
        <v>7.63</v>
      </c>
      <c r="I3786" t="s">
        <v>32</v>
      </c>
      <c r="J3786" t="s">
        <v>87</v>
      </c>
      <c r="K3786">
        <v>0</v>
      </c>
      <c r="L3786" s="7">
        <f t="shared" si="178"/>
        <v>61.04</v>
      </c>
      <c r="M3786" s="7"/>
      <c r="O3786">
        <f t="shared" si="179"/>
        <v>2</v>
      </c>
      <c r="Q3786" t="s">
        <v>33</v>
      </c>
    </row>
    <row r="3787" spans="1:17" x14ac:dyDescent="0.3">
      <c r="A3787" t="s">
        <v>4912</v>
      </c>
      <c r="B3787" s="6">
        <v>45081</v>
      </c>
      <c r="C3787" s="6" t="str">
        <f t="shared" si="177"/>
        <v>Jun</v>
      </c>
      <c r="D3787" t="s">
        <v>960</v>
      </c>
      <c r="E3787" t="s">
        <v>62</v>
      </c>
      <c r="F3787" t="s">
        <v>469</v>
      </c>
      <c r="G3787">
        <v>7</v>
      </c>
      <c r="H3787" s="7">
        <v>167.39</v>
      </c>
      <c r="I3787" t="s">
        <v>103</v>
      </c>
      <c r="J3787" t="s">
        <v>87</v>
      </c>
      <c r="K3787">
        <v>5</v>
      </c>
      <c r="L3787" s="7">
        <f t="shared" si="178"/>
        <v>1171.73</v>
      </c>
      <c r="M3787" s="7"/>
      <c r="O3787">
        <f t="shared" si="179"/>
        <v>2</v>
      </c>
      <c r="Q3787" t="s">
        <v>104</v>
      </c>
    </row>
    <row r="3788" spans="1:17" x14ac:dyDescent="0.3">
      <c r="A3788" t="s">
        <v>4913</v>
      </c>
      <c r="B3788" s="6">
        <v>45027</v>
      </c>
      <c r="C3788" s="6" t="str">
        <f t="shared" si="177"/>
        <v>Apr</v>
      </c>
      <c r="D3788" t="s">
        <v>2277</v>
      </c>
      <c r="E3788" t="s">
        <v>36</v>
      </c>
      <c r="F3788" t="s">
        <v>234</v>
      </c>
      <c r="G3788">
        <v>4</v>
      </c>
      <c r="H3788" s="7">
        <v>331.89</v>
      </c>
      <c r="I3788" t="s">
        <v>32</v>
      </c>
      <c r="J3788" t="s">
        <v>28</v>
      </c>
      <c r="K3788">
        <v>5</v>
      </c>
      <c r="L3788" s="7">
        <f t="shared" si="178"/>
        <v>1327.56</v>
      </c>
      <c r="M3788" s="7"/>
      <c r="O3788">
        <f t="shared" si="179"/>
        <v>2</v>
      </c>
      <c r="Q3788" t="s">
        <v>33</v>
      </c>
    </row>
    <row r="3789" spans="1:17" x14ac:dyDescent="0.3">
      <c r="A3789" t="s">
        <v>4914</v>
      </c>
      <c r="B3789" s="6">
        <v>45037</v>
      </c>
      <c r="C3789" s="6" t="str">
        <f t="shared" si="177"/>
        <v>Apr</v>
      </c>
      <c r="D3789" t="s">
        <v>368</v>
      </c>
      <c r="E3789" t="s">
        <v>26</v>
      </c>
      <c r="F3789" t="s">
        <v>800</v>
      </c>
      <c r="G3789">
        <v>4</v>
      </c>
      <c r="H3789" s="7">
        <v>366.55</v>
      </c>
      <c r="I3789" t="s">
        <v>19</v>
      </c>
      <c r="J3789" t="s">
        <v>22</v>
      </c>
      <c r="K3789">
        <v>15</v>
      </c>
      <c r="L3789" s="7">
        <f t="shared" si="178"/>
        <v>1466.2</v>
      </c>
      <c r="M3789" s="7"/>
      <c r="O3789">
        <f t="shared" si="179"/>
        <v>2</v>
      </c>
      <c r="Q3789" t="s">
        <v>19</v>
      </c>
    </row>
    <row r="3790" spans="1:17" x14ac:dyDescent="0.3">
      <c r="A3790" t="s">
        <v>4915</v>
      </c>
      <c r="B3790" s="6">
        <v>45101</v>
      </c>
      <c r="C3790" s="6" t="str">
        <f t="shared" si="177"/>
        <v>Jun</v>
      </c>
      <c r="D3790" t="s">
        <v>3502</v>
      </c>
      <c r="E3790" t="s">
        <v>31</v>
      </c>
      <c r="F3790" t="s">
        <v>313</v>
      </c>
      <c r="G3790">
        <v>2</v>
      </c>
      <c r="H3790" s="7">
        <v>229.36</v>
      </c>
      <c r="I3790" t="s">
        <v>32</v>
      </c>
      <c r="J3790" t="s">
        <v>87</v>
      </c>
      <c r="K3790">
        <v>20</v>
      </c>
      <c r="L3790" s="7">
        <f t="shared" si="178"/>
        <v>458.72</v>
      </c>
      <c r="M3790" s="7"/>
      <c r="O3790">
        <f t="shared" si="179"/>
        <v>2</v>
      </c>
      <c r="Q3790" t="s">
        <v>33</v>
      </c>
    </row>
    <row r="3791" spans="1:17" x14ac:dyDescent="0.3">
      <c r="A3791" t="s">
        <v>4916</v>
      </c>
      <c r="B3791" s="6">
        <v>44941</v>
      </c>
      <c r="C3791" s="6" t="str">
        <f t="shared" si="177"/>
        <v>Jan</v>
      </c>
      <c r="D3791" t="s">
        <v>262</v>
      </c>
      <c r="E3791" t="s">
        <v>40</v>
      </c>
      <c r="F3791" t="s">
        <v>944</v>
      </c>
      <c r="G3791">
        <v>1</v>
      </c>
      <c r="H3791" s="7">
        <v>343.74</v>
      </c>
      <c r="I3791" t="s">
        <v>19</v>
      </c>
      <c r="J3791" t="s">
        <v>72</v>
      </c>
      <c r="K3791">
        <v>10</v>
      </c>
      <c r="L3791" s="7">
        <f t="shared" si="178"/>
        <v>343.74</v>
      </c>
      <c r="M3791" s="7"/>
      <c r="O3791">
        <f t="shared" si="179"/>
        <v>2</v>
      </c>
      <c r="Q3791" t="s">
        <v>19</v>
      </c>
    </row>
    <row r="3792" spans="1:17" x14ac:dyDescent="0.3">
      <c r="A3792" t="s">
        <v>4917</v>
      </c>
      <c r="B3792" s="6">
        <v>45155</v>
      </c>
      <c r="C3792" s="6" t="str">
        <f t="shared" si="177"/>
        <v>Aug</v>
      </c>
      <c r="D3792" t="s">
        <v>1083</v>
      </c>
      <c r="E3792" t="s">
        <v>26</v>
      </c>
      <c r="F3792" t="s">
        <v>51</v>
      </c>
      <c r="G3792">
        <v>9</v>
      </c>
      <c r="H3792" s="7">
        <v>183.16</v>
      </c>
      <c r="I3792" t="s">
        <v>32</v>
      </c>
      <c r="J3792" t="s">
        <v>22</v>
      </c>
      <c r="K3792">
        <v>20</v>
      </c>
      <c r="L3792" s="7">
        <f t="shared" si="178"/>
        <v>1648.44</v>
      </c>
      <c r="M3792" s="7"/>
      <c r="O3792">
        <f t="shared" si="179"/>
        <v>2</v>
      </c>
      <c r="Q3792" t="s">
        <v>33</v>
      </c>
    </row>
    <row r="3793" spans="1:17" x14ac:dyDescent="0.3">
      <c r="A3793" t="s">
        <v>4918</v>
      </c>
      <c r="B3793" s="6">
        <v>45175</v>
      </c>
      <c r="C3793" s="6" t="str">
        <f t="shared" si="177"/>
        <v>Sep</v>
      </c>
      <c r="D3793" t="s">
        <v>80</v>
      </c>
      <c r="E3793" t="s">
        <v>26</v>
      </c>
      <c r="F3793" t="s">
        <v>556</v>
      </c>
      <c r="G3793">
        <v>2</v>
      </c>
      <c r="H3793" s="7">
        <v>252.16</v>
      </c>
      <c r="I3793" t="s">
        <v>46</v>
      </c>
      <c r="J3793" t="s">
        <v>87</v>
      </c>
      <c r="K3793">
        <v>10</v>
      </c>
      <c r="L3793" s="7">
        <f t="shared" si="178"/>
        <v>504.32</v>
      </c>
      <c r="M3793" s="7"/>
      <c r="O3793">
        <f t="shared" si="179"/>
        <v>2</v>
      </c>
      <c r="Q3793" t="s">
        <v>47</v>
      </c>
    </row>
    <row r="3794" spans="1:17" x14ac:dyDescent="0.3">
      <c r="A3794" t="s">
        <v>4919</v>
      </c>
      <c r="B3794" s="6">
        <v>45013</v>
      </c>
      <c r="C3794" s="6" t="str">
        <f t="shared" si="177"/>
        <v>Mar</v>
      </c>
      <c r="D3794" t="s">
        <v>1048</v>
      </c>
      <c r="E3794" t="s">
        <v>36</v>
      </c>
      <c r="F3794" t="s">
        <v>90</v>
      </c>
      <c r="G3794">
        <v>8</v>
      </c>
      <c r="H3794" s="7">
        <v>25.1</v>
      </c>
      <c r="I3794" t="s">
        <v>32</v>
      </c>
      <c r="J3794" t="s">
        <v>87</v>
      </c>
      <c r="K3794">
        <v>0</v>
      </c>
      <c r="L3794" s="7">
        <f t="shared" si="178"/>
        <v>200.8</v>
      </c>
      <c r="M3794" s="7"/>
      <c r="O3794">
        <f t="shared" si="179"/>
        <v>2</v>
      </c>
      <c r="Q3794" t="s">
        <v>33</v>
      </c>
    </row>
    <row r="3795" spans="1:17" x14ac:dyDescent="0.3">
      <c r="A3795" t="s">
        <v>4920</v>
      </c>
      <c r="B3795" s="6">
        <v>45169</v>
      </c>
      <c r="C3795" s="6" t="str">
        <f t="shared" si="177"/>
        <v>Aug</v>
      </c>
      <c r="D3795" t="s">
        <v>3049</v>
      </c>
      <c r="E3795" t="s">
        <v>26</v>
      </c>
      <c r="F3795" t="s">
        <v>94</v>
      </c>
      <c r="G3795">
        <v>9</v>
      </c>
      <c r="H3795" s="7">
        <v>198.42</v>
      </c>
      <c r="I3795" t="s">
        <v>46</v>
      </c>
      <c r="J3795" t="s">
        <v>19</v>
      </c>
      <c r="K3795">
        <v>10</v>
      </c>
      <c r="L3795" s="7">
        <f t="shared" si="178"/>
        <v>1785.78</v>
      </c>
      <c r="M3795" s="7"/>
      <c r="O3795">
        <f t="shared" si="179"/>
        <v>2</v>
      </c>
      <c r="Q3795" t="s">
        <v>47</v>
      </c>
    </row>
    <row r="3796" spans="1:17" x14ac:dyDescent="0.3">
      <c r="A3796" t="s">
        <v>4921</v>
      </c>
      <c r="B3796" s="6">
        <v>44969</v>
      </c>
      <c r="C3796" s="6" t="str">
        <f t="shared" si="177"/>
        <v>Feb</v>
      </c>
      <c r="D3796" t="s">
        <v>2076</v>
      </c>
      <c r="E3796" t="s">
        <v>19</v>
      </c>
      <c r="F3796" t="s">
        <v>1325</v>
      </c>
      <c r="G3796">
        <v>4</v>
      </c>
      <c r="H3796" s="7">
        <v>396.47</v>
      </c>
      <c r="I3796" t="s">
        <v>21</v>
      </c>
      <c r="J3796" t="s">
        <v>22</v>
      </c>
      <c r="K3796">
        <v>10</v>
      </c>
      <c r="L3796" s="7">
        <f t="shared" si="178"/>
        <v>1585.88</v>
      </c>
      <c r="M3796" s="7"/>
      <c r="O3796">
        <f t="shared" si="179"/>
        <v>2</v>
      </c>
      <c r="Q3796" t="s">
        <v>23</v>
      </c>
    </row>
    <row r="3797" spans="1:17" x14ac:dyDescent="0.3">
      <c r="A3797" t="s">
        <v>4922</v>
      </c>
      <c r="B3797" s="6">
        <v>44929</v>
      </c>
      <c r="C3797" s="6" t="str">
        <f t="shared" si="177"/>
        <v>Jan</v>
      </c>
      <c r="D3797" t="s">
        <v>2545</v>
      </c>
      <c r="E3797" t="s">
        <v>19</v>
      </c>
      <c r="F3797" t="s">
        <v>646</v>
      </c>
      <c r="G3797">
        <v>8</v>
      </c>
      <c r="H3797" s="7">
        <v>402.49</v>
      </c>
      <c r="I3797" t="s">
        <v>46</v>
      </c>
      <c r="J3797" t="s">
        <v>22</v>
      </c>
      <c r="K3797">
        <v>5</v>
      </c>
      <c r="L3797" s="7">
        <f t="shared" si="178"/>
        <v>3219.92</v>
      </c>
      <c r="M3797" s="7"/>
      <c r="O3797">
        <f t="shared" si="179"/>
        <v>4</v>
      </c>
      <c r="Q3797" t="s">
        <v>47</v>
      </c>
    </row>
    <row r="3798" spans="1:17" x14ac:dyDescent="0.3">
      <c r="A3798" t="s">
        <v>4923</v>
      </c>
      <c r="B3798" s="6">
        <v>44943</v>
      </c>
      <c r="C3798" s="6" t="str">
        <f t="shared" si="177"/>
        <v>Jan</v>
      </c>
      <c r="D3798" t="s">
        <v>3045</v>
      </c>
      <c r="E3798" t="s">
        <v>19</v>
      </c>
      <c r="F3798" t="s">
        <v>1146</v>
      </c>
      <c r="G3798">
        <v>9</v>
      </c>
      <c r="H3798" s="7">
        <v>359.49</v>
      </c>
      <c r="I3798" t="s">
        <v>19</v>
      </c>
      <c r="J3798" t="s">
        <v>19</v>
      </c>
      <c r="K3798">
        <v>5</v>
      </c>
      <c r="L3798" s="7">
        <f t="shared" si="178"/>
        <v>3235.41</v>
      </c>
      <c r="M3798" s="7"/>
      <c r="O3798">
        <f t="shared" si="179"/>
        <v>4</v>
      </c>
      <c r="Q3798" t="s">
        <v>19</v>
      </c>
    </row>
    <row r="3799" spans="1:17" x14ac:dyDescent="0.3">
      <c r="A3799" t="s">
        <v>4924</v>
      </c>
      <c r="B3799" s="6">
        <v>45048</v>
      </c>
      <c r="C3799" s="6" t="str">
        <f t="shared" si="177"/>
        <v>May</v>
      </c>
      <c r="D3799" t="s">
        <v>1908</v>
      </c>
      <c r="E3799" t="s">
        <v>31</v>
      </c>
      <c r="F3799" t="s">
        <v>445</v>
      </c>
      <c r="G3799">
        <v>5</v>
      </c>
      <c r="H3799" s="7">
        <v>106.1</v>
      </c>
      <c r="I3799" t="s">
        <v>103</v>
      </c>
      <c r="J3799" t="s">
        <v>87</v>
      </c>
      <c r="K3799">
        <v>0</v>
      </c>
      <c r="L3799" s="7">
        <f t="shared" si="178"/>
        <v>530.5</v>
      </c>
      <c r="M3799" s="7"/>
      <c r="O3799">
        <f t="shared" si="179"/>
        <v>2</v>
      </c>
      <c r="Q3799" t="s">
        <v>104</v>
      </c>
    </row>
    <row r="3800" spans="1:17" x14ac:dyDescent="0.3">
      <c r="A3800" t="s">
        <v>4925</v>
      </c>
      <c r="B3800" s="6">
        <v>45076</v>
      </c>
      <c r="C3800" s="6" t="str">
        <f t="shared" si="177"/>
        <v>May</v>
      </c>
      <c r="D3800" t="s">
        <v>2521</v>
      </c>
      <c r="E3800" t="s">
        <v>62</v>
      </c>
      <c r="F3800" t="s">
        <v>2185</v>
      </c>
      <c r="G3800">
        <v>7</v>
      </c>
      <c r="H3800" s="7">
        <v>127.37</v>
      </c>
      <c r="I3800" t="s">
        <v>46</v>
      </c>
      <c r="J3800" t="s">
        <v>42</v>
      </c>
      <c r="K3800">
        <v>0</v>
      </c>
      <c r="L3800" s="7">
        <f t="shared" si="178"/>
        <v>891.59</v>
      </c>
      <c r="M3800" s="7"/>
      <c r="O3800">
        <f t="shared" si="179"/>
        <v>2</v>
      </c>
      <c r="Q3800" t="s">
        <v>47</v>
      </c>
    </row>
    <row r="3801" spans="1:17" x14ac:dyDescent="0.3">
      <c r="A3801" t="s">
        <v>4926</v>
      </c>
      <c r="B3801" s="6">
        <v>45228</v>
      </c>
      <c r="C3801" s="6" t="str">
        <f t="shared" si="177"/>
        <v>Oct</v>
      </c>
      <c r="D3801" t="s">
        <v>400</v>
      </c>
      <c r="E3801" t="s">
        <v>50</v>
      </c>
      <c r="F3801" t="s">
        <v>432</v>
      </c>
      <c r="G3801">
        <v>4</v>
      </c>
      <c r="H3801" s="7">
        <v>498.06</v>
      </c>
      <c r="I3801" t="s">
        <v>21</v>
      </c>
      <c r="J3801" t="s">
        <v>42</v>
      </c>
      <c r="K3801">
        <v>10</v>
      </c>
      <c r="L3801" s="7">
        <f t="shared" si="178"/>
        <v>1992.24</v>
      </c>
      <c r="M3801" s="7"/>
      <c r="O3801">
        <f t="shared" si="179"/>
        <v>2</v>
      </c>
      <c r="Q3801" t="s">
        <v>23</v>
      </c>
    </row>
    <row r="3802" spans="1:17" x14ac:dyDescent="0.3">
      <c r="A3802" t="s">
        <v>4927</v>
      </c>
      <c r="B3802" s="6">
        <v>45290</v>
      </c>
      <c r="C3802" s="6" t="str">
        <f t="shared" si="177"/>
        <v>Dec</v>
      </c>
      <c r="D3802" t="s">
        <v>1271</v>
      </c>
      <c r="E3802" t="s">
        <v>40</v>
      </c>
      <c r="F3802" t="s">
        <v>176</v>
      </c>
      <c r="G3802">
        <v>5</v>
      </c>
      <c r="H3802" s="7">
        <v>56.17</v>
      </c>
      <c r="I3802" t="s">
        <v>46</v>
      </c>
      <c r="J3802" t="s">
        <v>42</v>
      </c>
      <c r="K3802">
        <v>0</v>
      </c>
      <c r="L3802" s="7">
        <f t="shared" si="178"/>
        <v>280.85000000000002</v>
      </c>
      <c r="M3802" s="7"/>
      <c r="O3802">
        <f t="shared" si="179"/>
        <v>2</v>
      </c>
      <c r="Q3802" t="s">
        <v>47</v>
      </c>
    </row>
    <row r="3803" spans="1:17" x14ac:dyDescent="0.3">
      <c r="A3803" t="s">
        <v>4928</v>
      </c>
      <c r="B3803" s="6">
        <v>45126</v>
      </c>
      <c r="C3803" s="6" t="str">
        <f t="shared" si="177"/>
        <v>Jul</v>
      </c>
      <c r="D3803" t="s">
        <v>1520</v>
      </c>
      <c r="E3803" t="s">
        <v>50</v>
      </c>
      <c r="F3803" t="s">
        <v>273</v>
      </c>
      <c r="G3803">
        <v>3</v>
      </c>
      <c r="H3803" s="7">
        <v>94.43</v>
      </c>
      <c r="I3803" t="s">
        <v>103</v>
      </c>
      <c r="J3803" t="s">
        <v>28</v>
      </c>
      <c r="K3803">
        <v>10</v>
      </c>
      <c r="L3803" s="7">
        <f t="shared" si="178"/>
        <v>283.29000000000002</v>
      </c>
      <c r="M3803" s="7"/>
      <c r="O3803">
        <f t="shared" si="179"/>
        <v>2</v>
      </c>
      <c r="Q3803" t="s">
        <v>104</v>
      </c>
    </row>
    <row r="3804" spans="1:17" x14ac:dyDescent="0.3">
      <c r="A3804" t="s">
        <v>4929</v>
      </c>
      <c r="B3804" s="6">
        <v>45151</v>
      </c>
      <c r="C3804" s="6" t="str">
        <f t="shared" si="177"/>
        <v>Aug</v>
      </c>
      <c r="D3804" t="s">
        <v>600</v>
      </c>
      <c r="E3804" t="s">
        <v>26</v>
      </c>
      <c r="F3804" t="s">
        <v>833</v>
      </c>
      <c r="G3804">
        <v>5</v>
      </c>
      <c r="H3804" s="7">
        <v>69.36</v>
      </c>
      <c r="I3804" t="s">
        <v>21</v>
      </c>
      <c r="J3804" t="s">
        <v>42</v>
      </c>
      <c r="K3804">
        <v>20</v>
      </c>
      <c r="L3804" s="7">
        <f t="shared" si="178"/>
        <v>346.8</v>
      </c>
      <c r="M3804" s="7"/>
      <c r="O3804">
        <f t="shared" si="179"/>
        <v>2</v>
      </c>
      <c r="Q3804" t="s">
        <v>23</v>
      </c>
    </row>
    <row r="3805" spans="1:17" x14ac:dyDescent="0.3">
      <c r="A3805" t="s">
        <v>4930</v>
      </c>
      <c r="B3805" s="6">
        <v>45056</v>
      </c>
      <c r="C3805" s="6" t="str">
        <f t="shared" si="177"/>
        <v>May</v>
      </c>
      <c r="D3805" t="s">
        <v>1129</v>
      </c>
      <c r="E3805" t="s">
        <v>26</v>
      </c>
      <c r="F3805" t="s">
        <v>1282</v>
      </c>
      <c r="G3805">
        <v>3</v>
      </c>
      <c r="H3805" s="7">
        <v>167.19</v>
      </c>
      <c r="I3805" t="s">
        <v>19</v>
      </c>
      <c r="J3805" t="s">
        <v>19</v>
      </c>
      <c r="K3805">
        <v>5</v>
      </c>
      <c r="L3805" s="7">
        <f t="shared" si="178"/>
        <v>501.57</v>
      </c>
      <c r="M3805" s="7"/>
      <c r="O3805">
        <f t="shared" si="179"/>
        <v>2</v>
      </c>
      <c r="Q3805" t="s">
        <v>19</v>
      </c>
    </row>
    <row r="3806" spans="1:17" x14ac:dyDescent="0.3">
      <c r="A3806" t="s">
        <v>4931</v>
      </c>
      <c r="B3806" s="6">
        <v>45036</v>
      </c>
      <c r="C3806" s="6" t="str">
        <f t="shared" si="177"/>
        <v>Apr</v>
      </c>
      <c r="D3806" t="s">
        <v>471</v>
      </c>
      <c r="E3806" t="s">
        <v>40</v>
      </c>
      <c r="F3806" t="s">
        <v>383</v>
      </c>
      <c r="G3806">
        <v>7</v>
      </c>
      <c r="H3806" s="7">
        <v>109.04</v>
      </c>
      <c r="I3806" t="s">
        <v>64</v>
      </c>
      <c r="J3806" t="s">
        <v>19</v>
      </c>
      <c r="K3806">
        <v>5</v>
      </c>
      <c r="L3806" s="7">
        <f t="shared" si="178"/>
        <v>763.28000000000009</v>
      </c>
      <c r="M3806" s="7"/>
      <c r="O3806">
        <f t="shared" si="179"/>
        <v>2</v>
      </c>
      <c r="Q3806" t="s">
        <v>65</v>
      </c>
    </row>
    <row r="3807" spans="1:17" x14ac:dyDescent="0.3">
      <c r="A3807" t="s">
        <v>4932</v>
      </c>
      <c r="B3807" s="6">
        <v>45170</v>
      </c>
      <c r="C3807" s="6" t="str">
        <f t="shared" si="177"/>
        <v>Sep</v>
      </c>
      <c r="D3807" t="s">
        <v>98</v>
      </c>
      <c r="E3807" t="s">
        <v>40</v>
      </c>
      <c r="F3807" t="s">
        <v>54</v>
      </c>
      <c r="G3807">
        <v>9</v>
      </c>
      <c r="H3807" s="7">
        <v>251.36</v>
      </c>
      <c r="I3807" t="s">
        <v>64</v>
      </c>
      <c r="J3807" t="s">
        <v>19</v>
      </c>
      <c r="K3807">
        <v>10</v>
      </c>
      <c r="L3807" s="7">
        <f t="shared" si="178"/>
        <v>2262.2400000000002</v>
      </c>
      <c r="M3807" s="7"/>
      <c r="O3807">
        <f t="shared" si="179"/>
        <v>2</v>
      </c>
      <c r="Q3807" t="s">
        <v>65</v>
      </c>
    </row>
    <row r="3808" spans="1:17" x14ac:dyDescent="0.3">
      <c r="A3808" t="s">
        <v>4933</v>
      </c>
      <c r="B3808" s="6">
        <v>44983</v>
      </c>
      <c r="C3808" s="6" t="str">
        <f t="shared" si="177"/>
        <v>Feb</v>
      </c>
      <c r="D3808" t="s">
        <v>1073</v>
      </c>
      <c r="E3808" t="s">
        <v>19</v>
      </c>
      <c r="F3808" t="s">
        <v>1282</v>
      </c>
      <c r="G3808">
        <v>6</v>
      </c>
      <c r="H3808" s="7">
        <v>240.63</v>
      </c>
      <c r="I3808" t="s">
        <v>19</v>
      </c>
      <c r="J3808" t="s">
        <v>72</v>
      </c>
      <c r="K3808">
        <v>10</v>
      </c>
      <c r="L3808" s="7">
        <f t="shared" si="178"/>
        <v>1443.78</v>
      </c>
      <c r="M3808" s="7"/>
      <c r="O3808">
        <f t="shared" si="179"/>
        <v>2</v>
      </c>
      <c r="Q3808" t="s">
        <v>19</v>
      </c>
    </row>
    <row r="3809" spans="1:17" x14ac:dyDescent="0.3">
      <c r="A3809" t="s">
        <v>4934</v>
      </c>
      <c r="B3809" s="6">
        <v>44968</v>
      </c>
      <c r="C3809" s="6" t="str">
        <f t="shared" si="177"/>
        <v>Feb</v>
      </c>
      <c r="D3809" t="s">
        <v>1032</v>
      </c>
      <c r="E3809" t="s">
        <v>19</v>
      </c>
      <c r="F3809" t="s">
        <v>807</v>
      </c>
      <c r="G3809">
        <v>1</v>
      </c>
      <c r="H3809" s="7">
        <v>451.25</v>
      </c>
      <c r="I3809" t="s">
        <v>64</v>
      </c>
      <c r="J3809" t="s">
        <v>87</v>
      </c>
      <c r="K3809">
        <v>5</v>
      </c>
      <c r="L3809" s="7">
        <f t="shared" si="178"/>
        <v>451.25</v>
      </c>
      <c r="M3809" s="7"/>
      <c r="O3809">
        <f t="shared" si="179"/>
        <v>2</v>
      </c>
      <c r="Q3809" t="s">
        <v>65</v>
      </c>
    </row>
    <row r="3810" spans="1:17" x14ac:dyDescent="0.3">
      <c r="A3810" t="s">
        <v>4935</v>
      </c>
      <c r="B3810" s="6">
        <v>45146</v>
      </c>
      <c r="C3810" s="6" t="str">
        <f t="shared" si="177"/>
        <v>Aug</v>
      </c>
      <c r="D3810" t="s">
        <v>2359</v>
      </c>
      <c r="E3810" t="s">
        <v>26</v>
      </c>
      <c r="F3810" t="s">
        <v>988</v>
      </c>
      <c r="G3810">
        <v>7</v>
      </c>
      <c r="H3810" s="7">
        <v>22.2</v>
      </c>
      <c r="I3810" t="s">
        <v>46</v>
      </c>
      <c r="J3810" t="s">
        <v>42</v>
      </c>
      <c r="K3810">
        <v>20</v>
      </c>
      <c r="L3810" s="7">
        <f t="shared" si="178"/>
        <v>155.4</v>
      </c>
      <c r="M3810" s="7"/>
      <c r="O3810">
        <f t="shared" si="179"/>
        <v>2</v>
      </c>
      <c r="Q3810" t="s">
        <v>47</v>
      </c>
    </row>
    <row r="3811" spans="1:17" x14ac:dyDescent="0.3">
      <c r="A3811" t="s">
        <v>4936</v>
      </c>
      <c r="B3811" s="6">
        <v>44949</v>
      </c>
      <c r="C3811" s="6" t="str">
        <f t="shared" si="177"/>
        <v>Jan</v>
      </c>
      <c r="D3811" t="s">
        <v>656</v>
      </c>
      <c r="E3811" t="s">
        <v>26</v>
      </c>
      <c r="F3811" t="s">
        <v>1374</v>
      </c>
      <c r="G3811">
        <v>3</v>
      </c>
      <c r="H3811" s="7">
        <v>163.34</v>
      </c>
      <c r="I3811" t="s">
        <v>103</v>
      </c>
      <c r="J3811" t="s">
        <v>22</v>
      </c>
      <c r="K3811">
        <v>20</v>
      </c>
      <c r="L3811" s="7">
        <f t="shared" si="178"/>
        <v>490.02</v>
      </c>
      <c r="M3811" s="7"/>
      <c r="O3811">
        <f t="shared" si="179"/>
        <v>2</v>
      </c>
      <c r="Q3811" t="s">
        <v>104</v>
      </c>
    </row>
    <row r="3812" spans="1:17" x14ac:dyDescent="0.3">
      <c r="A3812" t="s">
        <v>4937</v>
      </c>
      <c r="B3812" s="6">
        <v>44959</v>
      </c>
      <c r="C3812" s="6" t="str">
        <f t="shared" si="177"/>
        <v>Feb</v>
      </c>
      <c r="D3812" t="s">
        <v>1525</v>
      </c>
      <c r="E3812" t="s">
        <v>62</v>
      </c>
      <c r="F3812" t="s">
        <v>254</v>
      </c>
      <c r="G3812">
        <v>5</v>
      </c>
      <c r="H3812" s="7">
        <v>300.35000000000002</v>
      </c>
      <c r="I3812" t="s">
        <v>19</v>
      </c>
      <c r="J3812" t="s">
        <v>22</v>
      </c>
      <c r="K3812">
        <v>15</v>
      </c>
      <c r="L3812" s="7">
        <f t="shared" si="178"/>
        <v>1501.75</v>
      </c>
      <c r="M3812" s="7"/>
      <c r="O3812">
        <f t="shared" si="179"/>
        <v>2</v>
      </c>
      <c r="Q3812" t="s">
        <v>19</v>
      </c>
    </row>
    <row r="3813" spans="1:17" x14ac:dyDescent="0.3">
      <c r="A3813" t="s">
        <v>4938</v>
      </c>
      <c r="B3813" s="6">
        <v>44964</v>
      </c>
      <c r="C3813" s="6" t="str">
        <f t="shared" si="177"/>
        <v>Feb</v>
      </c>
      <c r="D3813" t="s">
        <v>1129</v>
      </c>
      <c r="E3813" t="s">
        <v>40</v>
      </c>
      <c r="F3813" t="s">
        <v>900</v>
      </c>
      <c r="G3813">
        <v>4</v>
      </c>
      <c r="H3813" s="7">
        <v>304.38</v>
      </c>
      <c r="I3813" t="s">
        <v>32</v>
      </c>
      <c r="J3813" t="s">
        <v>42</v>
      </c>
      <c r="K3813">
        <v>10</v>
      </c>
      <c r="L3813" s="7">
        <f t="shared" si="178"/>
        <v>1217.52</v>
      </c>
      <c r="M3813" s="7"/>
      <c r="O3813">
        <f t="shared" si="179"/>
        <v>2</v>
      </c>
      <c r="Q3813" t="s">
        <v>33</v>
      </c>
    </row>
    <row r="3814" spans="1:17" x14ac:dyDescent="0.3">
      <c r="A3814" t="s">
        <v>4939</v>
      </c>
      <c r="B3814" s="6">
        <v>45126</v>
      </c>
      <c r="C3814" s="6" t="str">
        <f t="shared" si="177"/>
        <v>Jul</v>
      </c>
      <c r="D3814" t="s">
        <v>1173</v>
      </c>
      <c r="E3814" t="s">
        <v>36</v>
      </c>
      <c r="F3814" t="s">
        <v>657</v>
      </c>
      <c r="G3814">
        <v>5</v>
      </c>
      <c r="H3814" s="7">
        <v>242.66</v>
      </c>
      <c r="I3814" t="s">
        <v>103</v>
      </c>
      <c r="J3814" t="s">
        <v>28</v>
      </c>
      <c r="K3814">
        <v>10</v>
      </c>
      <c r="L3814" s="7">
        <f t="shared" si="178"/>
        <v>1213.3</v>
      </c>
      <c r="M3814" s="7"/>
      <c r="O3814">
        <f t="shared" si="179"/>
        <v>2</v>
      </c>
      <c r="Q3814" t="s">
        <v>104</v>
      </c>
    </row>
    <row r="3815" spans="1:17" x14ac:dyDescent="0.3">
      <c r="A3815" t="s">
        <v>4940</v>
      </c>
      <c r="B3815" s="6">
        <v>44933</v>
      </c>
      <c r="C3815" s="6" t="str">
        <f t="shared" si="177"/>
        <v>Jan</v>
      </c>
      <c r="D3815" t="s">
        <v>315</v>
      </c>
      <c r="E3815" t="s">
        <v>36</v>
      </c>
      <c r="F3815" t="s">
        <v>1374</v>
      </c>
      <c r="G3815">
        <v>5</v>
      </c>
      <c r="H3815" s="7">
        <v>408.75</v>
      </c>
      <c r="I3815" t="s">
        <v>103</v>
      </c>
      <c r="J3815" t="s">
        <v>42</v>
      </c>
      <c r="K3815">
        <v>10</v>
      </c>
      <c r="L3815" s="7">
        <f t="shared" si="178"/>
        <v>2043.75</v>
      </c>
      <c r="M3815" s="7"/>
      <c r="O3815">
        <f t="shared" si="179"/>
        <v>2</v>
      </c>
      <c r="Q3815" t="s">
        <v>104</v>
      </c>
    </row>
    <row r="3816" spans="1:17" x14ac:dyDescent="0.3">
      <c r="A3816" t="s">
        <v>4941</v>
      </c>
      <c r="B3816" s="6">
        <v>44938</v>
      </c>
      <c r="C3816" s="6" t="str">
        <f t="shared" si="177"/>
        <v>Jan</v>
      </c>
      <c r="D3816" t="s">
        <v>2081</v>
      </c>
      <c r="E3816" t="s">
        <v>19</v>
      </c>
      <c r="F3816" t="s">
        <v>619</v>
      </c>
      <c r="G3816">
        <v>6</v>
      </c>
      <c r="H3816" s="7">
        <v>36.049999999999997</v>
      </c>
      <c r="I3816" t="s">
        <v>19</v>
      </c>
      <c r="J3816" t="s">
        <v>72</v>
      </c>
      <c r="K3816">
        <v>10</v>
      </c>
      <c r="L3816" s="7">
        <f t="shared" si="178"/>
        <v>216.29999999999998</v>
      </c>
      <c r="M3816" s="7"/>
      <c r="O3816">
        <f t="shared" si="179"/>
        <v>2</v>
      </c>
      <c r="Q3816" t="s">
        <v>19</v>
      </c>
    </row>
    <row r="3817" spans="1:17" x14ac:dyDescent="0.3">
      <c r="A3817" t="s">
        <v>4942</v>
      </c>
      <c r="B3817" s="6">
        <v>45269</v>
      </c>
      <c r="C3817" s="6" t="str">
        <f t="shared" si="177"/>
        <v>Dec</v>
      </c>
      <c r="D3817" t="s">
        <v>3009</v>
      </c>
      <c r="E3817" t="s">
        <v>36</v>
      </c>
      <c r="F3817" t="s">
        <v>708</v>
      </c>
      <c r="G3817">
        <v>6</v>
      </c>
      <c r="H3817" s="7">
        <v>408.67</v>
      </c>
      <c r="I3817" t="s">
        <v>64</v>
      </c>
      <c r="J3817" t="s">
        <v>87</v>
      </c>
      <c r="K3817">
        <v>15</v>
      </c>
      <c r="L3817" s="7">
        <f t="shared" si="178"/>
        <v>2452.02</v>
      </c>
      <c r="M3817" s="7"/>
      <c r="O3817">
        <f t="shared" si="179"/>
        <v>2</v>
      </c>
      <c r="Q3817" t="s">
        <v>65</v>
      </c>
    </row>
    <row r="3818" spans="1:17" x14ac:dyDescent="0.3">
      <c r="A3818" t="s">
        <v>4943</v>
      </c>
      <c r="B3818" s="6">
        <v>45067</v>
      </c>
      <c r="C3818" s="6" t="str">
        <f t="shared" si="177"/>
        <v>May</v>
      </c>
      <c r="D3818" t="s">
        <v>1388</v>
      </c>
      <c r="E3818" t="s">
        <v>31</v>
      </c>
      <c r="F3818" t="s">
        <v>1461</v>
      </c>
      <c r="G3818">
        <v>8</v>
      </c>
      <c r="H3818" s="7">
        <v>249.9</v>
      </c>
      <c r="I3818" t="s">
        <v>64</v>
      </c>
      <c r="J3818" t="s">
        <v>72</v>
      </c>
      <c r="K3818">
        <v>5</v>
      </c>
      <c r="L3818" s="7">
        <f t="shared" si="178"/>
        <v>1999.2</v>
      </c>
      <c r="M3818" s="7"/>
      <c r="O3818">
        <f t="shared" si="179"/>
        <v>2</v>
      </c>
      <c r="Q3818" t="s">
        <v>65</v>
      </c>
    </row>
    <row r="3819" spans="1:17" x14ac:dyDescent="0.3">
      <c r="A3819" t="s">
        <v>4944</v>
      </c>
      <c r="B3819" s="6">
        <v>45273</v>
      </c>
      <c r="C3819" s="6" t="str">
        <f t="shared" si="177"/>
        <v>Dec</v>
      </c>
      <c r="D3819" t="s">
        <v>3885</v>
      </c>
      <c r="E3819" t="s">
        <v>40</v>
      </c>
      <c r="F3819" t="s">
        <v>646</v>
      </c>
      <c r="G3819">
        <v>8</v>
      </c>
      <c r="H3819" s="7">
        <v>71.209999999999994</v>
      </c>
      <c r="I3819" t="s">
        <v>103</v>
      </c>
      <c r="J3819" t="s">
        <v>22</v>
      </c>
      <c r="K3819">
        <v>10</v>
      </c>
      <c r="L3819" s="7">
        <f t="shared" si="178"/>
        <v>569.67999999999995</v>
      </c>
      <c r="M3819" s="7"/>
      <c r="O3819">
        <f t="shared" si="179"/>
        <v>2</v>
      </c>
      <c r="Q3819" t="s">
        <v>104</v>
      </c>
    </row>
    <row r="3820" spans="1:17" x14ac:dyDescent="0.3">
      <c r="A3820" t="s">
        <v>4945</v>
      </c>
      <c r="B3820" s="6">
        <v>45178</v>
      </c>
      <c r="C3820" s="6" t="str">
        <f t="shared" si="177"/>
        <v>Sep</v>
      </c>
      <c r="D3820" t="s">
        <v>1687</v>
      </c>
      <c r="E3820" t="s">
        <v>19</v>
      </c>
      <c r="F3820" t="s">
        <v>107</v>
      </c>
      <c r="G3820">
        <v>9</v>
      </c>
      <c r="H3820" s="7">
        <v>443.42</v>
      </c>
      <c r="I3820" t="s">
        <v>103</v>
      </c>
      <c r="J3820" t="s">
        <v>42</v>
      </c>
      <c r="K3820">
        <v>10</v>
      </c>
      <c r="L3820" s="7">
        <f t="shared" si="178"/>
        <v>3990.78</v>
      </c>
      <c r="M3820" s="7"/>
      <c r="O3820">
        <f t="shared" si="179"/>
        <v>5</v>
      </c>
      <c r="Q3820" t="s">
        <v>104</v>
      </c>
    </row>
    <row r="3821" spans="1:17" x14ac:dyDescent="0.3">
      <c r="A3821" t="s">
        <v>4946</v>
      </c>
      <c r="B3821" s="6">
        <v>45050</v>
      </c>
      <c r="C3821" s="6" t="str">
        <f t="shared" si="177"/>
        <v>May</v>
      </c>
      <c r="D3821" t="s">
        <v>1792</v>
      </c>
      <c r="E3821" t="s">
        <v>50</v>
      </c>
      <c r="F3821" t="s">
        <v>182</v>
      </c>
      <c r="G3821">
        <v>8</v>
      </c>
      <c r="H3821" s="7">
        <v>326.37</v>
      </c>
      <c r="I3821" t="s">
        <v>64</v>
      </c>
      <c r="J3821" t="s">
        <v>22</v>
      </c>
      <c r="K3821">
        <v>10</v>
      </c>
      <c r="L3821" s="7">
        <f t="shared" si="178"/>
        <v>2610.96</v>
      </c>
      <c r="M3821" s="7"/>
      <c r="O3821">
        <f t="shared" si="179"/>
        <v>3</v>
      </c>
      <c r="Q3821" t="s">
        <v>65</v>
      </c>
    </row>
    <row r="3822" spans="1:17" x14ac:dyDescent="0.3">
      <c r="A3822" t="s">
        <v>4947</v>
      </c>
      <c r="B3822" s="6">
        <v>45278</v>
      </c>
      <c r="C3822" s="6" t="str">
        <f t="shared" si="177"/>
        <v>Dec</v>
      </c>
      <c r="D3822" t="s">
        <v>912</v>
      </c>
      <c r="E3822" t="s">
        <v>50</v>
      </c>
      <c r="F3822" t="s">
        <v>1146</v>
      </c>
      <c r="G3822">
        <v>2</v>
      </c>
      <c r="H3822" s="7">
        <v>85.96</v>
      </c>
      <c r="I3822" t="s">
        <v>19</v>
      </c>
      <c r="J3822" t="s">
        <v>19</v>
      </c>
      <c r="K3822">
        <v>5</v>
      </c>
      <c r="L3822" s="7">
        <f t="shared" si="178"/>
        <v>171.92</v>
      </c>
      <c r="M3822" s="7"/>
      <c r="O3822">
        <f t="shared" si="179"/>
        <v>2</v>
      </c>
      <c r="Q3822" t="s">
        <v>19</v>
      </c>
    </row>
    <row r="3823" spans="1:17" x14ac:dyDescent="0.3">
      <c r="A3823" t="s">
        <v>4948</v>
      </c>
      <c r="B3823" s="6">
        <v>45242</v>
      </c>
      <c r="C3823" s="6" t="str">
        <f t="shared" si="177"/>
        <v>Nov</v>
      </c>
      <c r="D3823" t="s">
        <v>541</v>
      </c>
      <c r="E3823" t="s">
        <v>26</v>
      </c>
      <c r="F3823" t="s">
        <v>383</v>
      </c>
      <c r="G3823">
        <v>1</v>
      </c>
      <c r="H3823" s="7">
        <v>21.66</v>
      </c>
      <c r="I3823" t="s">
        <v>46</v>
      </c>
      <c r="J3823" t="s">
        <v>87</v>
      </c>
      <c r="K3823">
        <v>0</v>
      </c>
      <c r="L3823" s="7">
        <f t="shared" si="178"/>
        <v>21.66</v>
      </c>
      <c r="M3823" s="7"/>
      <c r="O3823">
        <f t="shared" si="179"/>
        <v>2</v>
      </c>
      <c r="Q3823" t="s">
        <v>47</v>
      </c>
    </row>
    <row r="3824" spans="1:17" x14ac:dyDescent="0.3">
      <c r="A3824" t="s">
        <v>4949</v>
      </c>
      <c r="B3824" s="6">
        <v>45136</v>
      </c>
      <c r="C3824" s="6" t="str">
        <f t="shared" si="177"/>
        <v>Jul</v>
      </c>
      <c r="D3824" t="s">
        <v>2619</v>
      </c>
      <c r="E3824" t="s">
        <v>62</v>
      </c>
      <c r="F3824" t="s">
        <v>257</v>
      </c>
      <c r="G3824">
        <v>2</v>
      </c>
      <c r="H3824" s="7">
        <v>74.849999999999994</v>
      </c>
      <c r="I3824" t="s">
        <v>32</v>
      </c>
      <c r="J3824" t="s">
        <v>19</v>
      </c>
      <c r="K3824">
        <v>10</v>
      </c>
      <c r="L3824" s="7">
        <f t="shared" si="178"/>
        <v>149.69999999999999</v>
      </c>
      <c r="M3824" s="7"/>
      <c r="O3824">
        <f t="shared" si="179"/>
        <v>2</v>
      </c>
      <c r="Q3824" t="s">
        <v>33</v>
      </c>
    </row>
    <row r="3825" spans="1:17" x14ac:dyDescent="0.3">
      <c r="A3825" t="s">
        <v>4950</v>
      </c>
      <c r="B3825" s="6">
        <v>45003</v>
      </c>
      <c r="C3825" s="6" t="str">
        <f t="shared" si="177"/>
        <v>Mar</v>
      </c>
      <c r="D3825" t="s">
        <v>673</v>
      </c>
      <c r="E3825" t="s">
        <v>36</v>
      </c>
      <c r="F3825" t="s">
        <v>68</v>
      </c>
      <c r="G3825">
        <v>2</v>
      </c>
      <c r="H3825" s="7">
        <v>306.35000000000002</v>
      </c>
      <c r="I3825" t="s">
        <v>103</v>
      </c>
      <c r="J3825" t="s">
        <v>28</v>
      </c>
      <c r="K3825">
        <v>0</v>
      </c>
      <c r="L3825" s="7">
        <f t="shared" si="178"/>
        <v>612.70000000000005</v>
      </c>
      <c r="M3825" s="7"/>
      <c r="O3825">
        <f t="shared" si="179"/>
        <v>2</v>
      </c>
      <c r="Q3825" t="s">
        <v>104</v>
      </c>
    </row>
    <row r="3826" spans="1:17" x14ac:dyDescent="0.3">
      <c r="A3826" t="s">
        <v>4951</v>
      </c>
      <c r="B3826" s="6">
        <v>44964</v>
      </c>
      <c r="C3826" s="6" t="str">
        <f t="shared" si="177"/>
        <v>Feb</v>
      </c>
      <c r="D3826" t="s">
        <v>2887</v>
      </c>
      <c r="E3826" t="s">
        <v>40</v>
      </c>
      <c r="F3826" t="s">
        <v>403</v>
      </c>
      <c r="G3826">
        <v>3</v>
      </c>
      <c r="H3826" s="7">
        <v>93.75</v>
      </c>
      <c r="I3826" t="s">
        <v>21</v>
      </c>
      <c r="J3826" t="s">
        <v>22</v>
      </c>
      <c r="K3826">
        <v>15</v>
      </c>
      <c r="L3826" s="7">
        <f t="shared" si="178"/>
        <v>281.25</v>
      </c>
      <c r="M3826" s="7"/>
      <c r="O3826">
        <f t="shared" si="179"/>
        <v>2</v>
      </c>
      <c r="Q3826" t="s">
        <v>23</v>
      </c>
    </row>
    <row r="3827" spans="1:17" x14ac:dyDescent="0.3">
      <c r="A3827" t="s">
        <v>4952</v>
      </c>
      <c r="B3827" s="6">
        <v>45058</v>
      </c>
      <c r="C3827" s="6" t="str">
        <f t="shared" si="177"/>
        <v>May</v>
      </c>
      <c r="D3827" t="s">
        <v>3033</v>
      </c>
      <c r="E3827" t="s">
        <v>31</v>
      </c>
      <c r="F3827" t="s">
        <v>59</v>
      </c>
      <c r="G3827">
        <v>7</v>
      </c>
      <c r="H3827" s="7">
        <v>116.75</v>
      </c>
      <c r="I3827" t="s">
        <v>64</v>
      </c>
      <c r="J3827" t="s">
        <v>72</v>
      </c>
      <c r="K3827">
        <v>20</v>
      </c>
      <c r="L3827" s="7">
        <f t="shared" si="178"/>
        <v>817.25</v>
      </c>
      <c r="M3827" s="7"/>
      <c r="O3827">
        <f t="shared" si="179"/>
        <v>2</v>
      </c>
      <c r="Q3827" t="s">
        <v>65</v>
      </c>
    </row>
    <row r="3828" spans="1:17" x14ac:dyDescent="0.3">
      <c r="A3828" t="s">
        <v>4953</v>
      </c>
      <c r="B3828" s="6">
        <v>45040</v>
      </c>
      <c r="C3828" s="6" t="str">
        <f t="shared" si="177"/>
        <v>Apr</v>
      </c>
      <c r="D3828" t="s">
        <v>1290</v>
      </c>
      <c r="E3828" t="s">
        <v>36</v>
      </c>
      <c r="F3828" t="s">
        <v>732</v>
      </c>
      <c r="G3828">
        <v>2</v>
      </c>
      <c r="H3828" s="7">
        <v>17.440000000000001</v>
      </c>
      <c r="I3828" t="s">
        <v>46</v>
      </c>
      <c r="J3828" t="s">
        <v>19</v>
      </c>
      <c r="K3828">
        <v>10</v>
      </c>
      <c r="L3828" s="7">
        <f t="shared" si="178"/>
        <v>34.880000000000003</v>
      </c>
      <c r="M3828" s="7"/>
      <c r="O3828">
        <f t="shared" si="179"/>
        <v>2</v>
      </c>
      <c r="Q3828" t="s">
        <v>47</v>
      </c>
    </row>
    <row r="3829" spans="1:17" x14ac:dyDescent="0.3">
      <c r="A3829" t="s">
        <v>4954</v>
      </c>
      <c r="B3829" s="6">
        <v>44927</v>
      </c>
      <c r="C3829" s="6" t="str">
        <f t="shared" si="177"/>
        <v>Jan</v>
      </c>
      <c r="D3829" t="s">
        <v>3009</v>
      </c>
      <c r="E3829" t="s">
        <v>31</v>
      </c>
      <c r="F3829" t="s">
        <v>239</v>
      </c>
      <c r="G3829">
        <v>1</v>
      </c>
      <c r="H3829" s="7">
        <v>362.85</v>
      </c>
      <c r="I3829" t="s">
        <v>21</v>
      </c>
      <c r="J3829" t="s">
        <v>42</v>
      </c>
      <c r="K3829">
        <v>10</v>
      </c>
      <c r="L3829" s="7">
        <f t="shared" si="178"/>
        <v>362.85</v>
      </c>
      <c r="M3829" s="7"/>
      <c r="O3829">
        <f t="shared" si="179"/>
        <v>2</v>
      </c>
      <c r="Q3829" t="s">
        <v>23</v>
      </c>
    </row>
    <row r="3830" spans="1:17" x14ac:dyDescent="0.3">
      <c r="A3830" t="s">
        <v>4955</v>
      </c>
      <c r="B3830" s="6">
        <v>45230</v>
      </c>
      <c r="C3830" s="6" t="str">
        <f t="shared" si="177"/>
        <v>Oct</v>
      </c>
      <c r="D3830" t="s">
        <v>2968</v>
      </c>
      <c r="E3830" t="s">
        <v>36</v>
      </c>
      <c r="F3830" t="s">
        <v>1282</v>
      </c>
      <c r="G3830">
        <v>6</v>
      </c>
      <c r="H3830" s="7">
        <v>406.13</v>
      </c>
      <c r="I3830" t="s">
        <v>46</v>
      </c>
      <c r="J3830" t="s">
        <v>19</v>
      </c>
      <c r="K3830">
        <v>10</v>
      </c>
      <c r="L3830" s="7">
        <f t="shared" si="178"/>
        <v>2436.7799999999997</v>
      </c>
      <c r="M3830" s="7"/>
      <c r="O3830">
        <f t="shared" si="179"/>
        <v>2</v>
      </c>
      <c r="Q3830" t="s">
        <v>47</v>
      </c>
    </row>
    <row r="3831" spans="1:17" x14ac:dyDescent="0.3">
      <c r="A3831" t="s">
        <v>4956</v>
      </c>
      <c r="B3831" s="6">
        <v>45087</v>
      </c>
      <c r="C3831" s="6" t="str">
        <f t="shared" si="177"/>
        <v>Jun</v>
      </c>
      <c r="D3831" t="s">
        <v>1247</v>
      </c>
      <c r="E3831" t="s">
        <v>19</v>
      </c>
      <c r="F3831" t="s">
        <v>1182</v>
      </c>
      <c r="G3831">
        <v>9</v>
      </c>
      <c r="H3831" s="7">
        <v>399.44</v>
      </c>
      <c r="I3831" t="s">
        <v>32</v>
      </c>
      <c r="J3831" t="s">
        <v>22</v>
      </c>
      <c r="K3831">
        <v>15</v>
      </c>
      <c r="L3831" s="7">
        <f t="shared" si="178"/>
        <v>3594.96</v>
      </c>
      <c r="M3831" s="7"/>
      <c r="O3831">
        <f t="shared" si="179"/>
        <v>5</v>
      </c>
      <c r="Q3831" t="s">
        <v>33</v>
      </c>
    </row>
    <row r="3832" spans="1:17" x14ac:dyDescent="0.3">
      <c r="A3832" t="s">
        <v>4957</v>
      </c>
      <c r="B3832" s="6">
        <v>45174</v>
      </c>
      <c r="C3832" s="6" t="str">
        <f t="shared" si="177"/>
        <v>Sep</v>
      </c>
      <c r="D3832" t="s">
        <v>1370</v>
      </c>
      <c r="E3832" t="s">
        <v>19</v>
      </c>
      <c r="F3832" t="s">
        <v>110</v>
      </c>
      <c r="G3832">
        <v>3</v>
      </c>
      <c r="H3832" s="7">
        <v>68.150000000000006</v>
      </c>
      <c r="I3832" t="s">
        <v>21</v>
      </c>
      <c r="J3832" t="s">
        <v>42</v>
      </c>
      <c r="K3832">
        <v>15</v>
      </c>
      <c r="L3832" s="7">
        <f t="shared" si="178"/>
        <v>204.45000000000002</v>
      </c>
      <c r="M3832" s="7"/>
      <c r="O3832">
        <f t="shared" si="179"/>
        <v>2</v>
      </c>
      <c r="Q3832" t="s">
        <v>23</v>
      </c>
    </row>
    <row r="3833" spans="1:17" x14ac:dyDescent="0.3">
      <c r="A3833" t="s">
        <v>4958</v>
      </c>
      <c r="B3833" s="6">
        <v>45083</v>
      </c>
      <c r="C3833" s="6" t="str">
        <f t="shared" si="177"/>
        <v>Jun</v>
      </c>
      <c r="D3833" t="s">
        <v>1588</v>
      </c>
      <c r="E3833" t="s">
        <v>26</v>
      </c>
      <c r="F3833" t="s">
        <v>732</v>
      </c>
      <c r="G3833">
        <v>6</v>
      </c>
      <c r="H3833" s="7">
        <v>452.13</v>
      </c>
      <c r="I3833" t="s">
        <v>64</v>
      </c>
      <c r="J3833" t="s">
        <v>42</v>
      </c>
      <c r="K3833">
        <v>10</v>
      </c>
      <c r="L3833" s="7">
        <f t="shared" si="178"/>
        <v>2712.7799999999997</v>
      </c>
      <c r="M3833" s="7"/>
      <c r="O3833">
        <f t="shared" si="179"/>
        <v>3</v>
      </c>
      <c r="Q3833" t="s">
        <v>65</v>
      </c>
    </row>
    <row r="3834" spans="1:17" x14ac:dyDescent="0.3">
      <c r="A3834" t="s">
        <v>4959</v>
      </c>
      <c r="B3834" s="6">
        <v>45197</v>
      </c>
      <c r="C3834" s="6" t="str">
        <f t="shared" si="177"/>
        <v>Sep</v>
      </c>
      <c r="D3834" t="s">
        <v>476</v>
      </c>
      <c r="E3834" t="s">
        <v>19</v>
      </c>
      <c r="F3834" t="s">
        <v>913</v>
      </c>
      <c r="G3834">
        <v>3</v>
      </c>
      <c r="H3834" s="7">
        <v>337.78</v>
      </c>
      <c r="I3834" t="s">
        <v>46</v>
      </c>
      <c r="J3834" t="s">
        <v>87</v>
      </c>
      <c r="K3834">
        <v>10</v>
      </c>
      <c r="L3834" s="7">
        <f t="shared" si="178"/>
        <v>1013.3399999999999</v>
      </c>
      <c r="M3834" s="7"/>
      <c r="O3834">
        <f t="shared" si="179"/>
        <v>2</v>
      </c>
      <c r="Q3834" t="s">
        <v>47</v>
      </c>
    </row>
    <row r="3835" spans="1:17" x14ac:dyDescent="0.3">
      <c r="A3835" t="s">
        <v>4960</v>
      </c>
      <c r="B3835" s="6">
        <v>45054</v>
      </c>
      <c r="C3835" s="6" t="str">
        <f t="shared" si="177"/>
        <v>May</v>
      </c>
      <c r="D3835" t="s">
        <v>525</v>
      </c>
      <c r="E3835" t="s">
        <v>36</v>
      </c>
      <c r="F3835" t="s">
        <v>909</v>
      </c>
      <c r="G3835">
        <v>1</v>
      </c>
      <c r="H3835" s="7">
        <v>449.28</v>
      </c>
      <c r="I3835" t="s">
        <v>46</v>
      </c>
      <c r="J3835" t="s">
        <v>87</v>
      </c>
      <c r="K3835">
        <v>5</v>
      </c>
      <c r="L3835" s="7">
        <f t="shared" si="178"/>
        <v>449.28</v>
      </c>
      <c r="M3835" s="7"/>
      <c r="O3835">
        <f t="shared" si="179"/>
        <v>2</v>
      </c>
      <c r="Q3835" t="s">
        <v>47</v>
      </c>
    </row>
    <row r="3836" spans="1:17" x14ac:dyDescent="0.3">
      <c r="A3836" t="s">
        <v>4961</v>
      </c>
      <c r="B3836" s="6">
        <v>45075</v>
      </c>
      <c r="C3836" s="6" t="str">
        <f t="shared" si="177"/>
        <v>May</v>
      </c>
      <c r="D3836" t="s">
        <v>817</v>
      </c>
      <c r="E3836" t="s">
        <v>19</v>
      </c>
      <c r="F3836" t="s">
        <v>480</v>
      </c>
      <c r="G3836">
        <v>5</v>
      </c>
      <c r="H3836" s="7">
        <v>226.34</v>
      </c>
      <c r="I3836" t="s">
        <v>46</v>
      </c>
      <c r="J3836" t="s">
        <v>72</v>
      </c>
      <c r="K3836">
        <v>5</v>
      </c>
      <c r="L3836" s="7">
        <f t="shared" si="178"/>
        <v>1131.7</v>
      </c>
      <c r="M3836" s="7"/>
      <c r="O3836">
        <f t="shared" si="179"/>
        <v>2</v>
      </c>
      <c r="Q3836" t="s">
        <v>47</v>
      </c>
    </row>
    <row r="3837" spans="1:17" x14ac:dyDescent="0.3">
      <c r="A3837" t="s">
        <v>4962</v>
      </c>
      <c r="B3837" s="6">
        <v>45182</v>
      </c>
      <c r="C3837" s="6" t="str">
        <f t="shared" si="177"/>
        <v>Sep</v>
      </c>
      <c r="D3837" t="s">
        <v>1775</v>
      </c>
      <c r="E3837" t="s">
        <v>40</v>
      </c>
      <c r="F3837" t="s">
        <v>81</v>
      </c>
      <c r="G3837">
        <v>4</v>
      </c>
      <c r="H3837" s="7">
        <v>221.29</v>
      </c>
      <c r="I3837" t="s">
        <v>103</v>
      </c>
      <c r="J3837" t="s">
        <v>87</v>
      </c>
      <c r="K3837">
        <v>20</v>
      </c>
      <c r="L3837" s="7">
        <f t="shared" si="178"/>
        <v>885.16</v>
      </c>
      <c r="M3837" s="7"/>
      <c r="O3837">
        <f t="shared" si="179"/>
        <v>2</v>
      </c>
      <c r="Q3837" t="s">
        <v>104</v>
      </c>
    </row>
    <row r="3838" spans="1:17" x14ac:dyDescent="0.3">
      <c r="A3838" t="s">
        <v>4963</v>
      </c>
      <c r="B3838" s="6">
        <v>44976</v>
      </c>
      <c r="C3838" s="6" t="str">
        <f t="shared" si="177"/>
        <v>Feb</v>
      </c>
      <c r="D3838" t="s">
        <v>1537</v>
      </c>
      <c r="E3838" t="s">
        <v>50</v>
      </c>
      <c r="F3838" t="s">
        <v>334</v>
      </c>
      <c r="G3838">
        <v>7</v>
      </c>
      <c r="H3838" s="7">
        <v>393.35</v>
      </c>
      <c r="I3838" t="s">
        <v>19</v>
      </c>
      <c r="J3838" t="s">
        <v>42</v>
      </c>
      <c r="K3838">
        <v>10</v>
      </c>
      <c r="L3838" s="7">
        <f t="shared" si="178"/>
        <v>2753.4500000000003</v>
      </c>
      <c r="M3838" s="7"/>
      <c r="O3838">
        <f t="shared" si="179"/>
        <v>3</v>
      </c>
      <c r="Q3838" t="s">
        <v>19</v>
      </c>
    </row>
    <row r="3839" spans="1:17" x14ac:dyDescent="0.3">
      <c r="A3839" t="s">
        <v>4964</v>
      </c>
      <c r="B3839" s="6">
        <v>45117</v>
      </c>
      <c r="C3839" s="6" t="str">
        <f t="shared" si="177"/>
        <v>Jul</v>
      </c>
      <c r="D3839" t="s">
        <v>1089</v>
      </c>
      <c r="E3839" t="s">
        <v>40</v>
      </c>
      <c r="F3839" t="s">
        <v>319</v>
      </c>
      <c r="G3839">
        <v>6</v>
      </c>
      <c r="H3839" s="7">
        <v>51.18</v>
      </c>
      <c r="I3839" t="s">
        <v>46</v>
      </c>
      <c r="J3839" t="s">
        <v>42</v>
      </c>
      <c r="K3839">
        <v>10</v>
      </c>
      <c r="L3839" s="7">
        <f t="shared" si="178"/>
        <v>307.08</v>
      </c>
      <c r="M3839" s="7"/>
      <c r="O3839">
        <f t="shared" si="179"/>
        <v>2</v>
      </c>
      <c r="Q3839" t="s">
        <v>47</v>
      </c>
    </row>
    <row r="3840" spans="1:17" x14ac:dyDescent="0.3">
      <c r="A3840" t="s">
        <v>4965</v>
      </c>
      <c r="B3840" s="6">
        <v>44956</v>
      </c>
      <c r="C3840" s="6" t="str">
        <f t="shared" si="177"/>
        <v>Jan</v>
      </c>
      <c r="D3840" t="s">
        <v>1846</v>
      </c>
      <c r="E3840" t="s">
        <v>19</v>
      </c>
      <c r="F3840" t="s">
        <v>278</v>
      </c>
      <c r="G3840">
        <v>7</v>
      </c>
      <c r="H3840" s="7">
        <v>262.83</v>
      </c>
      <c r="I3840" t="s">
        <v>19</v>
      </c>
      <c r="J3840" t="s">
        <v>28</v>
      </c>
      <c r="K3840">
        <v>10</v>
      </c>
      <c r="L3840" s="7">
        <f t="shared" si="178"/>
        <v>1839.81</v>
      </c>
      <c r="M3840" s="7"/>
      <c r="O3840">
        <f t="shared" si="179"/>
        <v>2</v>
      </c>
      <c r="Q3840" t="s">
        <v>19</v>
      </c>
    </row>
    <row r="3841" spans="1:17" x14ac:dyDescent="0.3">
      <c r="A3841" t="s">
        <v>4966</v>
      </c>
      <c r="B3841" s="6">
        <v>45243</v>
      </c>
      <c r="C3841" s="6" t="str">
        <f t="shared" si="177"/>
        <v>Nov</v>
      </c>
      <c r="D3841" t="s">
        <v>109</v>
      </c>
      <c r="E3841" t="s">
        <v>50</v>
      </c>
      <c r="F3841" t="s">
        <v>598</v>
      </c>
      <c r="G3841">
        <v>5</v>
      </c>
      <c r="H3841" s="7">
        <v>419.01</v>
      </c>
      <c r="I3841" t="s">
        <v>64</v>
      </c>
      <c r="J3841" t="s">
        <v>28</v>
      </c>
      <c r="K3841">
        <v>10</v>
      </c>
      <c r="L3841" s="7">
        <f t="shared" si="178"/>
        <v>2095.0500000000002</v>
      </c>
      <c r="M3841" s="7"/>
      <c r="O3841">
        <f t="shared" si="179"/>
        <v>2</v>
      </c>
      <c r="Q3841" t="s">
        <v>65</v>
      </c>
    </row>
    <row r="3842" spans="1:17" x14ac:dyDescent="0.3">
      <c r="A3842" t="s">
        <v>4967</v>
      </c>
      <c r="B3842" s="6">
        <v>45061</v>
      </c>
      <c r="C3842" s="6" t="str">
        <f t="shared" si="177"/>
        <v>May</v>
      </c>
      <c r="D3842" t="s">
        <v>2585</v>
      </c>
      <c r="E3842" t="s">
        <v>40</v>
      </c>
      <c r="F3842" t="s">
        <v>939</v>
      </c>
      <c r="G3842">
        <v>4</v>
      </c>
      <c r="H3842" s="7">
        <v>415.95</v>
      </c>
      <c r="I3842" t="s">
        <v>21</v>
      </c>
      <c r="J3842" t="s">
        <v>42</v>
      </c>
      <c r="K3842">
        <v>10</v>
      </c>
      <c r="L3842" s="7">
        <f t="shared" si="178"/>
        <v>1663.8</v>
      </c>
      <c r="M3842" s="7"/>
      <c r="O3842">
        <f t="shared" si="179"/>
        <v>2</v>
      </c>
      <c r="Q3842" t="s">
        <v>23</v>
      </c>
    </row>
    <row r="3843" spans="1:17" x14ac:dyDescent="0.3">
      <c r="A3843" t="s">
        <v>4968</v>
      </c>
      <c r="B3843" s="6">
        <v>45087</v>
      </c>
      <c r="C3843" s="6" t="str">
        <f t="shared" ref="C3843:C3906" si="180">TEXT(B3843,"MMM")</f>
        <v>Jun</v>
      </c>
      <c r="D3843" t="s">
        <v>675</v>
      </c>
      <c r="E3843" t="s">
        <v>40</v>
      </c>
      <c r="F3843" t="s">
        <v>222</v>
      </c>
      <c r="G3843">
        <v>7</v>
      </c>
      <c r="H3843" s="7">
        <v>478.29</v>
      </c>
      <c r="I3843" t="s">
        <v>64</v>
      </c>
      <c r="J3843" t="s">
        <v>22</v>
      </c>
      <c r="K3843">
        <v>10</v>
      </c>
      <c r="L3843" s="7">
        <f t="shared" ref="L3843:L3906" si="181">G3843*H3843</f>
        <v>3348.03</v>
      </c>
      <c r="M3843" s="7"/>
      <c r="O3843">
        <f t="shared" si="179"/>
        <v>4</v>
      </c>
      <c r="Q3843" t="s">
        <v>65</v>
      </c>
    </row>
    <row r="3844" spans="1:17" x14ac:dyDescent="0.3">
      <c r="A3844" t="s">
        <v>4969</v>
      </c>
      <c r="B3844" s="6">
        <v>45251</v>
      </c>
      <c r="C3844" s="6" t="str">
        <f t="shared" si="180"/>
        <v>Nov</v>
      </c>
      <c r="D3844" t="s">
        <v>150</v>
      </c>
      <c r="E3844" t="s">
        <v>50</v>
      </c>
      <c r="F3844" t="s">
        <v>51</v>
      </c>
      <c r="G3844">
        <v>7</v>
      </c>
      <c r="H3844" s="7">
        <v>350.64</v>
      </c>
      <c r="I3844" t="s">
        <v>64</v>
      </c>
      <c r="J3844" t="s">
        <v>72</v>
      </c>
      <c r="K3844">
        <v>15</v>
      </c>
      <c r="L3844" s="7">
        <f t="shared" si="181"/>
        <v>2454.48</v>
      </c>
      <c r="M3844" s="7"/>
      <c r="O3844">
        <f t="shared" ref="O3844:O3907" si="182">IF(L3844&gt;3500,5,IF(L3844&gt;3000,4,IF(L3844&gt;2500,3,IF(L3844&gt;2000,2,IF(L3844&gt;1000,2,2)))))</f>
        <v>2</v>
      </c>
      <c r="Q3844" t="s">
        <v>65</v>
      </c>
    </row>
    <row r="3845" spans="1:17" x14ac:dyDescent="0.3">
      <c r="A3845" t="s">
        <v>4970</v>
      </c>
      <c r="B3845" s="6">
        <v>45048</v>
      </c>
      <c r="C3845" s="6" t="str">
        <f t="shared" si="180"/>
        <v>May</v>
      </c>
      <c r="D3845" t="s">
        <v>1838</v>
      </c>
      <c r="E3845" t="s">
        <v>50</v>
      </c>
      <c r="F3845" t="s">
        <v>289</v>
      </c>
      <c r="G3845">
        <v>6</v>
      </c>
      <c r="H3845" s="7">
        <v>107.85</v>
      </c>
      <c r="I3845" t="s">
        <v>21</v>
      </c>
      <c r="J3845" t="s">
        <v>28</v>
      </c>
      <c r="K3845">
        <v>0</v>
      </c>
      <c r="L3845" s="7">
        <f t="shared" si="181"/>
        <v>647.09999999999991</v>
      </c>
      <c r="M3845" s="7"/>
      <c r="O3845">
        <f t="shared" si="182"/>
        <v>2</v>
      </c>
      <c r="Q3845" t="s">
        <v>23</v>
      </c>
    </row>
    <row r="3846" spans="1:17" x14ac:dyDescent="0.3">
      <c r="A3846" t="s">
        <v>4971</v>
      </c>
      <c r="B3846" s="6">
        <v>44937</v>
      </c>
      <c r="C3846" s="6" t="str">
        <f t="shared" si="180"/>
        <v>Jan</v>
      </c>
      <c r="D3846" t="s">
        <v>1828</v>
      </c>
      <c r="E3846" t="s">
        <v>36</v>
      </c>
      <c r="F3846" t="s">
        <v>289</v>
      </c>
      <c r="G3846">
        <v>8</v>
      </c>
      <c r="H3846" s="7">
        <v>15.04</v>
      </c>
      <c r="I3846" t="s">
        <v>46</v>
      </c>
      <c r="J3846" t="s">
        <v>19</v>
      </c>
      <c r="K3846">
        <v>10</v>
      </c>
      <c r="L3846" s="7">
        <f t="shared" si="181"/>
        <v>120.32</v>
      </c>
      <c r="M3846" s="7"/>
      <c r="O3846">
        <f t="shared" si="182"/>
        <v>2</v>
      </c>
      <c r="Q3846" t="s">
        <v>47</v>
      </c>
    </row>
    <row r="3847" spans="1:17" x14ac:dyDescent="0.3">
      <c r="A3847" t="s">
        <v>4972</v>
      </c>
      <c r="B3847" s="6">
        <v>45044</v>
      </c>
      <c r="C3847" s="6" t="str">
        <f t="shared" si="180"/>
        <v>Apr</v>
      </c>
      <c r="D3847" t="s">
        <v>1315</v>
      </c>
      <c r="E3847" t="s">
        <v>19</v>
      </c>
      <c r="F3847" t="s">
        <v>684</v>
      </c>
      <c r="G3847">
        <v>4</v>
      </c>
      <c r="H3847" s="7">
        <v>242.31</v>
      </c>
      <c r="I3847" t="s">
        <v>21</v>
      </c>
      <c r="J3847" t="s">
        <v>87</v>
      </c>
      <c r="K3847">
        <v>0</v>
      </c>
      <c r="L3847" s="7">
        <f t="shared" si="181"/>
        <v>969.24</v>
      </c>
      <c r="M3847" s="7"/>
      <c r="O3847">
        <f t="shared" si="182"/>
        <v>2</v>
      </c>
      <c r="Q3847" t="s">
        <v>23</v>
      </c>
    </row>
    <row r="3848" spans="1:17" x14ac:dyDescent="0.3">
      <c r="A3848" t="s">
        <v>4973</v>
      </c>
      <c r="B3848" s="6">
        <v>45176</v>
      </c>
      <c r="C3848" s="6" t="str">
        <f t="shared" si="180"/>
        <v>Sep</v>
      </c>
      <c r="D3848" t="s">
        <v>1464</v>
      </c>
      <c r="E3848" t="s">
        <v>50</v>
      </c>
      <c r="F3848" t="s">
        <v>1023</v>
      </c>
      <c r="G3848">
        <v>5</v>
      </c>
      <c r="H3848" s="7">
        <v>259.27999999999997</v>
      </c>
      <c r="I3848" t="s">
        <v>21</v>
      </c>
      <c r="J3848" t="s">
        <v>72</v>
      </c>
      <c r="K3848">
        <v>5</v>
      </c>
      <c r="L3848" s="7">
        <f t="shared" si="181"/>
        <v>1296.3999999999999</v>
      </c>
      <c r="M3848" s="7"/>
      <c r="O3848">
        <f t="shared" si="182"/>
        <v>2</v>
      </c>
      <c r="Q3848" t="s">
        <v>23</v>
      </c>
    </row>
    <row r="3849" spans="1:17" x14ac:dyDescent="0.3">
      <c r="A3849" t="s">
        <v>4974</v>
      </c>
      <c r="B3849" s="6">
        <v>45011</v>
      </c>
      <c r="C3849" s="6" t="str">
        <f t="shared" si="180"/>
        <v>Mar</v>
      </c>
      <c r="D3849" t="s">
        <v>2897</v>
      </c>
      <c r="E3849" t="s">
        <v>40</v>
      </c>
      <c r="F3849" t="s">
        <v>1851</v>
      </c>
      <c r="G3849">
        <v>4</v>
      </c>
      <c r="H3849" s="7">
        <v>123.93</v>
      </c>
      <c r="I3849" t="s">
        <v>32</v>
      </c>
      <c r="J3849" t="s">
        <v>72</v>
      </c>
      <c r="K3849">
        <v>20</v>
      </c>
      <c r="L3849" s="7">
        <f t="shared" si="181"/>
        <v>495.72</v>
      </c>
      <c r="M3849" s="7"/>
      <c r="O3849">
        <f t="shared" si="182"/>
        <v>2</v>
      </c>
      <c r="Q3849" t="s">
        <v>33</v>
      </c>
    </row>
    <row r="3850" spans="1:17" x14ac:dyDescent="0.3">
      <c r="A3850" t="s">
        <v>4975</v>
      </c>
      <c r="B3850" s="6">
        <v>45225</v>
      </c>
      <c r="C3850" s="6" t="str">
        <f t="shared" si="180"/>
        <v>Oct</v>
      </c>
      <c r="D3850" t="s">
        <v>985</v>
      </c>
      <c r="E3850" t="s">
        <v>19</v>
      </c>
      <c r="F3850" t="s">
        <v>909</v>
      </c>
      <c r="G3850">
        <v>1</v>
      </c>
      <c r="H3850" s="7">
        <v>66.73</v>
      </c>
      <c r="I3850" t="s">
        <v>46</v>
      </c>
      <c r="J3850" t="s">
        <v>42</v>
      </c>
      <c r="K3850">
        <v>5</v>
      </c>
      <c r="L3850" s="7">
        <f t="shared" si="181"/>
        <v>66.73</v>
      </c>
      <c r="M3850" s="7"/>
      <c r="O3850">
        <f t="shared" si="182"/>
        <v>2</v>
      </c>
      <c r="Q3850" t="s">
        <v>47</v>
      </c>
    </row>
    <row r="3851" spans="1:17" x14ac:dyDescent="0.3">
      <c r="A3851" t="s">
        <v>4976</v>
      </c>
      <c r="B3851" s="6">
        <v>45100</v>
      </c>
      <c r="C3851" s="6" t="str">
        <f t="shared" si="180"/>
        <v>Jun</v>
      </c>
      <c r="D3851" t="s">
        <v>729</v>
      </c>
      <c r="E3851" t="s">
        <v>31</v>
      </c>
      <c r="F3851" t="s">
        <v>730</v>
      </c>
      <c r="G3851">
        <v>8</v>
      </c>
      <c r="H3851" s="7">
        <v>295.17</v>
      </c>
      <c r="I3851" t="s">
        <v>64</v>
      </c>
      <c r="J3851" t="s">
        <v>19</v>
      </c>
      <c r="K3851">
        <v>10</v>
      </c>
      <c r="L3851" s="7">
        <f t="shared" si="181"/>
        <v>2361.36</v>
      </c>
      <c r="M3851" s="7"/>
      <c r="O3851">
        <f t="shared" si="182"/>
        <v>2</v>
      </c>
      <c r="Q3851" t="s">
        <v>65</v>
      </c>
    </row>
    <row r="3852" spans="1:17" x14ac:dyDescent="0.3">
      <c r="A3852" t="s">
        <v>4977</v>
      </c>
      <c r="B3852" s="6">
        <v>45183</v>
      </c>
      <c r="C3852" s="6" t="str">
        <f t="shared" si="180"/>
        <v>Sep</v>
      </c>
      <c r="D3852" t="s">
        <v>2340</v>
      </c>
      <c r="E3852" t="s">
        <v>26</v>
      </c>
      <c r="F3852" t="s">
        <v>909</v>
      </c>
      <c r="G3852">
        <v>1</v>
      </c>
      <c r="H3852" s="7">
        <v>383.31</v>
      </c>
      <c r="I3852" t="s">
        <v>32</v>
      </c>
      <c r="J3852" t="s">
        <v>72</v>
      </c>
      <c r="K3852">
        <v>10</v>
      </c>
      <c r="L3852" s="7">
        <f t="shared" si="181"/>
        <v>383.31</v>
      </c>
      <c r="M3852" s="7"/>
      <c r="O3852">
        <f t="shared" si="182"/>
        <v>2</v>
      </c>
      <c r="Q3852" t="s">
        <v>33</v>
      </c>
    </row>
    <row r="3853" spans="1:17" x14ac:dyDescent="0.3">
      <c r="A3853" t="s">
        <v>4978</v>
      </c>
      <c r="B3853" s="6">
        <v>44982</v>
      </c>
      <c r="C3853" s="6" t="str">
        <f t="shared" si="180"/>
        <v>Feb</v>
      </c>
      <c r="D3853" t="s">
        <v>947</v>
      </c>
      <c r="E3853" t="s">
        <v>62</v>
      </c>
      <c r="F3853" t="s">
        <v>693</v>
      </c>
      <c r="G3853">
        <v>5</v>
      </c>
      <c r="H3853" s="7">
        <v>496.61</v>
      </c>
      <c r="I3853" t="s">
        <v>64</v>
      </c>
      <c r="J3853" t="s">
        <v>42</v>
      </c>
      <c r="K3853">
        <v>5</v>
      </c>
      <c r="L3853" s="7">
        <f t="shared" si="181"/>
        <v>2483.0500000000002</v>
      </c>
      <c r="M3853" s="7"/>
      <c r="O3853">
        <f t="shared" si="182"/>
        <v>2</v>
      </c>
      <c r="Q3853" t="s">
        <v>65</v>
      </c>
    </row>
    <row r="3854" spans="1:17" x14ac:dyDescent="0.3">
      <c r="A3854" t="s">
        <v>4979</v>
      </c>
      <c r="B3854" s="6">
        <v>45028</v>
      </c>
      <c r="C3854" s="6" t="str">
        <f t="shared" si="180"/>
        <v>Apr</v>
      </c>
      <c r="D3854" t="s">
        <v>1870</v>
      </c>
      <c r="E3854" t="s">
        <v>50</v>
      </c>
      <c r="F3854" t="s">
        <v>833</v>
      </c>
      <c r="G3854">
        <v>6</v>
      </c>
      <c r="H3854" s="7">
        <v>380.36</v>
      </c>
      <c r="I3854" t="s">
        <v>21</v>
      </c>
      <c r="J3854" t="s">
        <v>42</v>
      </c>
      <c r="K3854">
        <v>15</v>
      </c>
      <c r="L3854" s="7">
        <f t="shared" si="181"/>
        <v>2282.16</v>
      </c>
      <c r="M3854" s="7"/>
      <c r="O3854">
        <f t="shared" si="182"/>
        <v>2</v>
      </c>
      <c r="Q3854" t="s">
        <v>23</v>
      </c>
    </row>
    <row r="3855" spans="1:17" x14ac:dyDescent="0.3">
      <c r="A3855" t="s">
        <v>4980</v>
      </c>
      <c r="B3855" s="6">
        <v>45004</v>
      </c>
      <c r="C3855" s="6" t="str">
        <f t="shared" si="180"/>
        <v>Mar</v>
      </c>
      <c r="D3855" t="s">
        <v>1710</v>
      </c>
      <c r="E3855" t="s">
        <v>26</v>
      </c>
      <c r="F3855" t="s">
        <v>968</v>
      </c>
      <c r="G3855">
        <v>6</v>
      </c>
      <c r="H3855" s="7">
        <v>397.85</v>
      </c>
      <c r="I3855" t="s">
        <v>46</v>
      </c>
      <c r="J3855" t="s">
        <v>22</v>
      </c>
      <c r="K3855">
        <v>0</v>
      </c>
      <c r="L3855" s="7">
        <f t="shared" si="181"/>
        <v>2387.1000000000004</v>
      </c>
      <c r="M3855" s="7"/>
      <c r="O3855">
        <f t="shared" si="182"/>
        <v>2</v>
      </c>
      <c r="Q3855" t="s">
        <v>47</v>
      </c>
    </row>
    <row r="3856" spans="1:17" x14ac:dyDescent="0.3">
      <c r="A3856" t="s">
        <v>4981</v>
      </c>
      <c r="B3856" s="6">
        <v>44980</v>
      </c>
      <c r="C3856" s="6" t="str">
        <f t="shared" si="180"/>
        <v>Feb</v>
      </c>
      <c r="D3856" t="s">
        <v>943</v>
      </c>
      <c r="E3856" t="s">
        <v>19</v>
      </c>
      <c r="F3856" t="s">
        <v>356</v>
      </c>
      <c r="G3856">
        <v>5</v>
      </c>
      <c r="H3856" s="7">
        <v>310.14999999999998</v>
      </c>
      <c r="I3856" t="s">
        <v>21</v>
      </c>
      <c r="J3856" t="s">
        <v>28</v>
      </c>
      <c r="K3856">
        <v>10</v>
      </c>
      <c r="L3856" s="7">
        <f t="shared" si="181"/>
        <v>1550.75</v>
      </c>
      <c r="M3856" s="7"/>
      <c r="O3856">
        <f t="shared" si="182"/>
        <v>2</v>
      </c>
      <c r="Q3856" t="s">
        <v>23</v>
      </c>
    </row>
    <row r="3857" spans="1:17" x14ac:dyDescent="0.3">
      <c r="A3857" t="s">
        <v>4982</v>
      </c>
      <c r="B3857" s="6">
        <v>45096</v>
      </c>
      <c r="C3857" s="6" t="str">
        <f t="shared" si="180"/>
        <v>Jun</v>
      </c>
      <c r="D3857" t="s">
        <v>1856</v>
      </c>
      <c r="E3857" t="s">
        <v>19</v>
      </c>
      <c r="F3857" t="s">
        <v>110</v>
      </c>
      <c r="G3857">
        <v>3</v>
      </c>
      <c r="H3857" s="7">
        <v>493.03</v>
      </c>
      <c r="I3857" t="s">
        <v>32</v>
      </c>
      <c r="J3857" t="s">
        <v>72</v>
      </c>
      <c r="K3857">
        <v>10</v>
      </c>
      <c r="L3857" s="7">
        <f t="shared" si="181"/>
        <v>1479.09</v>
      </c>
      <c r="M3857" s="7"/>
      <c r="O3857">
        <f t="shared" si="182"/>
        <v>2</v>
      </c>
      <c r="Q3857" t="s">
        <v>33</v>
      </c>
    </row>
    <row r="3858" spans="1:17" x14ac:dyDescent="0.3">
      <c r="A3858" t="s">
        <v>4983</v>
      </c>
      <c r="B3858" s="6">
        <v>45101</v>
      </c>
      <c r="C3858" s="6" t="str">
        <f t="shared" si="180"/>
        <v>Jun</v>
      </c>
      <c r="D3858" t="s">
        <v>3940</v>
      </c>
      <c r="E3858" t="s">
        <v>50</v>
      </c>
      <c r="F3858" t="s">
        <v>128</v>
      </c>
      <c r="G3858">
        <v>5</v>
      </c>
      <c r="H3858" s="7">
        <v>321.77999999999997</v>
      </c>
      <c r="I3858" t="s">
        <v>21</v>
      </c>
      <c r="J3858" t="s">
        <v>72</v>
      </c>
      <c r="K3858">
        <v>10</v>
      </c>
      <c r="L3858" s="7">
        <f t="shared" si="181"/>
        <v>1608.8999999999999</v>
      </c>
      <c r="M3858" s="7"/>
      <c r="O3858">
        <f t="shared" si="182"/>
        <v>2</v>
      </c>
      <c r="Q3858" t="s">
        <v>23</v>
      </c>
    </row>
    <row r="3859" spans="1:17" x14ac:dyDescent="0.3">
      <c r="A3859" t="s">
        <v>4984</v>
      </c>
      <c r="B3859" s="6">
        <v>45077</v>
      </c>
      <c r="C3859" s="6" t="str">
        <f t="shared" si="180"/>
        <v>May</v>
      </c>
      <c r="D3859" t="s">
        <v>429</v>
      </c>
      <c r="E3859" t="s">
        <v>36</v>
      </c>
      <c r="F3859" t="s">
        <v>1180</v>
      </c>
      <c r="G3859">
        <v>8</v>
      </c>
      <c r="H3859" s="7">
        <v>430.83</v>
      </c>
      <c r="I3859" t="s">
        <v>46</v>
      </c>
      <c r="J3859" t="s">
        <v>28</v>
      </c>
      <c r="K3859">
        <v>15</v>
      </c>
      <c r="L3859" s="7">
        <f t="shared" si="181"/>
        <v>3446.64</v>
      </c>
      <c r="M3859" s="7"/>
      <c r="O3859">
        <f t="shared" si="182"/>
        <v>4</v>
      </c>
      <c r="Q3859" t="s">
        <v>47</v>
      </c>
    </row>
    <row r="3860" spans="1:17" x14ac:dyDescent="0.3">
      <c r="A3860" t="s">
        <v>4985</v>
      </c>
      <c r="B3860" s="6">
        <v>44979</v>
      </c>
      <c r="C3860" s="6" t="str">
        <f t="shared" si="180"/>
        <v>Feb</v>
      </c>
      <c r="D3860" t="s">
        <v>553</v>
      </c>
      <c r="E3860" t="s">
        <v>19</v>
      </c>
      <c r="F3860" t="s">
        <v>173</v>
      </c>
      <c r="G3860">
        <v>2</v>
      </c>
      <c r="H3860" s="7">
        <v>473.16</v>
      </c>
      <c r="I3860" t="s">
        <v>21</v>
      </c>
      <c r="J3860" t="s">
        <v>22</v>
      </c>
      <c r="K3860">
        <v>0</v>
      </c>
      <c r="L3860" s="7">
        <f t="shared" si="181"/>
        <v>946.32</v>
      </c>
      <c r="M3860" s="7"/>
      <c r="O3860">
        <f t="shared" si="182"/>
        <v>2</v>
      </c>
      <c r="Q3860" t="s">
        <v>23</v>
      </c>
    </row>
    <row r="3861" spans="1:17" x14ac:dyDescent="0.3">
      <c r="A3861" t="s">
        <v>4986</v>
      </c>
      <c r="B3861" s="6">
        <v>45072</v>
      </c>
      <c r="C3861" s="6" t="str">
        <f t="shared" si="180"/>
        <v>May</v>
      </c>
      <c r="D3861" t="s">
        <v>1562</v>
      </c>
      <c r="E3861" t="s">
        <v>19</v>
      </c>
      <c r="F3861" t="s">
        <v>313</v>
      </c>
      <c r="G3861">
        <v>6</v>
      </c>
      <c r="H3861" s="7">
        <v>465.28</v>
      </c>
      <c r="I3861" t="s">
        <v>103</v>
      </c>
      <c r="J3861" t="s">
        <v>22</v>
      </c>
      <c r="K3861">
        <v>15</v>
      </c>
      <c r="L3861" s="7">
        <f t="shared" si="181"/>
        <v>2791.68</v>
      </c>
      <c r="M3861" s="7"/>
      <c r="O3861">
        <f t="shared" si="182"/>
        <v>3</v>
      </c>
      <c r="Q3861" t="s">
        <v>104</v>
      </c>
    </row>
    <row r="3862" spans="1:17" x14ac:dyDescent="0.3">
      <c r="A3862" t="s">
        <v>4987</v>
      </c>
      <c r="B3862" s="6">
        <v>45030</v>
      </c>
      <c r="C3862" s="6" t="str">
        <f t="shared" si="180"/>
        <v>Apr</v>
      </c>
      <c r="D3862" t="s">
        <v>1725</v>
      </c>
      <c r="E3862" t="s">
        <v>26</v>
      </c>
      <c r="F3862" t="s">
        <v>1461</v>
      </c>
      <c r="G3862">
        <v>9</v>
      </c>
      <c r="H3862" s="7">
        <v>193.8</v>
      </c>
      <c r="I3862" t="s">
        <v>103</v>
      </c>
      <c r="J3862" t="s">
        <v>28</v>
      </c>
      <c r="K3862">
        <v>5</v>
      </c>
      <c r="L3862" s="7">
        <f t="shared" si="181"/>
        <v>1744.2</v>
      </c>
      <c r="M3862" s="7"/>
      <c r="O3862">
        <f t="shared" si="182"/>
        <v>2</v>
      </c>
      <c r="Q3862" t="s">
        <v>104</v>
      </c>
    </row>
    <row r="3863" spans="1:17" x14ac:dyDescent="0.3">
      <c r="A3863" t="s">
        <v>4988</v>
      </c>
      <c r="B3863" s="6">
        <v>45038</v>
      </c>
      <c r="C3863" s="6" t="str">
        <f t="shared" si="180"/>
        <v>Apr</v>
      </c>
      <c r="D3863" t="s">
        <v>1562</v>
      </c>
      <c r="E3863" t="s">
        <v>36</v>
      </c>
      <c r="F3863" t="s">
        <v>1851</v>
      </c>
      <c r="G3863">
        <v>8</v>
      </c>
      <c r="H3863" s="7">
        <v>43.94</v>
      </c>
      <c r="I3863" t="s">
        <v>64</v>
      </c>
      <c r="J3863" t="s">
        <v>72</v>
      </c>
      <c r="K3863">
        <v>10</v>
      </c>
      <c r="L3863" s="7">
        <f t="shared" si="181"/>
        <v>351.52</v>
      </c>
      <c r="M3863" s="7"/>
      <c r="O3863">
        <f t="shared" si="182"/>
        <v>2</v>
      </c>
      <c r="Q3863" t="s">
        <v>65</v>
      </c>
    </row>
    <row r="3864" spans="1:17" x14ac:dyDescent="0.3">
      <c r="A3864" t="s">
        <v>4989</v>
      </c>
      <c r="B3864" s="6">
        <v>45147</v>
      </c>
      <c r="C3864" s="6" t="str">
        <f t="shared" si="180"/>
        <v>Aug</v>
      </c>
      <c r="D3864" t="s">
        <v>1216</v>
      </c>
      <c r="E3864" t="s">
        <v>40</v>
      </c>
      <c r="F3864" t="s">
        <v>1085</v>
      </c>
      <c r="G3864">
        <v>8</v>
      </c>
      <c r="H3864" s="7">
        <v>90.08</v>
      </c>
      <c r="I3864" t="s">
        <v>103</v>
      </c>
      <c r="J3864" t="s">
        <v>19</v>
      </c>
      <c r="K3864">
        <v>10</v>
      </c>
      <c r="L3864" s="7">
        <f t="shared" si="181"/>
        <v>720.64</v>
      </c>
      <c r="M3864" s="7"/>
      <c r="O3864">
        <f t="shared" si="182"/>
        <v>2</v>
      </c>
      <c r="Q3864" t="s">
        <v>104</v>
      </c>
    </row>
    <row r="3865" spans="1:17" x14ac:dyDescent="0.3">
      <c r="A3865" t="s">
        <v>4990</v>
      </c>
      <c r="B3865" s="6">
        <v>44968</v>
      </c>
      <c r="C3865" s="6" t="str">
        <f t="shared" si="180"/>
        <v>Feb</v>
      </c>
      <c r="D3865" t="s">
        <v>1770</v>
      </c>
      <c r="E3865" t="s">
        <v>50</v>
      </c>
      <c r="F3865" t="s">
        <v>520</v>
      </c>
      <c r="G3865">
        <v>8</v>
      </c>
      <c r="H3865" s="7">
        <v>34.32</v>
      </c>
      <c r="I3865" t="s">
        <v>32</v>
      </c>
      <c r="J3865" t="s">
        <v>22</v>
      </c>
      <c r="K3865">
        <v>10</v>
      </c>
      <c r="L3865" s="7">
        <f t="shared" si="181"/>
        <v>274.56</v>
      </c>
      <c r="M3865" s="7"/>
      <c r="O3865">
        <f t="shared" si="182"/>
        <v>2</v>
      </c>
      <c r="Q3865" t="s">
        <v>33</v>
      </c>
    </row>
    <row r="3866" spans="1:17" x14ac:dyDescent="0.3">
      <c r="A3866" t="s">
        <v>4991</v>
      </c>
      <c r="B3866" s="6">
        <v>45031</v>
      </c>
      <c r="C3866" s="6" t="str">
        <f t="shared" si="180"/>
        <v>Apr</v>
      </c>
      <c r="D3866" t="s">
        <v>1093</v>
      </c>
      <c r="E3866" t="s">
        <v>19</v>
      </c>
      <c r="F3866" t="s">
        <v>1142</v>
      </c>
      <c r="G3866">
        <v>7</v>
      </c>
      <c r="H3866" s="7">
        <v>57.17</v>
      </c>
      <c r="I3866" t="s">
        <v>103</v>
      </c>
      <c r="J3866" t="s">
        <v>19</v>
      </c>
      <c r="K3866">
        <v>5</v>
      </c>
      <c r="L3866" s="7">
        <f t="shared" si="181"/>
        <v>400.19</v>
      </c>
      <c r="M3866" s="7"/>
      <c r="O3866">
        <f t="shared" si="182"/>
        <v>2</v>
      </c>
      <c r="Q3866" t="s">
        <v>104</v>
      </c>
    </row>
    <row r="3867" spans="1:17" x14ac:dyDescent="0.3">
      <c r="A3867" t="s">
        <v>4992</v>
      </c>
      <c r="B3867" s="6">
        <v>45096</v>
      </c>
      <c r="C3867" s="6" t="str">
        <f t="shared" si="180"/>
        <v>Jun</v>
      </c>
      <c r="D3867" t="s">
        <v>682</v>
      </c>
      <c r="E3867" t="s">
        <v>62</v>
      </c>
      <c r="F3867" t="s">
        <v>193</v>
      </c>
      <c r="G3867">
        <v>8</v>
      </c>
      <c r="H3867" s="7">
        <v>96.4</v>
      </c>
      <c r="I3867" t="s">
        <v>103</v>
      </c>
      <c r="J3867" t="s">
        <v>19</v>
      </c>
      <c r="K3867">
        <v>10</v>
      </c>
      <c r="L3867" s="7">
        <f t="shared" si="181"/>
        <v>771.2</v>
      </c>
      <c r="M3867" s="7"/>
      <c r="O3867">
        <f t="shared" si="182"/>
        <v>2</v>
      </c>
      <c r="Q3867" t="s">
        <v>104</v>
      </c>
    </row>
    <row r="3868" spans="1:17" x14ac:dyDescent="0.3">
      <c r="A3868" t="s">
        <v>4993</v>
      </c>
      <c r="B3868" s="6">
        <v>45013</v>
      </c>
      <c r="C3868" s="6" t="str">
        <f t="shared" si="180"/>
        <v>Mar</v>
      </c>
      <c r="D3868" t="s">
        <v>689</v>
      </c>
      <c r="E3868" t="s">
        <v>26</v>
      </c>
      <c r="F3868" t="s">
        <v>319</v>
      </c>
      <c r="G3868">
        <v>6</v>
      </c>
      <c r="H3868" s="7">
        <v>173.84</v>
      </c>
      <c r="I3868" t="s">
        <v>21</v>
      </c>
      <c r="J3868" t="s">
        <v>42</v>
      </c>
      <c r="K3868">
        <v>20</v>
      </c>
      <c r="L3868" s="7">
        <f t="shared" si="181"/>
        <v>1043.04</v>
      </c>
      <c r="M3868" s="7"/>
      <c r="O3868">
        <f t="shared" si="182"/>
        <v>2</v>
      </c>
      <c r="Q3868" t="s">
        <v>23</v>
      </c>
    </row>
    <row r="3869" spans="1:17" x14ac:dyDescent="0.3">
      <c r="A3869" t="s">
        <v>4994</v>
      </c>
      <c r="B3869" s="6">
        <v>45263</v>
      </c>
      <c r="C3869" s="6" t="str">
        <f t="shared" si="180"/>
        <v>Dec</v>
      </c>
      <c r="D3869" t="s">
        <v>2587</v>
      </c>
      <c r="E3869" t="s">
        <v>26</v>
      </c>
      <c r="F3869" t="s">
        <v>1237</v>
      </c>
      <c r="G3869">
        <v>2</v>
      </c>
      <c r="H3869" s="7">
        <v>274.05</v>
      </c>
      <c r="I3869" t="s">
        <v>46</v>
      </c>
      <c r="J3869" t="s">
        <v>19</v>
      </c>
      <c r="K3869">
        <v>10</v>
      </c>
      <c r="L3869" s="7">
        <f t="shared" si="181"/>
        <v>548.1</v>
      </c>
      <c r="M3869" s="7"/>
      <c r="O3869">
        <f t="shared" si="182"/>
        <v>2</v>
      </c>
      <c r="Q3869" t="s">
        <v>47</v>
      </c>
    </row>
    <row r="3870" spans="1:17" x14ac:dyDescent="0.3">
      <c r="A3870" t="s">
        <v>4995</v>
      </c>
      <c r="B3870" s="6">
        <v>45284</v>
      </c>
      <c r="C3870" s="6" t="str">
        <f t="shared" si="180"/>
        <v>Dec</v>
      </c>
      <c r="D3870" t="s">
        <v>1225</v>
      </c>
      <c r="E3870" t="s">
        <v>40</v>
      </c>
      <c r="F3870" t="s">
        <v>78</v>
      </c>
      <c r="G3870">
        <v>2</v>
      </c>
      <c r="H3870" s="7">
        <v>357.28</v>
      </c>
      <c r="I3870" t="s">
        <v>21</v>
      </c>
      <c r="J3870" t="s">
        <v>22</v>
      </c>
      <c r="K3870">
        <v>5</v>
      </c>
      <c r="L3870" s="7">
        <f t="shared" si="181"/>
        <v>714.56</v>
      </c>
      <c r="M3870" s="7"/>
      <c r="O3870">
        <f t="shared" si="182"/>
        <v>2</v>
      </c>
      <c r="Q3870" t="s">
        <v>23</v>
      </c>
    </row>
    <row r="3871" spans="1:17" x14ac:dyDescent="0.3">
      <c r="A3871" t="s">
        <v>4996</v>
      </c>
      <c r="B3871" s="6">
        <v>45075</v>
      </c>
      <c r="C3871" s="6" t="str">
        <f t="shared" si="180"/>
        <v>May</v>
      </c>
      <c r="D3871" t="s">
        <v>1580</v>
      </c>
      <c r="E3871" t="s">
        <v>50</v>
      </c>
      <c r="F3871" t="s">
        <v>1251</v>
      </c>
      <c r="G3871">
        <v>8</v>
      </c>
      <c r="H3871" s="7">
        <v>109.41</v>
      </c>
      <c r="I3871" t="s">
        <v>19</v>
      </c>
      <c r="J3871" t="s">
        <v>19</v>
      </c>
      <c r="K3871">
        <v>10</v>
      </c>
      <c r="L3871" s="7">
        <f t="shared" si="181"/>
        <v>875.28</v>
      </c>
      <c r="M3871" s="7"/>
      <c r="O3871">
        <f t="shared" si="182"/>
        <v>2</v>
      </c>
      <c r="Q3871" t="s">
        <v>19</v>
      </c>
    </row>
    <row r="3872" spans="1:17" x14ac:dyDescent="0.3">
      <c r="A3872" t="s">
        <v>4997</v>
      </c>
      <c r="B3872" s="6">
        <v>45220</v>
      </c>
      <c r="C3872" s="6" t="str">
        <f t="shared" si="180"/>
        <v>Oct</v>
      </c>
      <c r="D3872" t="s">
        <v>1684</v>
      </c>
      <c r="E3872" t="s">
        <v>19</v>
      </c>
      <c r="F3872" t="s">
        <v>165</v>
      </c>
      <c r="G3872">
        <v>1</v>
      </c>
      <c r="H3872" s="7">
        <v>252.16</v>
      </c>
      <c r="I3872" t="s">
        <v>103</v>
      </c>
      <c r="J3872" t="s">
        <v>22</v>
      </c>
      <c r="K3872">
        <v>0</v>
      </c>
      <c r="L3872" s="7">
        <f t="shared" si="181"/>
        <v>252.16</v>
      </c>
      <c r="M3872" s="7"/>
      <c r="O3872">
        <f t="shared" si="182"/>
        <v>2</v>
      </c>
      <c r="Q3872" t="s">
        <v>104</v>
      </c>
    </row>
    <row r="3873" spans="1:17" x14ac:dyDescent="0.3">
      <c r="A3873" t="s">
        <v>4998</v>
      </c>
      <c r="B3873" s="6">
        <v>45014</v>
      </c>
      <c r="C3873" s="6" t="str">
        <f t="shared" si="180"/>
        <v>Mar</v>
      </c>
      <c r="D3873" t="s">
        <v>2009</v>
      </c>
      <c r="E3873" t="s">
        <v>36</v>
      </c>
      <c r="F3873" t="s">
        <v>646</v>
      </c>
      <c r="G3873">
        <v>6</v>
      </c>
      <c r="H3873" s="7">
        <v>353.61</v>
      </c>
      <c r="I3873" t="s">
        <v>103</v>
      </c>
      <c r="J3873" t="s">
        <v>72</v>
      </c>
      <c r="K3873">
        <v>10</v>
      </c>
      <c r="L3873" s="7">
        <f t="shared" si="181"/>
        <v>2121.66</v>
      </c>
      <c r="M3873" s="7"/>
      <c r="O3873">
        <f t="shared" si="182"/>
        <v>2</v>
      </c>
      <c r="Q3873" t="s">
        <v>104</v>
      </c>
    </row>
    <row r="3874" spans="1:17" x14ac:dyDescent="0.3">
      <c r="A3874" t="s">
        <v>4999</v>
      </c>
      <c r="B3874" s="6">
        <v>45168</v>
      </c>
      <c r="C3874" s="6" t="str">
        <f t="shared" si="180"/>
        <v>Aug</v>
      </c>
      <c r="D3874" t="s">
        <v>1963</v>
      </c>
      <c r="E3874" t="s">
        <v>26</v>
      </c>
      <c r="F3874" t="s">
        <v>1568</v>
      </c>
      <c r="G3874">
        <v>6</v>
      </c>
      <c r="H3874" s="7">
        <v>281.52</v>
      </c>
      <c r="I3874" t="s">
        <v>21</v>
      </c>
      <c r="J3874" t="s">
        <v>42</v>
      </c>
      <c r="K3874">
        <v>10</v>
      </c>
      <c r="L3874" s="7">
        <f t="shared" si="181"/>
        <v>1689.12</v>
      </c>
      <c r="M3874" s="7"/>
      <c r="O3874">
        <f t="shared" si="182"/>
        <v>2</v>
      </c>
      <c r="Q3874" t="s">
        <v>23</v>
      </c>
    </row>
    <row r="3875" spans="1:17" x14ac:dyDescent="0.3">
      <c r="A3875" t="s">
        <v>5000</v>
      </c>
      <c r="B3875" s="6">
        <v>45050</v>
      </c>
      <c r="C3875" s="6" t="str">
        <f t="shared" si="180"/>
        <v>May</v>
      </c>
      <c r="D3875" t="s">
        <v>2012</v>
      </c>
      <c r="E3875" t="s">
        <v>19</v>
      </c>
      <c r="F3875" t="s">
        <v>719</v>
      </c>
      <c r="G3875">
        <v>4</v>
      </c>
      <c r="H3875" s="7">
        <v>452.29</v>
      </c>
      <c r="I3875" t="s">
        <v>19</v>
      </c>
      <c r="J3875" t="s">
        <v>22</v>
      </c>
      <c r="K3875">
        <v>0</v>
      </c>
      <c r="L3875" s="7">
        <f t="shared" si="181"/>
        <v>1809.16</v>
      </c>
      <c r="M3875" s="7"/>
      <c r="O3875">
        <f t="shared" si="182"/>
        <v>2</v>
      </c>
      <c r="Q3875" t="s">
        <v>19</v>
      </c>
    </row>
    <row r="3876" spans="1:17" x14ac:dyDescent="0.3">
      <c r="A3876" t="s">
        <v>5001</v>
      </c>
      <c r="B3876" s="6">
        <v>44976</v>
      </c>
      <c r="C3876" s="6" t="str">
        <f t="shared" si="180"/>
        <v>Feb</v>
      </c>
      <c r="D3876" t="s">
        <v>2671</v>
      </c>
      <c r="E3876" t="s">
        <v>31</v>
      </c>
      <c r="F3876" t="s">
        <v>1023</v>
      </c>
      <c r="G3876">
        <v>3</v>
      </c>
      <c r="H3876" s="7">
        <v>59.94</v>
      </c>
      <c r="I3876" t="s">
        <v>21</v>
      </c>
      <c r="J3876" t="s">
        <v>72</v>
      </c>
      <c r="K3876">
        <v>5</v>
      </c>
      <c r="L3876" s="7">
        <f t="shared" si="181"/>
        <v>179.82</v>
      </c>
      <c r="M3876" s="7"/>
      <c r="O3876">
        <f t="shared" si="182"/>
        <v>2</v>
      </c>
      <c r="Q3876" t="s">
        <v>23</v>
      </c>
    </row>
    <row r="3877" spans="1:17" x14ac:dyDescent="0.3">
      <c r="A3877" t="s">
        <v>5002</v>
      </c>
      <c r="B3877" s="6">
        <v>45124</v>
      </c>
      <c r="C3877" s="6" t="str">
        <f t="shared" si="180"/>
        <v>Jul</v>
      </c>
      <c r="D3877" t="s">
        <v>2126</v>
      </c>
      <c r="E3877" t="s">
        <v>19</v>
      </c>
      <c r="F3877" t="s">
        <v>369</v>
      </c>
      <c r="G3877">
        <v>3</v>
      </c>
      <c r="H3877" s="7">
        <v>92.68</v>
      </c>
      <c r="I3877" t="s">
        <v>21</v>
      </c>
      <c r="J3877" t="s">
        <v>87</v>
      </c>
      <c r="K3877">
        <v>10</v>
      </c>
      <c r="L3877" s="7">
        <f t="shared" si="181"/>
        <v>278.04000000000002</v>
      </c>
      <c r="M3877" s="7"/>
      <c r="O3877">
        <f t="shared" si="182"/>
        <v>2</v>
      </c>
      <c r="Q3877" t="s">
        <v>23</v>
      </c>
    </row>
    <row r="3878" spans="1:17" x14ac:dyDescent="0.3">
      <c r="A3878" t="s">
        <v>5003</v>
      </c>
      <c r="B3878" s="6">
        <v>45031</v>
      </c>
      <c r="C3878" s="6" t="str">
        <f t="shared" si="180"/>
        <v>Apr</v>
      </c>
      <c r="D3878" t="s">
        <v>1158</v>
      </c>
      <c r="E3878" t="s">
        <v>19</v>
      </c>
      <c r="F3878" t="s">
        <v>693</v>
      </c>
      <c r="G3878">
        <v>1</v>
      </c>
      <c r="H3878" s="7">
        <v>217.19</v>
      </c>
      <c r="I3878" t="s">
        <v>32</v>
      </c>
      <c r="J3878" t="s">
        <v>72</v>
      </c>
      <c r="K3878">
        <v>15</v>
      </c>
      <c r="L3878" s="7">
        <f t="shared" si="181"/>
        <v>217.19</v>
      </c>
      <c r="M3878" s="7"/>
      <c r="O3878">
        <f t="shared" si="182"/>
        <v>2</v>
      </c>
      <c r="Q3878" t="s">
        <v>33</v>
      </c>
    </row>
    <row r="3879" spans="1:17" x14ac:dyDescent="0.3">
      <c r="A3879" t="s">
        <v>5004</v>
      </c>
      <c r="B3879" s="6">
        <v>45242</v>
      </c>
      <c r="C3879" s="6" t="str">
        <f t="shared" si="180"/>
        <v>Nov</v>
      </c>
      <c r="D3879" t="s">
        <v>2236</v>
      </c>
      <c r="E3879" t="s">
        <v>40</v>
      </c>
      <c r="F3879" t="s">
        <v>242</v>
      </c>
      <c r="G3879">
        <v>3</v>
      </c>
      <c r="H3879" s="7">
        <v>67.72</v>
      </c>
      <c r="I3879" t="s">
        <v>103</v>
      </c>
      <c r="J3879" t="s">
        <v>72</v>
      </c>
      <c r="K3879">
        <v>10</v>
      </c>
      <c r="L3879" s="7">
        <f t="shared" si="181"/>
        <v>203.16</v>
      </c>
      <c r="M3879" s="7"/>
      <c r="O3879">
        <f t="shared" si="182"/>
        <v>2</v>
      </c>
      <c r="Q3879" t="s">
        <v>104</v>
      </c>
    </row>
    <row r="3880" spans="1:17" x14ac:dyDescent="0.3">
      <c r="A3880" t="s">
        <v>5005</v>
      </c>
      <c r="B3880" s="6">
        <v>45054</v>
      </c>
      <c r="C3880" s="6" t="str">
        <f t="shared" si="180"/>
        <v>May</v>
      </c>
      <c r="D3880" t="s">
        <v>1673</v>
      </c>
      <c r="E3880" t="s">
        <v>36</v>
      </c>
      <c r="F3880" t="s">
        <v>281</v>
      </c>
      <c r="G3880">
        <v>4</v>
      </c>
      <c r="H3880" s="7">
        <v>285.32</v>
      </c>
      <c r="I3880" t="s">
        <v>64</v>
      </c>
      <c r="J3880" t="s">
        <v>42</v>
      </c>
      <c r="K3880">
        <v>5</v>
      </c>
      <c r="L3880" s="7">
        <f t="shared" si="181"/>
        <v>1141.28</v>
      </c>
      <c r="M3880" s="7"/>
      <c r="O3880">
        <f t="shared" si="182"/>
        <v>2</v>
      </c>
      <c r="Q3880" t="s">
        <v>65</v>
      </c>
    </row>
    <row r="3881" spans="1:17" x14ac:dyDescent="0.3">
      <c r="A3881" t="s">
        <v>5006</v>
      </c>
      <c r="B3881" s="6">
        <v>45217</v>
      </c>
      <c r="C3881" s="6" t="str">
        <f t="shared" si="180"/>
        <v>Oct</v>
      </c>
      <c r="D3881" t="s">
        <v>3502</v>
      </c>
      <c r="E3881" t="s">
        <v>36</v>
      </c>
      <c r="F3881" t="s">
        <v>341</v>
      </c>
      <c r="G3881">
        <v>5</v>
      </c>
      <c r="H3881" s="7">
        <v>202.21</v>
      </c>
      <c r="I3881" t="s">
        <v>46</v>
      </c>
      <c r="J3881" t="s">
        <v>22</v>
      </c>
      <c r="K3881">
        <v>10</v>
      </c>
      <c r="L3881" s="7">
        <f t="shared" si="181"/>
        <v>1011.0500000000001</v>
      </c>
      <c r="M3881" s="7"/>
      <c r="O3881">
        <f t="shared" si="182"/>
        <v>2</v>
      </c>
      <c r="Q3881" t="s">
        <v>47</v>
      </c>
    </row>
    <row r="3882" spans="1:17" x14ac:dyDescent="0.3">
      <c r="A3882" t="s">
        <v>5007</v>
      </c>
      <c r="B3882" s="6">
        <v>45063</v>
      </c>
      <c r="C3882" s="6" t="str">
        <f t="shared" si="180"/>
        <v>May</v>
      </c>
      <c r="D3882" t="s">
        <v>1596</v>
      </c>
      <c r="E3882" t="s">
        <v>31</v>
      </c>
      <c r="F3882" t="s">
        <v>165</v>
      </c>
      <c r="G3882">
        <v>3</v>
      </c>
      <c r="H3882" s="7">
        <v>145.87</v>
      </c>
      <c r="I3882" t="s">
        <v>21</v>
      </c>
      <c r="J3882" t="s">
        <v>19</v>
      </c>
      <c r="K3882">
        <v>0</v>
      </c>
      <c r="L3882" s="7">
        <f t="shared" si="181"/>
        <v>437.61</v>
      </c>
      <c r="M3882" s="7"/>
      <c r="O3882">
        <f t="shared" si="182"/>
        <v>2</v>
      </c>
      <c r="Q3882" t="s">
        <v>23</v>
      </c>
    </row>
    <row r="3883" spans="1:17" x14ac:dyDescent="0.3">
      <c r="A3883" t="s">
        <v>5008</v>
      </c>
      <c r="B3883" s="6">
        <v>45112</v>
      </c>
      <c r="C3883" s="6" t="str">
        <f t="shared" si="180"/>
        <v>Jul</v>
      </c>
      <c r="D3883" t="s">
        <v>1859</v>
      </c>
      <c r="E3883" t="s">
        <v>40</v>
      </c>
      <c r="F3883" t="s">
        <v>386</v>
      </c>
      <c r="G3883">
        <v>6</v>
      </c>
      <c r="H3883" s="7">
        <v>89.14</v>
      </c>
      <c r="I3883" t="s">
        <v>46</v>
      </c>
      <c r="J3883" t="s">
        <v>22</v>
      </c>
      <c r="K3883">
        <v>10</v>
      </c>
      <c r="L3883" s="7">
        <f t="shared" si="181"/>
        <v>534.84</v>
      </c>
      <c r="M3883" s="7"/>
      <c r="O3883">
        <f t="shared" si="182"/>
        <v>2</v>
      </c>
      <c r="Q3883" t="s">
        <v>47</v>
      </c>
    </row>
    <row r="3884" spans="1:17" x14ac:dyDescent="0.3">
      <c r="A3884" t="s">
        <v>5009</v>
      </c>
      <c r="B3884" s="6">
        <v>45157</v>
      </c>
      <c r="C3884" s="6" t="str">
        <f t="shared" si="180"/>
        <v>Aug</v>
      </c>
      <c r="D3884" t="s">
        <v>3588</v>
      </c>
      <c r="E3884" t="s">
        <v>50</v>
      </c>
      <c r="F3884" t="s">
        <v>231</v>
      </c>
      <c r="G3884">
        <v>5</v>
      </c>
      <c r="H3884" s="7">
        <v>170.99</v>
      </c>
      <c r="I3884" t="s">
        <v>103</v>
      </c>
      <c r="J3884" t="s">
        <v>72</v>
      </c>
      <c r="K3884">
        <v>5</v>
      </c>
      <c r="L3884" s="7">
        <f t="shared" si="181"/>
        <v>854.95</v>
      </c>
      <c r="M3884" s="7"/>
      <c r="O3884">
        <f t="shared" si="182"/>
        <v>2</v>
      </c>
      <c r="Q3884" t="s">
        <v>104</v>
      </c>
    </row>
    <row r="3885" spans="1:17" x14ac:dyDescent="0.3">
      <c r="A3885" t="s">
        <v>5010</v>
      </c>
      <c r="B3885" s="6">
        <v>45107</v>
      </c>
      <c r="C3885" s="6" t="str">
        <f t="shared" si="180"/>
        <v>Jun</v>
      </c>
      <c r="D3885" t="s">
        <v>1501</v>
      </c>
      <c r="E3885" t="s">
        <v>19</v>
      </c>
      <c r="F3885" t="s">
        <v>409</v>
      </c>
      <c r="G3885">
        <v>5</v>
      </c>
      <c r="H3885" s="7">
        <v>305.94</v>
      </c>
      <c r="I3885" t="s">
        <v>32</v>
      </c>
      <c r="J3885" t="s">
        <v>42</v>
      </c>
      <c r="K3885">
        <v>20</v>
      </c>
      <c r="L3885" s="7">
        <f t="shared" si="181"/>
        <v>1529.7</v>
      </c>
      <c r="M3885" s="7"/>
      <c r="O3885">
        <f t="shared" si="182"/>
        <v>2</v>
      </c>
      <c r="Q3885" t="s">
        <v>33</v>
      </c>
    </row>
    <row r="3886" spans="1:17" x14ac:dyDescent="0.3">
      <c r="A3886" t="s">
        <v>5011</v>
      </c>
      <c r="B3886" s="6">
        <v>45049</v>
      </c>
      <c r="C3886" s="6" t="str">
        <f t="shared" si="180"/>
        <v>May</v>
      </c>
      <c r="D3886" t="s">
        <v>361</v>
      </c>
      <c r="E3886" t="s">
        <v>50</v>
      </c>
      <c r="F3886" t="s">
        <v>27</v>
      </c>
      <c r="G3886">
        <v>6</v>
      </c>
      <c r="H3886" s="7">
        <v>290.01</v>
      </c>
      <c r="I3886" t="s">
        <v>103</v>
      </c>
      <c r="J3886" t="s">
        <v>42</v>
      </c>
      <c r="K3886">
        <v>10</v>
      </c>
      <c r="L3886" s="7">
        <f t="shared" si="181"/>
        <v>1740.06</v>
      </c>
      <c r="M3886" s="7"/>
      <c r="O3886">
        <f t="shared" si="182"/>
        <v>2</v>
      </c>
      <c r="Q3886" t="s">
        <v>104</v>
      </c>
    </row>
    <row r="3887" spans="1:17" x14ac:dyDescent="0.3">
      <c r="A3887" t="s">
        <v>5012</v>
      </c>
      <c r="B3887" s="6">
        <v>45189</v>
      </c>
      <c r="C3887" s="6" t="str">
        <f t="shared" si="180"/>
        <v>Sep</v>
      </c>
      <c r="D3887" t="s">
        <v>4380</v>
      </c>
      <c r="E3887" t="s">
        <v>26</v>
      </c>
      <c r="F3887" t="s">
        <v>137</v>
      </c>
      <c r="G3887">
        <v>6</v>
      </c>
      <c r="H3887" s="7">
        <v>85.99</v>
      </c>
      <c r="I3887" t="s">
        <v>19</v>
      </c>
      <c r="J3887" t="s">
        <v>28</v>
      </c>
      <c r="K3887">
        <v>10</v>
      </c>
      <c r="L3887" s="7">
        <f t="shared" si="181"/>
        <v>515.93999999999994</v>
      </c>
      <c r="M3887" s="7"/>
      <c r="O3887">
        <f t="shared" si="182"/>
        <v>2</v>
      </c>
      <c r="Q3887" t="s">
        <v>19</v>
      </c>
    </row>
    <row r="3888" spans="1:17" x14ac:dyDescent="0.3">
      <c r="A3888" t="s">
        <v>5013</v>
      </c>
      <c r="B3888" s="6">
        <v>45013</v>
      </c>
      <c r="C3888" s="6" t="str">
        <f t="shared" si="180"/>
        <v>Mar</v>
      </c>
      <c r="D3888" t="s">
        <v>3530</v>
      </c>
      <c r="E3888" t="s">
        <v>19</v>
      </c>
      <c r="F3888" t="s">
        <v>372</v>
      </c>
      <c r="G3888">
        <v>5</v>
      </c>
      <c r="H3888" s="7">
        <v>66.84</v>
      </c>
      <c r="I3888" t="s">
        <v>19</v>
      </c>
      <c r="J3888" t="s">
        <v>72</v>
      </c>
      <c r="K3888">
        <v>10</v>
      </c>
      <c r="L3888" s="7">
        <f t="shared" si="181"/>
        <v>334.20000000000005</v>
      </c>
      <c r="M3888" s="7"/>
      <c r="O3888">
        <f t="shared" si="182"/>
        <v>2</v>
      </c>
      <c r="Q3888" t="s">
        <v>19</v>
      </c>
    </row>
    <row r="3889" spans="1:17" x14ac:dyDescent="0.3">
      <c r="A3889" t="s">
        <v>5014</v>
      </c>
      <c r="B3889" s="6">
        <v>44981</v>
      </c>
      <c r="C3889" s="6" t="str">
        <f t="shared" si="180"/>
        <v>Feb</v>
      </c>
      <c r="D3889" t="s">
        <v>3110</v>
      </c>
      <c r="E3889" t="s">
        <v>19</v>
      </c>
      <c r="F3889" t="s">
        <v>499</v>
      </c>
      <c r="G3889">
        <v>2</v>
      </c>
      <c r="H3889" s="7">
        <v>18.2</v>
      </c>
      <c r="I3889" t="s">
        <v>103</v>
      </c>
      <c r="J3889" t="s">
        <v>87</v>
      </c>
      <c r="K3889">
        <v>0</v>
      </c>
      <c r="L3889" s="7">
        <f t="shared" si="181"/>
        <v>36.4</v>
      </c>
      <c r="M3889" s="7"/>
      <c r="O3889">
        <f t="shared" si="182"/>
        <v>2</v>
      </c>
      <c r="Q3889" t="s">
        <v>104</v>
      </c>
    </row>
    <row r="3890" spans="1:17" x14ac:dyDescent="0.3">
      <c r="A3890" t="s">
        <v>5015</v>
      </c>
      <c r="B3890" s="6">
        <v>45260</v>
      </c>
      <c r="C3890" s="6" t="str">
        <f t="shared" si="180"/>
        <v>Nov</v>
      </c>
      <c r="D3890" t="s">
        <v>1203</v>
      </c>
      <c r="E3890" t="s">
        <v>31</v>
      </c>
      <c r="F3890" t="s">
        <v>137</v>
      </c>
      <c r="G3890">
        <v>1</v>
      </c>
      <c r="H3890" s="7">
        <v>11.15</v>
      </c>
      <c r="I3890" t="s">
        <v>64</v>
      </c>
      <c r="J3890" t="s">
        <v>42</v>
      </c>
      <c r="K3890">
        <v>10</v>
      </c>
      <c r="L3890" s="7">
        <f t="shared" si="181"/>
        <v>11.15</v>
      </c>
      <c r="M3890" s="7"/>
      <c r="O3890">
        <f t="shared" si="182"/>
        <v>2</v>
      </c>
      <c r="Q3890" t="s">
        <v>65</v>
      </c>
    </row>
    <row r="3891" spans="1:17" x14ac:dyDescent="0.3">
      <c r="A3891" t="s">
        <v>5016</v>
      </c>
      <c r="B3891" s="6">
        <v>44937</v>
      </c>
      <c r="C3891" s="6" t="str">
        <f t="shared" si="180"/>
        <v>Jan</v>
      </c>
      <c r="D3891" t="s">
        <v>277</v>
      </c>
      <c r="E3891" t="s">
        <v>36</v>
      </c>
      <c r="F3891" t="s">
        <v>231</v>
      </c>
      <c r="G3891">
        <v>4</v>
      </c>
      <c r="H3891" s="7">
        <v>440.51</v>
      </c>
      <c r="I3891" t="s">
        <v>64</v>
      </c>
      <c r="J3891" t="s">
        <v>42</v>
      </c>
      <c r="K3891">
        <v>15</v>
      </c>
      <c r="L3891" s="7">
        <f t="shared" si="181"/>
        <v>1762.04</v>
      </c>
      <c r="M3891" s="7"/>
      <c r="O3891">
        <f t="shared" si="182"/>
        <v>2</v>
      </c>
      <c r="Q3891" t="s">
        <v>65</v>
      </c>
    </row>
    <row r="3892" spans="1:17" x14ac:dyDescent="0.3">
      <c r="A3892" t="s">
        <v>5017</v>
      </c>
      <c r="B3892" s="6">
        <v>45054</v>
      </c>
      <c r="C3892" s="6" t="str">
        <f t="shared" si="180"/>
        <v>May</v>
      </c>
      <c r="D3892" t="s">
        <v>824</v>
      </c>
      <c r="E3892" t="s">
        <v>40</v>
      </c>
      <c r="F3892" t="s">
        <v>78</v>
      </c>
      <c r="G3892">
        <v>7</v>
      </c>
      <c r="H3892" s="7">
        <v>27.32</v>
      </c>
      <c r="I3892" t="s">
        <v>103</v>
      </c>
      <c r="J3892" t="s">
        <v>87</v>
      </c>
      <c r="K3892">
        <v>15</v>
      </c>
      <c r="L3892" s="7">
        <f t="shared" si="181"/>
        <v>191.24</v>
      </c>
      <c r="M3892" s="7"/>
      <c r="O3892">
        <f t="shared" si="182"/>
        <v>2</v>
      </c>
      <c r="Q3892" t="s">
        <v>104</v>
      </c>
    </row>
    <row r="3893" spans="1:17" x14ac:dyDescent="0.3">
      <c r="A3893" t="s">
        <v>5018</v>
      </c>
      <c r="B3893" s="6">
        <v>44966</v>
      </c>
      <c r="C3893" s="6" t="str">
        <f t="shared" si="180"/>
        <v>Feb</v>
      </c>
      <c r="D3893" t="s">
        <v>1242</v>
      </c>
      <c r="E3893" t="s">
        <v>19</v>
      </c>
      <c r="F3893" t="s">
        <v>1282</v>
      </c>
      <c r="G3893">
        <v>3</v>
      </c>
      <c r="H3893" s="7">
        <v>252.16</v>
      </c>
      <c r="I3893" t="s">
        <v>21</v>
      </c>
      <c r="J3893" t="s">
        <v>22</v>
      </c>
      <c r="K3893">
        <v>10</v>
      </c>
      <c r="L3893" s="7">
        <f t="shared" si="181"/>
        <v>756.48</v>
      </c>
      <c r="M3893" s="7"/>
      <c r="O3893">
        <f t="shared" si="182"/>
        <v>2</v>
      </c>
      <c r="Q3893" t="s">
        <v>23</v>
      </c>
    </row>
    <row r="3894" spans="1:17" x14ac:dyDescent="0.3">
      <c r="A3894" t="s">
        <v>5019</v>
      </c>
      <c r="B3894" s="6">
        <v>45281</v>
      </c>
      <c r="C3894" s="6" t="str">
        <f t="shared" si="180"/>
        <v>Dec</v>
      </c>
      <c r="D3894" t="s">
        <v>2480</v>
      </c>
      <c r="E3894" t="s">
        <v>19</v>
      </c>
      <c r="F3894" t="s">
        <v>657</v>
      </c>
      <c r="G3894">
        <v>3</v>
      </c>
      <c r="H3894" s="7">
        <v>436.63</v>
      </c>
      <c r="I3894" t="s">
        <v>32</v>
      </c>
      <c r="J3894" t="s">
        <v>42</v>
      </c>
      <c r="K3894">
        <v>5</v>
      </c>
      <c r="L3894" s="7">
        <f t="shared" si="181"/>
        <v>1309.8899999999999</v>
      </c>
      <c r="M3894" s="7"/>
      <c r="O3894">
        <f t="shared" si="182"/>
        <v>2</v>
      </c>
      <c r="Q3894" t="s">
        <v>33</v>
      </c>
    </row>
    <row r="3895" spans="1:17" x14ac:dyDescent="0.3">
      <c r="A3895" t="s">
        <v>5020</v>
      </c>
      <c r="B3895" s="6">
        <v>45033</v>
      </c>
      <c r="C3895" s="6" t="str">
        <f t="shared" si="180"/>
        <v>Apr</v>
      </c>
      <c r="D3895" t="s">
        <v>926</v>
      </c>
      <c r="E3895" t="s">
        <v>50</v>
      </c>
      <c r="F3895" t="s">
        <v>328</v>
      </c>
      <c r="G3895">
        <v>5</v>
      </c>
      <c r="H3895" s="7">
        <v>53.54</v>
      </c>
      <c r="I3895" t="s">
        <v>103</v>
      </c>
      <c r="J3895" t="s">
        <v>42</v>
      </c>
      <c r="K3895">
        <v>0</v>
      </c>
      <c r="L3895" s="7">
        <f t="shared" si="181"/>
        <v>267.7</v>
      </c>
      <c r="M3895" s="7"/>
      <c r="O3895">
        <f t="shared" si="182"/>
        <v>2</v>
      </c>
      <c r="Q3895" t="s">
        <v>104</v>
      </c>
    </row>
    <row r="3896" spans="1:17" x14ac:dyDescent="0.3">
      <c r="A3896" t="s">
        <v>5021</v>
      </c>
      <c r="B3896" s="6">
        <v>45231</v>
      </c>
      <c r="C3896" s="6" t="str">
        <f t="shared" si="180"/>
        <v>Nov</v>
      </c>
      <c r="D3896" t="s">
        <v>679</v>
      </c>
      <c r="E3896" t="s">
        <v>19</v>
      </c>
      <c r="F3896" t="s">
        <v>198</v>
      </c>
      <c r="G3896">
        <v>5</v>
      </c>
      <c r="H3896" s="7">
        <v>220.97</v>
      </c>
      <c r="I3896" t="s">
        <v>19</v>
      </c>
      <c r="J3896" t="s">
        <v>22</v>
      </c>
      <c r="K3896">
        <v>20</v>
      </c>
      <c r="L3896" s="7">
        <f t="shared" si="181"/>
        <v>1104.8499999999999</v>
      </c>
      <c r="M3896" s="7"/>
      <c r="O3896">
        <f t="shared" si="182"/>
        <v>2</v>
      </c>
      <c r="Q3896" t="s">
        <v>19</v>
      </c>
    </row>
    <row r="3897" spans="1:17" x14ac:dyDescent="0.3">
      <c r="A3897" t="s">
        <v>5022</v>
      </c>
      <c r="B3897" s="6">
        <v>45212</v>
      </c>
      <c r="C3897" s="6" t="str">
        <f t="shared" si="180"/>
        <v>Oct</v>
      </c>
      <c r="D3897" t="s">
        <v>2079</v>
      </c>
      <c r="E3897" t="s">
        <v>26</v>
      </c>
      <c r="F3897" t="s">
        <v>234</v>
      </c>
      <c r="G3897">
        <v>3</v>
      </c>
      <c r="H3897" s="7">
        <v>481.34</v>
      </c>
      <c r="I3897" t="s">
        <v>32</v>
      </c>
      <c r="J3897" t="s">
        <v>87</v>
      </c>
      <c r="K3897">
        <v>10</v>
      </c>
      <c r="L3897" s="7">
        <f t="shared" si="181"/>
        <v>1444.02</v>
      </c>
      <c r="M3897" s="7"/>
      <c r="O3897">
        <f t="shared" si="182"/>
        <v>2</v>
      </c>
      <c r="Q3897" t="s">
        <v>33</v>
      </c>
    </row>
    <row r="3898" spans="1:17" x14ac:dyDescent="0.3">
      <c r="A3898" t="s">
        <v>5023</v>
      </c>
      <c r="B3898" s="6">
        <v>44978</v>
      </c>
      <c r="C3898" s="6" t="str">
        <f t="shared" si="180"/>
        <v>Feb</v>
      </c>
      <c r="D3898" t="s">
        <v>1513</v>
      </c>
      <c r="E3898" t="s">
        <v>19</v>
      </c>
      <c r="F3898" t="s">
        <v>292</v>
      </c>
      <c r="G3898">
        <v>9</v>
      </c>
      <c r="H3898" s="7">
        <v>417.9</v>
      </c>
      <c r="I3898" t="s">
        <v>21</v>
      </c>
      <c r="J3898" t="s">
        <v>19</v>
      </c>
      <c r="K3898">
        <v>5</v>
      </c>
      <c r="L3898" s="7">
        <f t="shared" si="181"/>
        <v>3761.1</v>
      </c>
      <c r="M3898" s="7"/>
      <c r="O3898">
        <f t="shared" si="182"/>
        <v>5</v>
      </c>
      <c r="Q3898" t="s">
        <v>23</v>
      </c>
    </row>
    <row r="3899" spans="1:17" x14ac:dyDescent="0.3">
      <c r="A3899" t="s">
        <v>5024</v>
      </c>
      <c r="B3899" s="6">
        <v>45105</v>
      </c>
      <c r="C3899" s="6" t="str">
        <f t="shared" si="180"/>
        <v>Jun</v>
      </c>
      <c r="D3899" t="s">
        <v>382</v>
      </c>
      <c r="E3899" t="s">
        <v>62</v>
      </c>
      <c r="F3899" t="s">
        <v>1374</v>
      </c>
      <c r="G3899">
        <v>4</v>
      </c>
      <c r="H3899" s="7">
        <v>247.4</v>
      </c>
      <c r="I3899" t="s">
        <v>32</v>
      </c>
      <c r="J3899" t="s">
        <v>22</v>
      </c>
      <c r="K3899">
        <v>0</v>
      </c>
      <c r="L3899" s="7">
        <f t="shared" si="181"/>
        <v>989.6</v>
      </c>
      <c r="M3899" s="7"/>
      <c r="O3899">
        <f t="shared" si="182"/>
        <v>2</v>
      </c>
      <c r="Q3899" t="s">
        <v>33</v>
      </c>
    </row>
    <row r="3900" spans="1:17" x14ac:dyDescent="0.3">
      <c r="A3900" t="s">
        <v>5025</v>
      </c>
      <c r="B3900" s="6">
        <v>45022</v>
      </c>
      <c r="C3900" s="6" t="str">
        <f t="shared" si="180"/>
        <v>Apr</v>
      </c>
      <c r="D3900" t="s">
        <v>1834</v>
      </c>
      <c r="E3900" t="s">
        <v>36</v>
      </c>
      <c r="F3900" t="s">
        <v>134</v>
      </c>
      <c r="G3900">
        <v>3</v>
      </c>
      <c r="H3900" s="7">
        <v>382.47</v>
      </c>
      <c r="I3900" t="s">
        <v>32</v>
      </c>
      <c r="J3900" t="s">
        <v>42</v>
      </c>
      <c r="K3900">
        <v>0</v>
      </c>
      <c r="L3900" s="7">
        <f t="shared" si="181"/>
        <v>1147.4100000000001</v>
      </c>
      <c r="M3900" s="7"/>
      <c r="O3900">
        <f t="shared" si="182"/>
        <v>2</v>
      </c>
      <c r="Q3900" t="s">
        <v>33</v>
      </c>
    </row>
    <row r="3901" spans="1:17" x14ac:dyDescent="0.3">
      <c r="A3901" t="s">
        <v>5026</v>
      </c>
      <c r="B3901" s="6">
        <v>45226</v>
      </c>
      <c r="C3901" s="6" t="str">
        <f t="shared" si="180"/>
        <v>Oct</v>
      </c>
      <c r="D3901" t="s">
        <v>1834</v>
      </c>
      <c r="E3901" t="s">
        <v>19</v>
      </c>
      <c r="F3901" t="s">
        <v>575</v>
      </c>
      <c r="G3901">
        <v>2</v>
      </c>
      <c r="H3901" s="7">
        <v>417.52</v>
      </c>
      <c r="I3901" t="s">
        <v>103</v>
      </c>
      <c r="J3901" t="s">
        <v>28</v>
      </c>
      <c r="K3901">
        <v>10</v>
      </c>
      <c r="L3901" s="7">
        <f t="shared" si="181"/>
        <v>835.04</v>
      </c>
      <c r="M3901" s="7"/>
      <c r="O3901">
        <f t="shared" si="182"/>
        <v>2</v>
      </c>
      <c r="Q3901" t="s">
        <v>104</v>
      </c>
    </row>
    <row r="3902" spans="1:17" x14ac:dyDescent="0.3">
      <c r="A3902" t="s">
        <v>5027</v>
      </c>
      <c r="B3902" s="6">
        <v>44964</v>
      </c>
      <c r="C3902" s="6" t="str">
        <f t="shared" si="180"/>
        <v>Feb</v>
      </c>
      <c r="D3902" t="s">
        <v>3732</v>
      </c>
      <c r="E3902" t="s">
        <v>31</v>
      </c>
      <c r="F3902" t="s">
        <v>298</v>
      </c>
      <c r="G3902">
        <v>9</v>
      </c>
      <c r="H3902" s="7">
        <v>177.27</v>
      </c>
      <c r="I3902" t="s">
        <v>46</v>
      </c>
      <c r="J3902" t="s">
        <v>19</v>
      </c>
      <c r="K3902">
        <v>5</v>
      </c>
      <c r="L3902" s="7">
        <f t="shared" si="181"/>
        <v>1595.43</v>
      </c>
      <c r="M3902" s="7"/>
      <c r="O3902">
        <f t="shared" si="182"/>
        <v>2</v>
      </c>
      <c r="Q3902" t="s">
        <v>47</v>
      </c>
    </row>
    <row r="3903" spans="1:17" x14ac:dyDescent="0.3">
      <c r="A3903" t="s">
        <v>5028</v>
      </c>
      <c r="B3903" s="6">
        <v>45188</v>
      </c>
      <c r="C3903" s="6" t="str">
        <f t="shared" si="180"/>
        <v>Sep</v>
      </c>
      <c r="D3903" t="s">
        <v>1453</v>
      </c>
      <c r="E3903" t="s">
        <v>19</v>
      </c>
      <c r="F3903" t="s">
        <v>887</v>
      </c>
      <c r="G3903">
        <v>4</v>
      </c>
      <c r="H3903" s="7">
        <v>446.62</v>
      </c>
      <c r="I3903" t="s">
        <v>19</v>
      </c>
      <c r="J3903" t="s">
        <v>42</v>
      </c>
      <c r="K3903">
        <v>5</v>
      </c>
      <c r="L3903" s="7">
        <f t="shared" si="181"/>
        <v>1786.48</v>
      </c>
      <c r="M3903" s="7"/>
      <c r="O3903">
        <f t="shared" si="182"/>
        <v>2</v>
      </c>
      <c r="Q3903" t="s">
        <v>19</v>
      </c>
    </row>
    <row r="3904" spans="1:17" x14ac:dyDescent="0.3">
      <c r="A3904" t="s">
        <v>5029</v>
      </c>
      <c r="B3904" s="6">
        <v>45073</v>
      </c>
      <c r="C3904" s="6" t="str">
        <f t="shared" si="180"/>
        <v>May</v>
      </c>
      <c r="D3904" t="s">
        <v>336</v>
      </c>
      <c r="E3904" t="s">
        <v>31</v>
      </c>
      <c r="F3904" t="s">
        <v>222</v>
      </c>
      <c r="G3904">
        <v>3</v>
      </c>
      <c r="H3904" s="7">
        <v>237.88</v>
      </c>
      <c r="I3904" t="s">
        <v>21</v>
      </c>
      <c r="J3904" t="s">
        <v>22</v>
      </c>
      <c r="K3904">
        <v>10</v>
      </c>
      <c r="L3904" s="7">
        <f t="shared" si="181"/>
        <v>713.64</v>
      </c>
      <c r="M3904" s="7"/>
      <c r="O3904">
        <f t="shared" si="182"/>
        <v>2</v>
      </c>
      <c r="Q3904" t="s">
        <v>23</v>
      </c>
    </row>
    <row r="3905" spans="1:17" x14ac:dyDescent="0.3">
      <c r="A3905" t="s">
        <v>5030</v>
      </c>
      <c r="B3905" s="6">
        <v>45141</v>
      </c>
      <c r="C3905" s="6" t="str">
        <f t="shared" si="180"/>
        <v>Aug</v>
      </c>
      <c r="D3905" t="s">
        <v>2349</v>
      </c>
      <c r="E3905" t="s">
        <v>31</v>
      </c>
      <c r="F3905" t="s">
        <v>350</v>
      </c>
      <c r="G3905">
        <v>7</v>
      </c>
      <c r="H3905" s="7">
        <v>252.16</v>
      </c>
      <c r="I3905" t="s">
        <v>103</v>
      </c>
      <c r="J3905" t="s">
        <v>87</v>
      </c>
      <c r="K3905">
        <v>20</v>
      </c>
      <c r="L3905" s="7">
        <f t="shared" si="181"/>
        <v>1765.12</v>
      </c>
      <c r="M3905" s="7"/>
      <c r="O3905">
        <f t="shared" si="182"/>
        <v>2</v>
      </c>
      <c r="Q3905" t="s">
        <v>104</v>
      </c>
    </row>
    <row r="3906" spans="1:17" x14ac:dyDescent="0.3">
      <c r="A3906" t="s">
        <v>5031</v>
      </c>
      <c r="B3906" s="6">
        <v>45233</v>
      </c>
      <c r="C3906" s="6" t="str">
        <f t="shared" si="180"/>
        <v>Nov</v>
      </c>
      <c r="D3906" t="s">
        <v>77</v>
      </c>
      <c r="E3906" t="s">
        <v>19</v>
      </c>
      <c r="F3906" t="s">
        <v>350</v>
      </c>
      <c r="G3906">
        <v>8</v>
      </c>
      <c r="H3906" s="7">
        <v>499.86</v>
      </c>
      <c r="I3906" t="s">
        <v>21</v>
      </c>
      <c r="J3906" t="s">
        <v>72</v>
      </c>
      <c r="K3906">
        <v>15</v>
      </c>
      <c r="L3906" s="7">
        <f t="shared" si="181"/>
        <v>3998.88</v>
      </c>
      <c r="M3906" s="7"/>
      <c r="O3906">
        <f t="shared" si="182"/>
        <v>5</v>
      </c>
      <c r="Q3906" t="s">
        <v>23</v>
      </c>
    </row>
    <row r="3907" spans="1:17" x14ac:dyDescent="0.3">
      <c r="A3907" t="s">
        <v>5032</v>
      </c>
      <c r="B3907" s="6">
        <v>44927</v>
      </c>
      <c r="C3907" s="6" t="str">
        <f t="shared" ref="C3907:C3970" si="183">TEXT(B3907,"MMM")</f>
        <v>Jan</v>
      </c>
      <c r="D3907" t="s">
        <v>338</v>
      </c>
      <c r="E3907" t="s">
        <v>62</v>
      </c>
      <c r="F3907" t="s">
        <v>222</v>
      </c>
      <c r="G3907">
        <v>2</v>
      </c>
      <c r="H3907" s="7">
        <v>422.43</v>
      </c>
      <c r="I3907" t="s">
        <v>64</v>
      </c>
      <c r="J3907" t="s">
        <v>19</v>
      </c>
      <c r="K3907">
        <v>10</v>
      </c>
      <c r="L3907" s="7">
        <f t="shared" ref="L3907:L3970" si="184">G3907*H3907</f>
        <v>844.86</v>
      </c>
      <c r="M3907" s="7"/>
      <c r="O3907">
        <f t="shared" si="182"/>
        <v>2</v>
      </c>
      <c r="Q3907" t="s">
        <v>65</v>
      </c>
    </row>
    <row r="3908" spans="1:17" x14ac:dyDescent="0.3">
      <c r="A3908" t="s">
        <v>5033</v>
      </c>
      <c r="B3908" s="6">
        <v>45127</v>
      </c>
      <c r="C3908" s="6" t="str">
        <f t="shared" si="183"/>
        <v>Jul</v>
      </c>
      <c r="D3908" t="s">
        <v>2382</v>
      </c>
      <c r="E3908" t="s">
        <v>31</v>
      </c>
      <c r="F3908" t="s">
        <v>151</v>
      </c>
      <c r="G3908">
        <v>7</v>
      </c>
      <c r="H3908" s="7">
        <v>184.08</v>
      </c>
      <c r="I3908" t="s">
        <v>64</v>
      </c>
      <c r="J3908" t="s">
        <v>28</v>
      </c>
      <c r="K3908">
        <v>0</v>
      </c>
      <c r="L3908" s="7">
        <f t="shared" si="184"/>
        <v>1288.5600000000002</v>
      </c>
      <c r="M3908" s="7"/>
      <c r="O3908">
        <f t="shared" ref="O3908:O3971" si="185">IF(L3908&gt;3500,5,IF(L3908&gt;3000,4,IF(L3908&gt;2500,3,IF(L3908&gt;2000,2,IF(L3908&gt;1000,2,2)))))</f>
        <v>2</v>
      </c>
      <c r="Q3908" t="s">
        <v>65</v>
      </c>
    </row>
    <row r="3909" spans="1:17" x14ac:dyDescent="0.3">
      <c r="A3909" t="s">
        <v>5034</v>
      </c>
      <c r="B3909" s="6">
        <v>45068</v>
      </c>
      <c r="C3909" s="6" t="str">
        <f t="shared" si="183"/>
        <v>May</v>
      </c>
      <c r="D3909" t="s">
        <v>5035</v>
      </c>
      <c r="E3909" t="s">
        <v>40</v>
      </c>
      <c r="F3909" t="s">
        <v>122</v>
      </c>
      <c r="G3909">
        <v>5</v>
      </c>
      <c r="H3909" s="7">
        <v>10.119999999999999</v>
      </c>
      <c r="I3909" t="s">
        <v>32</v>
      </c>
      <c r="J3909" t="s">
        <v>42</v>
      </c>
      <c r="K3909">
        <v>20</v>
      </c>
      <c r="L3909" s="7">
        <f t="shared" si="184"/>
        <v>50.599999999999994</v>
      </c>
      <c r="M3909" s="7"/>
      <c r="O3909">
        <f t="shared" si="185"/>
        <v>2</v>
      </c>
      <c r="Q3909" t="s">
        <v>33</v>
      </c>
    </row>
    <row r="3910" spans="1:17" x14ac:dyDescent="0.3">
      <c r="A3910" t="s">
        <v>5036</v>
      </c>
      <c r="B3910" s="6">
        <v>45077</v>
      </c>
      <c r="C3910" s="6" t="str">
        <f t="shared" si="183"/>
        <v>May</v>
      </c>
      <c r="D3910" t="s">
        <v>1772</v>
      </c>
      <c r="E3910" t="s">
        <v>40</v>
      </c>
      <c r="F3910" t="s">
        <v>520</v>
      </c>
      <c r="G3910">
        <v>5</v>
      </c>
      <c r="H3910" s="7">
        <v>314.95999999999998</v>
      </c>
      <c r="I3910" t="s">
        <v>64</v>
      </c>
      <c r="J3910" t="s">
        <v>87</v>
      </c>
      <c r="K3910">
        <v>20</v>
      </c>
      <c r="L3910" s="7">
        <f t="shared" si="184"/>
        <v>1574.8</v>
      </c>
      <c r="M3910" s="7"/>
      <c r="O3910">
        <f t="shared" si="185"/>
        <v>2</v>
      </c>
      <c r="Q3910" t="s">
        <v>65</v>
      </c>
    </row>
    <row r="3911" spans="1:17" x14ac:dyDescent="0.3">
      <c r="A3911" t="s">
        <v>5037</v>
      </c>
      <c r="B3911" s="6">
        <v>45153</v>
      </c>
      <c r="C3911" s="6" t="str">
        <f t="shared" si="183"/>
        <v>Aug</v>
      </c>
      <c r="D3911" t="s">
        <v>245</v>
      </c>
      <c r="E3911" t="s">
        <v>31</v>
      </c>
      <c r="F3911" t="s">
        <v>179</v>
      </c>
      <c r="G3911">
        <v>3</v>
      </c>
      <c r="H3911" s="7">
        <v>353.44</v>
      </c>
      <c r="I3911" t="s">
        <v>46</v>
      </c>
      <c r="J3911" t="s">
        <v>72</v>
      </c>
      <c r="K3911">
        <v>5</v>
      </c>
      <c r="L3911" s="7">
        <f t="shared" si="184"/>
        <v>1060.32</v>
      </c>
      <c r="M3911" s="7"/>
      <c r="O3911">
        <f t="shared" si="185"/>
        <v>2</v>
      </c>
      <c r="Q3911" t="s">
        <v>47</v>
      </c>
    </row>
    <row r="3912" spans="1:17" x14ac:dyDescent="0.3">
      <c r="A3912" t="s">
        <v>5038</v>
      </c>
      <c r="B3912" s="6">
        <v>45040</v>
      </c>
      <c r="C3912" s="6" t="str">
        <f t="shared" si="183"/>
        <v>Apr</v>
      </c>
      <c r="D3912" t="s">
        <v>3036</v>
      </c>
      <c r="E3912" t="s">
        <v>50</v>
      </c>
      <c r="F3912" t="s">
        <v>41</v>
      </c>
      <c r="G3912">
        <v>5</v>
      </c>
      <c r="H3912" s="7">
        <v>327.14999999999998</v>
      </c>
      <c r="I3912" t="s">
        <v>32</v>
      </c>
      <c r="J3912" t="s">
        <v>87</v>
      </c>
      <c r="K3912">
        <v>20</v>
      </c>
      <c r="L3912" s="7">
        <f t="shared" si="184"/>
        <v>1635.75</v>
      </c>
      <c r="M3912" s="7"/>
      <c r="O3912">
        <f t="shared" si="185"/>
        <v>2</v>
      </c>
      <c r="Q3912" t="s">
        <v>33</v>
      </c>
    </row>
    <row r="3913" spans="1:17" x14ac:dyDescent="0.3">
      <c r="A3913" t="s">
        <v>5039</v>
      </c>
      <c r="B3913" s="6">
        <v>45130</v>
      </c>
      <c r="C3913" s="6" t="str">
        <f t="shared" si="183"/>
        <v>Jul</v>
      </c>
      <c r="D3913" t="s">
        <v>1942</v>
      </c>
      <c r="E3913" t="s">
        <v>31</v>
      </c>
      <c r="F3913" t="s">
        <v>1117</v>
      </c>
      <c r="G3913">
        <v>2</v>
      </c>
      <c r="H3913" s="7">
        <v>484.09</v>
      </c>
      <c r="I3913" t="s">
        <v>103</v>
      </c>
      <c r="J3913" t="s">
        <v>42</v>
      </c>
      <c r="K3913">
        <v>10</v>
      </c>
      <c r="L3913" s="7">
        <f t="shared" si="184"/>
        <v>968.18</v>
      </c>
      <c r="M3913" s="7"/>
      <c r="O3913">
        <f t="shared" si="185"/>
        <v>2</v>
      </c>
      <c r="Q3913" t="s">
        <v>104</v>
      </c>
    </row>
    <row r="3914" spans="1:17" x14ac:dyDescent="0.3">
      <c r="A3914" t="s">
        <v>5040</v>
      </c>
      <c r="B3914" s="6">
        <v>45229</v>
      </c>
      <c r="C3914" s="6" t="str">
        <f t="shared" si="183"/>
        <v>Oct</v>
      </c>
      <c r="D3914" t="s">
        <v>1922</v>
      </c>
      <c r="E3914" t="s">
        <v>26</v>
      </c>
      <c r="F3914" t="s">
        <v>316</v>
      </c>
      <c r="G3914">
        <v>4</v>
      </c>
      <c r="H3914" s="7">
        <v>432.17</v>
      </c>
      <c r="I3914" t="s">
        <v>32</v>
      </c>
      <c r="J3914" t="s">
        <v>87</v>
      </c>
      <c r="K3914">
        <v>20</v>
      </c>
      <c r="L3914" s="7">
        <f t="shared" si="184"/>
        <v>1728.68</v>
      </c>
      <c r="M3914" s="7"/>
      <c r="O3914">
        <f t="shared" si="185"/>
        <v>2</v>
      </c>
      <c r="Q3914" t="s">
        <v>33</v>
      </c>
    </row>
    <row r="3915" spans="1:17" x14ac:dyDescent="0.3">
      <c r="A3915" t="s">
        <v>5041</v>
      </c>
      <c r="B3915" s="6">
        <v>45023</v>
      </c>
      <c r="C3915" s="6" t="str">
        <f t="shared" si="183"/>
        <v>Apr</v>
      </c>
      <c r="D3915" t="s">
        <v>1410</v>
      </c>
      <c r="E3915" t="s">
        <v>50</v>
      </c>
      <c r="F3915" t="s">
        <v>434</v>
      </c>
      <c r="G3915">
        <v>6</v>
      </c>
      <c r="H3915" s="7">
        <v>227.17</v>
      </c>
      <c r="I3915" t="s">
        <v>64</v>
      </c>
      <c r="J3915" t="s">
        <v>28</v>
      </c>
      <c r="K3915">
        <v>0</v>
      </c>
      <c r="L3915" s="7">
        <f t="shared" si="184"/>
        <v>1363.02</v>
      </c>
      <c r="M3915" s="7"/>
      <c r="O3915">
        <f t="shared" si="185"/>
        <v>2</v>
      </c>
      <c r="Q3915" t="s">
        <v>65</v>
      </c>
    </row>
    <row r="3916" spans="1:17" x14ac:dyDescent="0.3">
      <c r="A3916" t="s">
        <v>5042</v>
      </c>
      <c r="B3916" s="6">
        <v>45018</v>
      </c>
      <c r="C3916" s="6" t="str">
        <f t="shared" si="183"/>
        <v>Apr</v>
      </c>
      <c r="D3916" t="s">
        <v>431</v>
      </c>
      <c r="E3916" t="s">
        <v>31</v>
      </c>
      <c r="F3916" t="s">
        <v>406</v>
      </c>
      <c r="G3916">
        <v>1</v>
      </c>
      <c r="H3916" s="7">
        <v>36.11</v>
      </c>
      <c r="I3916" t="s">
        <v>64</v>
      </c>
      <c r="J3916" t="s">
        <v>22</v>
      </c>
      <c r="K3916">
        <v>10</v>
      </c>
      <c r="L3916" s="7">
        <f t="shared" si="184"/>
        <v>36.11</v>
      </c>
      <c r="M3916" s="7"/>
      <c r="O3916">
        <f t="shared" si="185"/>
        <v>2</v>
      </c>
      <c r="Q3916" t="s">
        <v>65</v>
      </c>
    </row>
    <row r="3917" spans="1:17" x14ac:dyDescent="0.3">
      <c r="A3917" t="s">
        <v>5043</v>
      </c>
      <c r="B3917" s="6">
        <v>45061</v>
      </c>
      <c r="C3917" s="6" t="str">
        <f t="shared" si="183"/>
        <v>May</v>
      </c>
      <c r="D3917" t="s">
        <v>18</v>
      </c>
      <c r="E3917" t="s">
        <v>31</v>
      </c>
      <c r="F3917" t="s">
        <v>1461</v>
      </c>
      <c r="G3917">
        <v>4</v>
      </c>
      <c r="H3917" s="7">
        <v>240.65</v>
      </c>
      <c r="I3917" t="s">
        <v>64</v>
      </c>
      <c r="J3917" t="s">
        <v>22</v>
      </c>
      <c r="K3917">
        <v>10</v>
      </c>
      <c r="L3917" s="7">
        <f t="shared" si="184"/>
        <v>962.6</v>
      </c>
      <c r="M3917" s="7"/>
      <c r="O3917">
        <f t="shared" si="185"/>
        <v>2</v>
      </c>
      <c r="Q3917" t="s">
        <v>65</v>
      </c>
    </row>
    <row r="3918" spans="1:17" x14ac:dyDescent="0.3">
      <c r="A3918" t="s">
        <v>5044</v>
      </c>
      <c r="B3918" s="6">
        <v>45042</v>
      </c>
      <c r="C3918" s="6" t="str">
        <f t="shared" si="183"/>
        <v>Apr</v>
      </c>
      <c r="D3918" t="s">
        <v>1779</v>
      </c>
      <c r="E3918" t="s">
        <v>26</v>
      </c>
      <c r="F3918" t="s">
        <v>281</v>
      </c>
      <c r="G3918">
        <v>6</v>
      </c>
      <c r="H3918" s="7">
        <v>346.18</v>
      </c>
      <c r="I3918" t="s">
        <v>21</v>
      </c>
      <c r="J3918" t="s">
        <v>87</v>
      </c>
      <c r="K3918">
        <v>10</v>
      </c>
      <c r="L3918" s="7">
        <f t="shared" si="184"/>
        <v>2077.08</v>
      </c>
      <c r="M3918" s="7"/>
      <c r="O3918">
        <f t="shared" si="185"/>
        <v>2</v>
      </c>
      <c r="Q3918" t="s">
        <v>23</v>
      </c>
    </row>
    <row r="3919" spans="1:17" x14ac:dyDescent="0.3">
      <c r="A3919" t="s">
        <v>5045</v>
      </c>
      <c r="B3919" s="6">
        <v>45053</v>
      </c>
      <c r="C3919" s="6" t="str">
        <f t="shared" si="183"/>
        <v>May</v>
      </c>
      <c r="D3919" t="s">
        <v>2346</v>
      </c>
      <c r="E3919" t="s">
        <v>26</v>
      </c>
      <c r="F3919" t="s">
        <v>409</v>
      </c>
      <c r="G3919">
        <v>9</v>
      </c>
      <c r="H3919" s="7">
        <v>305.82</v>
      </c>
      <c r="I3919" t="s">
        <v>64</v>
      </c>
      <c r="J3919" t="s">
        <v>72</v>
      </c>
      <c r="K3919">
        <v>20</v>
      </c>
      <c r="L3919" s="7">
        <f t="shared" si="184"/>
        <v>2752.38</v>
      </c>
      <c r="M3919" s="7"/>
      <c r="O3919">
        <f t="shared" si="185"/>
        <v>3</v>
      </c>
      <c r="Q3919" t="s">
        <v>65</v>
      </c>
    </row>
    <row r="3920" spans="1:17" x14ac:dyDescent="0.3">
      <c r="A3920" t="s">
        <v>5046</v>
      </c>
      <c r="B3920" s="6">
        <v>45131</v>
      </c>
      <c r="C3920" s="6" t="str">
        <f t="shared" si="183"/>
        <v>Jul</v>
      </c>
      <c r="D3920" t="s">
        <v>1396</v>
      </c>
      <c r="E3920" t="s">
        <v>19</v>
      </c>
      <c r="F3920" t="s">
        <v>116</v>
      </c>
      <c r="G3920">
        <v>2</v>
      </c>
      <c r="H3920" s="7">
        <v>271.38</v>
      </c>
      <c r="I3920" t="s">
        <v>46</v>
      </c>
      <c r="J3920" t="s">
        <v>72</v>
      </c>
      <c r="K3920">
        <v>5</v>
      </c>
      <c r="L3920" s="7">
        <f t="shared" si="184"/>
        <v>542.76</v>
      </c>
      <c r="M3920" s="7"/>
      <c r="O3920">
        <f t="shared" si="185"/>
        <v>2</v>
      </c>
      <c r="Q3920" t="s">
        <v>47</v>
      </c>
    </row>
    <row r="3921" spans="1:17" x14ac:dyDescent="0.3">
      <c r="A3921" t="s">
        <v>5047</v>
      </c>
      <c r="B3921" s="6">
        <v>45044</v>
      </c>
      <c r="C3921" s="6" t="str">
        <f t="shared" si="183"/>
        <v>Apr</v>
      </c>
      <c r="D3921" t="s">
        <v>411</v>
      </c>
      <c r="E3921" t="s">
        <v>31</v>
      </c>
      <c r="F3921" t="s">
        <v>684</v>
      </c>
      <c r="G3921">
        <v>7</v>
      </c>
      <c r="H3921" s="7">
        <v>237.07</v>
      </c>
      <c r="I3921" t="s">
        <v>32</v>
      </c>
      <c r="J3921" t="s">
        <v>28</v>
      </c>
      <c r="K3921">
        <v>10</v>
      </c>
      <c r="L3921" s="7">
        <f t="shared" si="184"/>
        <v>1659.49</v>
      </c>
      <c r="M3921" s="7"/>
      <c r="O3921">
        <f t="shared" si="185"/>
        <v>2</v>
      </c>
      <c r="Q3921" t="s">
        <v>33</v>
      </c>
    </row>
    <row r="3922" spans="1:17" x14ac:dyDescent="0.3">
      <c r="A3922" t="s">
        <v>5048</v>
      </c>
      <c r="B3922" s="6">
        <v>44957</v>
      </c>
      <c r="C3922" s="6" t="str">
        <f t="shared" si="183"/>
        <v>Jan</v>
      </c>
      <c r="D3922" t="s">
        <v>1091</v>
      </c>
      <c r="E3922" t="s">
        <v>26</v>
      </c>
      <c r="F3922" t="s">
        <v>319</v>
      </c>
      <c r="G3922">
        <v>6</v>
      </c>
      <c r="H3922" s="7">
        <v>150.41</v>
      </c>
      <c r="I3922" t="s">
        <v>46</v>
      </c>
      <c r="J3922" t="s">
        <v>72</v>
      </c>
      <c r="K3922">
        <v>5</v>
      </c>
      <c r="L3922" s="7">
        <f t="shared" si="184"/>
        <v>902.46</v>
      </c>
      <c r="M3922" s="7"/>
      <c r="O3922">
        <f t="shared" si="185"/>
        <v>2</v>
      </c>
      <c r="Q3922" t="s">
        <v>47</v>
      </c>
    </row>
    <row r="3923" spans="1:17" x14ac:dyDescent="0.3">
      <c r="A3923" t="s">
        <v>5049</v>
      </c>
      <c r="B3923" s="6">
        <v>44948</v>
      </c>
      <c r="C3923" s="6" t="str">
        <f t="shared" si="183"/>
        <v>Jan</v>
      </c>
      <c r="D3923" t="s">
        <v>1060</v>
      </c>
      <c r="E3923" t="s">
        <v>40</v>
      </c>
      <c r="F3923" t="s">
        <v>237</v>
      </c>
      <c r="G3923">
        <v>2</v>
      </c>
      <c r="H3923" s="7">
        <v>142.29</v>
      </c>
      <c r="I3923" t="s">
        <v>64</v>
      </c>
      <c r="J3923" t="s">
        <v>22</v>
      </c>
      <c r="K3923">
        <v>20</v>
      </c>
      <c r="L3923" s="7">
        <f t="shared" si="184"/>
        <v>284.58</v>
      </c>
      <c r="M3923" s="7"/>
      <c r="O3923">
        <f t="shared" si="185"/>
        <v>2</v>
      </c>
      <c r="Q3923" t="s">
        <v>65</v>
      </c>
    </row>
    <row r="3924" spans="1:17" x14ac:dyDescent="0.3">
      <c r="A3924" t="s">
        <v>5050</v>
      </c>
      <c r="B3924" s="6">
        <v>45144</v>
      </c>
      <c r="C3924" s="6" t="str">
        <f t="shared" si="183"/>
        <v>Aug</v>
      </c>
      <c r="D3924" t="s">
        <v>492</v>
      </c>
      <c r="E3924" t="s">
        <v>26</v>
      </c>
      <c r="F3924" t="s">
        <v>1461</v>
      </c>
      <c r="G3924">
        <v>8</v>
      </c>
      <c r="H3924" s="7">
        <v>252.61</v>
      </c>
      <c r="I3924" t="s">
        <v>21</v>
      </c>
      <c r="J3924" t="s">
        <v>42</v>
      </c>
      <c r="K3924">
        <v>10</v>
      </c>
      <c r="L3924" s="7">
        <f t="shared" si="184"/>
        <v>2020.88</v>
      </c>
      <c r="M3924" s="7"/>
      <c r="O3924">
        <f t="shared" si="185"/>
        <v>2</v>
      </c>
      <c r="Q3924" t="s">
        <v>23</v>
      </c>
    </row>
    <row r="3925" spans="1:17" x14ac:dyDescent="0.3">
      <c r="A3925" t="s">
        <v>5051</v>
      </c>
      <c r="B3925" s="6">
        <v>45051</v>
      </c>
      <c r="C3925" s="6" t="str">
        <f t="shared" si="183"/>
        <v>May</v>
      </c>
      <c r="D3925" t="s">
        <v>592</v>
      </c>
      <c r="E3925" t="s">
        <v>50</v>
      </c>
      <c r="F3925" t="s">
        <v>84</v>
      </c>
      <c r="G3925">
        <v>7</v>
      </c>
      <c r="H3925" s="7">
        <v>84.5</v>
      </c>
      <c r="I3925" t="s">
        <v>46</v>
      </c>
      <c r="J3925" t="s">
        <v>28</v>
      </c>
      <c r="K3925">
        <v>20</v>
      </c>
      <c r="L3925" s="7">
        <f t="shared" si="184"/>
        <v>591.5</v>
      </c>
      <c r="M3925" s="7"/>
      <c r="O3925">
        <f t="shared" si="185"/>
        <v>2</v>
      </c>
      <c r="Q3925" t="s">
        <v>47</v>
      </c>
    </row>
    <row r="3926" spans="1:17" x14ac:dyDescent="0.3">
      <c r="A3926" t="s">
        <v>5052</v>
      </c>
      <c r="B3926" s="6">
        <v>45059</v>
      </c>
      <c r="C3926" s="6" t="str">
        <f t="shared" si="183"/>
        <v>May</v>
      </c>
      <c r="D3926" t="s">
        <v>994</v>
      </c>
      <c r="E3926" t="s">
        <v>40</v>
      </c>
      <c r="F3926" t="s">
        <v>295</v>
      </c>
      <c r="G3926">
        <v>5</v>
      </c>
      <c r="H3926" s="7">
        <v>173.64</v>
      </c>
      <c r="I3926" t="s">
        <v>19</v>
      </c>
      <c r="J3926" t="s">
        <v>72</v>
      </c>
      <c r="K3926">
        <v>0</v>
      </c>
      <c r="L3926" s="7">
        <f t="shared" si="184"/>
        <v>868.19999999999993</v>
      </c>
      <c r="M3926" s="7"/>
      <c r="O3926">
        <f t="shared" si="185"/>
        <v>2</v>
      </c>
      <c r="Q3926" t="s">
        <v>19</v>
      </c>
    </row>
    <row r="3927" spans="1:17" x14ac:dyDescent="0.3">
      <c r="A3927" t="s">
        <v>5053</v>
      </c>
      <c r="B3927" s="6">
        <v>45019</v>
      </c>
      <c r="C3927" s="6" t="str">
        <f t="shared" si="183"/>
        <v>Apr</v>
      </c>
      <c r="D3927" t="s">
        <v>1293</v>
      </c>
      <c r="E3927" t="s">
        <v>62</v>
      </c>
      <c r="F3927" t="s">
        <v>693</v>
      </c>
      <c r="G3927">
        <v>5</v>
      </c>
      <c r="H3927" s="7">
        <v>165.37</v>
      </c>
      <c r="I3927" t="s">
        <v>46</v>
      </c>
      <c r="J3927" t="s">
        <v>42</v>
      </c>
      <c r="K3927">
        <v>10</v>
      </c>
      <c r="L3927" s="7">
        <f t="shared" si="184"/>
        <v>826.85</v>
      </c>
      <c r="M3927" s="7"/>
      <c r="O3927">
        <f t="shared" si="185"/>
        <v>2</v>
      </c>
      <c r="Q3927" t="s">
        <v>47</v>
      </c>
    </row>
    <row r="3928" spans="1:17" x14ac:dyDescent="0.3">
      <c r="A3928" t="s">
        <v>5054</v>
      </c>
      <c r="B3928" s="6">
        <v>45242</v>
      </c>
      <c r="C3928" s="6" t="str">
        <f t="shared" si="183"/>
        <v>Nov</v>
      </c>
      <c r="D3928" t="s">
        <v>1408</v>
      </c>
      <c r="E3928" t="s">
        <v>36</v>
      </c>
      <c r="F3928" t="s">
        <v>257</v>
      </c>
      <c r="G3928">
        <v>7</v>
      </c>
      <c r="H3928" s="7">
        <v>295.63</v>
      </c>
      <c r="I3928" t="s">
        <v>46</v>
      </c>
      <c r="J3928" t="s">
        <v>42</v>
      </c>
      <c r="K3928">
        <v>5</v>
      </c>
      <c r="L3928" s="7">
        <f t="shared" si="184"/>
        <v>2069.41</v>
      </c>
      <c r="M3928" s="7"/>
      <c r="O3928">
        <f t="shared" si="185"/>
        <v>2</v>
      </c>
      <c r="Q3928" t="s">
        <v>47</v>
      </c>
    </row>
    <row r="3929" spans="1:17" x14ac:dyDescent="0.3">
      <c r="A3929" t="s">
        <v>5055</v>
      </c>
      <c r="B3929" s="6">
        <v>45237</v>
      </c>
      <c r="C3929" s="6" t="str">
        <f t="shared" si="183"/>
        <v>Nov</v>
      </c>
      <c r="D3929" t="s">
        <v>118</v>
      </c>
      <c r="E3929" t="s">
        <v>40</v>
      </c>
      <c r="F3929" t="s">
        <v>165</v>
      </c>
      <c r="G3929">
        <v>9</v>
      </c>
      <c r="H3929" s="7">
        <v>38.01</v>
      </c>
      <c r="I3929" t="s">
        <v>32</v>
      </c>
      <c r="J3929" t="s">
        <v>22</v>
      </c>
      <c r="K3929">
        <v>0</v>
      </c>
      <c r="L3929" s="7">
        <f t="shared" si="184"/>
        <v>342.09</v>
      </c>
      <c r="M3929" s="7"/>
      <c r="O3929">
        <f t="shared" si="185"/>
        <v>2</v>
      </c>
      <c r="Q3929" t="s">
        <v>33</v>
      </c>
    </row>
    <row r="3930" spans="1:17" x14ac:dyDescent="0.3">
      <c r="A3930" t="s">
        <v>5056</v>
      </c>
      <c r="B3930" s="6">
        <v>45267</v>
      </c>
      <c r="C3930" s="6" t="str">
        <f t="shared" si="183"/>
        <v>Dec</v>
      </c>
      <c r="D3930" t="s">
        <v>1821</v>
      </c>
      <c r="E3930" t="s">
        <v>36</v>
      </c>
      <c r="F3930" t="s">
        <v>142</v>
      </c>
      <c r="G3930">
        <v>9</v>
      </c>
      <c r="H3930" s="7">
        <v>415.69</v>
      </c>
      <c r="I3930" t="s">
        <v>46</v>
      </c>
      <c r="J3930" t="s">
        <v>87</v>
      </c>
      <c r="K3930">
        <v>15</v>
      </c>
      <c r="L3930" s="7">
        <f t="shared" si="184"/>
        <v>3741.21</v>
      </c>
      <c r="M3930" s="7"/>
      <c r="O3930">
        <f t="shared" si="185"/>
        <v>5</v>
      </c>
      <c r="Q3930" t="s">
        <v>47</v>
      </c>
    </row>
    <row r="3931" spans="1:17" x14ac:dyDescent="0.3">
      <c r="A3931" t="s">
        <v>5057</v>
      </c>
      <c r="B3931" s="6">
        <v>45118</v>
      </c>
      <c r="C3931" s="6" t="str">
        <f t="shared" si="183"/>
        <v>Jul</v>
      </c>
      <c r="D3931" t="s">
        <v>1613</v>
      </c>
      <c r="E3931" t="s">
        <v>31</v>
      </c>
      <c r="F3931" t="s">
        <v>423</v>
      </c>
      <c r="G3931">
        <v>9</v>
      </c>
      <c r="H3931" s="7">
        <v>283.38</v>
      </c>
      <c r="I3931" t="s">
        <v>21</v>
      </c>
      <c r="J3931" t="s">
        <v>28</v>
      </c>
      <c r="K3931">
        <v>5</v>
      </c>
      <c r="L3931" s="7">
        <f t="shared" si="184"/>
        <v>2550.42</v>
      </c>
      <c r="M3931" s="7"/>
      <c r="O3931">
        <f t="shared" si="185"/>
        <v>3</v>
      </c>
      <c r="Q3931" t="s">
        <v>23</v>
      </c>
    </row>
    <row r="3932" spans="1:17" x14ac:dyDescent="0.3">
      <c r="A3932" t="s">
        <v>5058</v>
      </c>
      <c r="B3932" s="6">
        <v>45018</v>
      </c>
      <c r="C3932" s="6" t="str">
        <f t="shared" si="183"/>
        <v>Apr</v>
      </c>
      <c r="D3932" t="s">
        <v>1401</v>
      </c>
      <c r="E3932" t="s">
        <v>40</v>
      </c>
      <c r="F3932" t="s">
        <v>94</v>
      </c>
      <c r="G3932">
        <v>5</v>
      </c>
      <c r="H3932" s="7">
        <v>337.06</v>
      </c>
      <c r="I3932" t="s">
        <v>64</v>
      </c>
      <c r="J3932" t="s">
        <v>19</v>
      </c>
      <c r="K3932">
        <v>20</v>
      </c>
      <c r="L3932" s="7">
        <f t="shared" si="184"/>
        <v>1685.3</v>
      </c>
      <c r="M3932" s="7"/>
      <c r="O3932">
        <f t="shared" si="185"/>
        <v>2</v>
      </c>
      <c r="Q3932" t="s">
        <v>65</v>
      </c>
    </row>
    <row r="3933" spans="1:17" x14ac:dyDescent="0.3">
      <c r="A3933" t="s">
        <v>5059</v>
      </c>
      <c r="B3933" s="6">
        <v>45242</v>
      </c>
      <c r="C3933" s="6" t="str">
        <f t="shared" si="183"/>
        <v>Nov</v>
      </c>
      <c r="D3933" t="s">
        <v>2712</v>
      </c>
      <c r="E3933" t="s">
        <v>19</v>
      </c>
      <c r="F3933" t="s">
        <v>549</v>
      </c>
      <c r="G3933">
        <v>6</v>
      </c>
      <c r="H3933" s="7">
        <v>353.03</v>
      </c>
      <c r="I3933" t="s">
        <v>46</v>
      </c>
      <c r="J3933" t="s">
        <v>28</v>
      </c>
      <c r="K3933">
        <v>5</v>
      </c>
      <c r="L3933" s="7">
        <f t="shared" si="184"/>
        <v>2118.1799999999998</v>
      </c>
      <c r="M3933" s="7"/>
      <c r="O3933">
        <f t="shared" si="185"/>
        <v>2</v>
      </c>
      <c r="Q3933" t="s">
        <v>47</v>
      </c>
    </row>
    <row r="3934" spans="1:17" x14ac:dyDescent="0.3">
      <c r="A3934" t="s">
        <v>5060</v>
      </c>
      <c r="B3934" s="6">
        <v>45044</v>
      </c>
      <c r="C3934" s="6" t="str">
        <f t="shared" si="183"/>
        <v>Apr</v>
      </c>
      <c r="D3934" t="s">
        <v>804</v>
      </c>
      <c r="E3934" t="s">
        <v>62</v>
      </c>
      <c r="F3934" t="s">
        <v>125</v>
      </c>
      <c r="G3934">
        <v>3</v>
      </c>
      <c r="H3934" s="7">
        <v>149.28</v>
      </c>
      <c r="I3934" t="s">
        <v>46</v>
      </c>
      <c r="J3934" t="s">
        <v>42</v>
      </c>
      <c r="K3934">
        <v>15</v>
      </c>
      <c r="L3934" s="7">
        <f t="shared" si="184"/>
        <v>447.84000000000003</v>
      </c>
      <c r="M3934" s="7"/>
      <c r="O3934">
        <f t="shared" si="185"/>
        <v>2</v>
      </c>
      <c r="Q3934" t="s">
        <v>47</v>
      </c>
    </row>
    <row r="3935" spans="1:17" x14ac:dyDescent="0.3">
      <c r="A3935" t="s">
        <v>5061</v>
      </c>
      <c r="B3935" s="6">
        <v>45095</v>
      </c>
      <c r="C3935" s="6" t="str">
        <f t="shared" si="183"/>
        <v>Jun</v>
      </c>
      <c r="D3935" t="s">
        <v>1655</v>
      </c>
      <c r="E3935" t="s">
        <v>31</v>
      </c>
      <c r="F3935" t="s">
        <v>366</v>
      </c>
      <c r="G3935">
        <v>1</v>
      </c>
      <c r="H3935" s="7">
        <v>237.83</v>
      </c>
      <c r="I3935" t="s">
        <v>64</v>
      </c>
      <c r="J3935" t="s">
        <v>87</v>
      </c>
      <c r="K3935">
        <v>5</v>
      </c>
      <c r="L3935" s="7">
        <f t="shared" si="184"/>
        <v>237.83</v>
      </c>
      <c r="M3935" s="7"/>
      <c r="O3935">
        <f t="shared" si="185"/>
        <v>2</v>
      </c>
      <c r="Q3935" t="s">
        <v>65</v>
      </c>
    </row>
    <row r="3936" spans="1:17" x14ac:dyDescent="0.3">
      <c r="A3936" t="s">
        <v>5062</v>
      </c>
      <c r="B3936" s="6">
        <v>45034</v>
      </c>
      <c r="C3936" s="6" t="str">
        <f t="shared" si="183"/>
        <v>Apr</v>
      </c>
      <c r="D3936" t="s">
        <v>4048</v>
      </c>
      <c r="E3936" t="s">
        <v>19</v>
      </c>
      <c r="F3936" t="s">
        <v>722</v>
      </c>
      <c r="G3936">
        <v>7</v>
      </c>
      <c r="H3936" s="7">
        <v>478.34</v>
      </c>
      <c r="I3936" t="s">
        <v>32</v>
      </c>
      <c r="J3936" t="s">
        <v>28</v>
      </c>
      <c r="K3936">
        <v>0</v>
      </c>
      <c r="L3936" s="7">
        <f t="shared" si="184"/>
        <v>3348.3799999999997</v>
      </c>
      <c r="M3936" s="7"/>
      <c r="O3936">
        <f t="shared" si="185"/>
        <v>4</v>
      </c>
      <c r="Q3936" t="s">
        <v>33</v>
      </c>
    </row>
    <row r="3937" spans="1:17" x14ac:dyDescent="0.3">
      <c r="A3937" t="s">
        <v>5063</v>
      </c>
      <c r="B3937" s="6">
        <v>45090</v>
      </c>
      <c r="C3937" s="6" t="str">
        <f t="shared" si="183"/>
        <v>Jun</v>
      </c>
      <c r="D3937" t="s">
        <v>4611</v>
      </c>
      <c r="E3937" t="s">
        <v>50</v>
      </c>
      <c r="F3937" t="s">
        <v>417</v>
      </c>
      <c r="G3937">
        <v>4</v>
      </c>
      <c r="H3937" s="7">
        <v>384.52</v>
      </c>
      <c r="I3937" t="s">
        <v>21</v>
      </c>
      <c r="J3937" t="s">
        <v>87</v>
      </c>
      <c r="K3937">
        <v>10</v>
      </c>
      <c r="L3937" s="7">
        <f t="shared" si="184"/>
        <v>1538.08</v>
      </c>
      <c r="M3937" s="7"/>
      <c r="O3937">
        <f t="shared" si="185"/>
        <v>2</v>
      </c>
      <c r="Q3937" t="s">
        <v>23</v>
      </c>
    </row>
    <row r="3938" spans="1:17" x14ac:dyDescent="0.3">
      <c r="A3938" t="s">
        <v>5064</v>
      </c>
      <c r="B3938" s="6">
        <v>44975</v>
      </c>
      <c r="C3938" s="6" t="str">
        <f t="shared" si="183"/>
        <v>Feb</v>
      </c>
      <c r="D3938" t="s">
        <v>1097</v>
      </c>
      <c r="E3938" t="s">
        <v>31</v>
      </c>
      <c r="F3938" t="s">
        <v>2185</v>
      </c>
      <c r="G3938">
        <v>1</v>
      </c>
      <c r="H3938" s="7">
        <v>484.93</v>
      </c>
      <c r="I3938" t="s">
        <v>103</v>
      </c>
      <c r="J3938" t="s">
        <v>19</v>
      </c>
      <c r="K3938">
        <v>5</v>
      </c>
      <c r="L3938" s="7">
        <f t="shared" si="184"/>
        <v>484.93</v>
      </c>
      <c r="M3938" s="7"/>
      <c r="O3938">
        <f t="shared" si="185"/>
        <v>2</v>
      </c>
      <c r="Q3938" t="s">
        <v>104</v>
      </c>
    </row>
    <row r="3939" spans="1:17" x14ac:dyDescent="0.3">
      <c r="A3939" t="s">
        <v>5065</v>
      </c>
      <c r="B3939" s="6">
        <v>45235</v>
      </c>
      <c r="C3939" s="6" t="str">
        <f t="shared" si="183"/>
        <v>Nov</v>
      </c>
      <c r="D3939" t="s">
        <v>1056</v>
      </c>
      <c r="E3939" t="s">
        <v>31</v>
      </c>
      <c r="F3939" t="s">
        <v>514</v>
      </c>
      <c r="G3939">
        <v>8</v>
      </c>
      <c r="H3939" s="7">
        <v>374.4</v>
      </c>
      <c r="I3939" t="s">
        <v>64</v>
      </c>
      <c r="J3939" t="s">
        <v>87</v>
      </c>
      <c r="K3939">
        <v>10</v>
      </c>
      <c r="L3939" s="7">
        <f t="shared" si="184"/>
        <v>2995.2</v>
      </c>
      <c r="M3939" s="7"/>
      <c r="O3939">
        <f t="shared" si="185"/>
        <v>3</v>
      </c>
      <c r="Q3939" t="s">
        <v>65</v>
      </c>
    </row>
    <row r="3940" spans="1:17" x14ac:dyDescent="0.3">
      <c r="A3940" t="s">
        <v>5066</v>
      </c>
      <c r="B3940" s="6">
        <v>45009</v>
      </c>
      <c r="C3940" s="6" t="str">
        <f t="shared" si="183"/>
        <v>Mar</v>
      </c>
      <c r="D3940" t="s">
        <v>1480</v>
      </c>
      <c r="E3940" t="s">
        <v>19</v>
      </c>
      <c r="F3940" t="s">
        <v>54</v>
      </c>
      <c r="G3940">
        <v>6</v>
      </c>
      <c r="H3940" s="7">
        <v>91.92</v>
      </c>
      <c r="I3940" t="s">
        <v>103</v>
      </c>
      <c r="J3940" t="s">
        <v>19</v>
      </c>
      <c r="K3940">
        <v>15</v>
      </c>
      <c r="L3940" s="7">
        <f t="shared" si="184"/>
        <v>551.52</v>
      </c>
      <c r="M3940" s="7"/>
      <c r="O3940">
        <f t="shared" si="185"/>
        <v>2</v>
      </c>
      <c r="Q3940" t="s">
        <v>104</v>
      </c>
    </row>
    <row r="3941" spans="1:17" x14ac:dyDescent="0.3">
      <c r="A3941" t="s">
        <v>5067</v>
      </c>
      <c r="B3941" s="6">
        <v>45113</v>
      </c>
      <c r="C3941" s="6" t="str">
        <f t="shared" si="183"/>
        <v>Jul</v>
      </c>
      <c r="D3941" t="s">
        <v>1042</v>
      </c>
      <c r="E3941" t="s">
        <v>31</v>
      </c>
      <c r="F3941" t="s">
        <v>298</v>
      </c>
      <c r="G3941">
        <v>6</v>
      </c>
      <c r="H3941" s="7">
        <v>36.950000000000003</v>
      </c>
      <c r="I3941" t="s">
        <v>19</v>
      </c>
      <c r="J3941" t="s">
        <v>28</v>
      </c>
      <c r="K3941">
        <v>5</v>
      </c>
      <c r="L3941" s="7">
        <f t="shared" si="184"/>
        <v>221.70000000000002</v>
      </c>
      <c r="M3941" s="7"/>
      <c r="O3941">
        <f t="shared" si="185"/>
        <v>2</v>
      </c>
      <c r="Q3941" t="s">
        <v>19</v>
      </c>
    </row>
    <row r="3942" spans="1:17" x14ac:dyDescent="0.3">
      <c r="A3942" t="s">
        <v>5068</v>
      </c>
      <c r="B3942" s="6">
        <v>44956</v>
      </c>
      <c r="C3942" s="6" t="str">
        <f t="shared" si="183"/>
        <v>Jan</v>
      </c>
      <c r="D3942" t="s">
        <v>454</v>
      </c>
      <c r="E3942" t="s">
        <v>36</v>
      </c>
      <c r="F3942" t="s">
        <v>81</v>
      </c>
      <c r="G3942">
        <v>2</v>
      </c>
      <c r="H3942" s="7">
        <v>290.94</v>
      </c>
      <c r="I3942" t="s">
        <v>46</v>
      </c>
      <c r="J3942" t="s">
        <v>87</v>
      </c>
      <c r="K3942">
        <v>15</v>
      </c>
      <c r="L3942" s="7">
        <f t="shared" si="184"/>
        <v>581.88</v>
      </c>
      <c r="M3942" s="7"/>
      <c r="O3942">
        <f t="shared" si="185"/>
        <v>2</v>
      </c>
      <c r="Q3942" t="s">
        <v>47</v>
      </c>
    </row>
    <row r="3943" spans="1:17" x14ac:dyDescent="0.3">
      <c r="A3943" t="s">
        <v>5069</v>
      </c>
      <c r="B3943" s="6">
        <v>45285</v>
      </c>
      <c r="C3943" s="6" t="str">
        <f t="shared" si="183"/>
        <v>Dec</v>
      </c>
      <c r="D3943" t="s">
        <v>307</v>
      </c>
      <c r="E3943" t="s">
        <v>31</v>
      </c>
      <c r="F3943" t="s">
        <v>107</v>
      </c>
      <c r="G3943">
        <v>1</v>
      </c>
      <c r="H3943" s="7">
        <v>182.12</v>
      </c>
      <c r="I3943" t="s">
        <v>32</v>
      </c>
      <c r="J3943" t="s">
        <v>22</v>
      </c>
      <c r="K3943">
        <v>10</v>
      </c>
      <c r="L3943" s="7">
        <f t="shared" si="184"/>
        <v>182.12</v>
      </c>
      <c r="M3943" s="7"/>
      <c r="O3943">
        <f t="shared" si="185"/>
        <v>2</v>
      </c>
      <c r="Q3943" t="s">
        <v>33</v>
      </c>
    </row>
    <row r="3944" spans="1:17" x14ac:dyDescent="0.3">
      <c r="A3944" t="s">
        <v>5070</v>
      </c>
      <c r="B3944" s="6">
        <v>45079</v>
      </c>
      <c r="C3944" s="6" t="str">
        <f t="shared" si="183"/>
        <v>Jun</v>
      </c>
      <c r="D3944" t="s">
        <v>4191</v>
      </c>
      <c r="E3944" t="s">
        <v>40</v>
      </c>
      <c r="F3944" t="s">
        <v>420</v>
      </c>
      <c r="G3944">
        <v>2</v>
      </c>
      <c r="H3944" s="7">
        <v>141.35</v>
      </c>
      <c r="I3944" t="s">
        <v>46</v>
      </c>
      <c r="J3944" t="s">
        <v>28</v>
      </c>
      <c r="K3944">
        <v>0</v>
      </c>
      <c r="L3944" s="7">
        <f t="shared" si="184"/>
        <v>282.7</v>
      </c>
      <c r="M3944" s="7"/>
      <c r="O3944">
        <f t="shared" si="185"/>
        <v>2</v>
      </c>
      <c r="Q3944" t="s">
        <v>47</v>
      </c>
    </row>
    <row r="3945" spans="1:17" x14ac:dyDescent="0.3">
      <c r="A3945" t="s">
        <v>5071</v>
      </c>
      <c r="B3945" s="6">
        <v>45187</v>
      </c>
      <c r="C3945" s="6" t="str">
        <f t="shared" si="183"/>
        <v>Sep</v>
      </c>
      <c r="D3945" t="s">
        <v>2059</v>
      </c>
      <c r="E3945" t="s">
        <v>26</v>
      </c>
      <c r="F3945" t="s">
        <v>706</v>
      </c>
      <c r="G3945">
        <v>4</v>
      </c>
      <c r="H3945" s="7">
        <v>404.57</v>
      </c>
      <c r="I3945" t="s">
        <v>32</v>
      </c>
      <c r="J3945" t="s">
        <v>22</v>
      </c>
      <c r="K3945">
        <v>10</v>
      </c>
      <c r="L3945" s="7">
        <f t="shared" si="184"/>
        <v>1618.28</v>
      </c>
      <c r="M3945" s="7"/>
      <c r="O3945">
        <f t="shared" si="185"/>
        <v>2</v>
      </c>
      <c r="Q3945" t="s">
        <v>33</v>
      </c>
    </row>
    <row r="3946" spans="1:17" x14ac:dyDescent="0.3">
      <c r="A3946" t="s">
        <v>5072</v>
      </c>
      <c r="B3946" s="6">
        <v>45055</v>
      </c>
      <c r="C3946" s="6" t="str">
        <f t="shared" si="183"/>
        <v>May</v>
      </c>
      <c r="D3946" t="s">
        <v>2585</v>
      </c>
      <c r="E3946" t="s">
        <v>31</v>
      </c>
      <c r="F3946" t="s">
        <v>445</v>
      </c>
      <c r="G3946">
        <v>2</v>
      </c>
      <c r="H3946" s="7">
        <v>186.66</v>
      </c>
      <c r="I3946" t="s">
        <v>21</v>
      </c>
      <c r="J3946" t="s">
        <v>42</v>
      </c>
      <c r="K3946">
        <v>20</v>
      </c>
      <c r="L3946" s="7">
        <f t="shared" si="184"/>
        <v>373.32</v>
      </c>
      <c r="M3946" s="7"/>
      <c r="O3946">
        <f t="shared" si="185"/>
        <v>2</v>
      </c>
      <c r="Q3946" t="s">
        <v>23</v>
      </c>
    </row>
    <row r="3947" spans="1:17" x14ac:dyDescent="0.3">
      <c r="A3947" t="s">
        <v>5073</v>
      </c>
      <c r="B3947" s="6">
        <v>45171</v>
      </c>
      <c r="C3947" s="6" t="str">
        <f t="shared" si="183"/>
        <v>Sep</v>
      </c>
      <c r="D3947" t="s">
        <v>1657</v>
      </c>
      <c r="E3947" t="s">
        <v>31</v>
      </c>
      <c r="F3947" t="s">
        <v>78</v>
      </c>
      <c r="G3947">
        <v>1</v>
      </c>
      <c r="H3947" s="7">
        <v>161.91999999999999</v>
      </c>
      <c r="I3947" t="s">
        <v>103</v>
      </c>
      <c r="J3947" t="s">
        <v>87</v>
      </c>
      <c r="K3947">
        <v>5</v>
      </c>
      <c r="L3947" s="7">
        <f t="shared" si="184"/>
        <v>161.91999999999999</v>
      </c>
      <c r="M3947" s="7"/>
      <c r="O3947">
        <f t="shared" si="185"/>
        <v>2</v>
      </c>
      <c r="Q3947" t="s">
        <v>104</v>
      </c>
    </row>
    <row r="3948" spans="1:17" x14ac:dyDescent="0.3">
      <c r="A3948" t="s">
        <v>5074</v>
      </c>
      <c r="B3948" s="6">
        <v>45219</v>
      </c>
      <c r="C3948" s="6" t="str">
        <f t="shared" si="183"/>
        <v>Oct</v>
      </c>
      <c r="D3948" t="s">
        <v>3304</v>
      </c>
      <c r="E3948" t="s">
        <v>40</v>
      </c>
      <c r="F3948" t="s">
        <v>988</v>
      </c>
      <c r="G3948">
        <v>7</v>
      </c>
      <c r="H3948" s="7">
        <v>425.74</v>
      </c>
      <c r="I3948" t="s">
        <v>32</v>
      </c>
      <c r="J3948" t="s">
        <v>22</v>
      </c>
      <c r="K3948">
        <v>0</v>
      </c>
      <c r="L3948" s="7">
        <f t="shared" si="184"/>
        <v>2980.1800000000003</v>
      </c>
      <c r="M3948" s="7"/>
      <c r="O3948">
        <f t="shared" si="185"/>
        <v>3</v>
      </c>
      <c r="Q3948" t="s">
        <v>33</v>
      </c>
    </row>
    <row r="3949" spans="1:17" x14ac:dyDescent="0.3">
      <c r="A3949" t="s">
        <v>5075</v>
      </c>
      <c r="B3949" s="6">
        <v>45188</v>
      </c>
      <c r="C3949" s="6" t="str">
        <f t="shared" si="183"/>
        <v>Sep</v>
      </c>
      <c r="D3949" t="s">
        <v>3045</v>
      </c>
      <c r="E3949" t="s">
        <v>26</v>
      </c>
      <c r="F3949" t="s">
        <v>445</v>
      </c>
      <c r="G3949">
        <v>8</v>
      </c>
      <c r="H3949" s="7">
        <v>423.91</v>
      </c>
      <c r="I3949" t="s">
        <v>46</v>
      </c>
      <c r="J3949" t="s">
        <v>72</v>
      </c>
      <c r="K3949">
        <v>15</v>
      </c>
      <c r="L3949" s="7">
        <f t="shared" si="184"/>
        <v>3391.28</v>
      </c>
      <c r="M3949" s="7"/>
      <c r="O3949">
        <f t="shared" si="185"/>
        <v>4</v>
      </c>
      <c r="Q3949" t="s">
        <v>47</v>
      </c>
    </row>
    <row r="3950" spans="1:17" x14ac:dyDescent="0.3">
      <c r="A3950" t="s">
        <v>5076</v>
      </c>
      <c r="B3950" s="6">
        <v>45184</v>
      </c>
      <c r="C3950" s="6" t="str">
        <f t="shared" si="183"/>
        <v>Sep</v>
      </c>
      <c r="D3950" t="s">
        <v>846</v>
      </c>
      <c r="E3950" t="s">
        <v>19</v>
      </c>
      <c r="F3950" t="s">
        <v>627</v>
      </c>
      <c r="G3950">
        <v>6</v>
      </c>
      <c r="H3950" s="7">
        <v>181.4</v>
      </c>
      <c r="I3950" t="s">
        <v>64</v>
      </c>
      <c r="J3950" t="s">
        <v>22</v>
      </c>
      <c r="K3950">
        <v>10</v>
      </c>
      <c r="L3950" s="7">
        <f t="shared" si="184"/>
        <v>1088.4000000000001</v>
      </c>
      <c r="M3950" s="7"/>
      <c r="O3950">
        <f t="shared" si="185"/>
        <v>2</v>
      </c>
      <c r="Q3950" t="s">
        <v>65</v>
      </c>
    </row>
    <row r="3951" spans="1:17" x14ac:dyDescent="0.3">
      <c r="A3951" t="s">
        <v>5077</v>
      </c>
      <c r="B3951" s="6">
        <v>45035</v>
      </c>
      <c r="C3951" s="6" t="str">
        <f t="shared" si="183"/>
        <v>Apr</v>
      </c>
      <c r="D3951" t="s">
        <v>715</v>
      </c>
      <c r="E3951" t="s">
        <v>62</v>
      </c>
      <c r="F3951" t="s">
        <v>1282</v>
      </c>
      <c r="G3951">
        <v>4</v>
      </c>
      <c r="H3951" s="7">
        <v>417.09</v>
      </c>
      <c r="I3951" t="s">
        <v>19</v>
      </c>
      <c r="J3951" t="s">
        <v>87</v>
      </c>
      <c r="K3951">
        <v>15</v>
      </c>
      <c r="L3951" s="7">
        <f t="shared" si="184"/>
        <v>1668.36</v>
      </c>
      <c r="M3951" s="7"/>
      <c r="O3951">
        <f t="shared" si="185"/>
        <v>2</v>
      </c>
      <c r="Q3951" t="s">
        <v>19</v>
      </c>
    </row>
    <row r="3952" spans="1:17" x14ac:dyDescent="0.3">
      <c r="A3952" t="s">
        <v>5078</v>
      </c>
      <c r="B3952" s="6">
        <v>45185</v>
      </c>
      <c r="C3952" s="6" t="str">
        <f t="shared" si="183"/>
        <v>Sep</v>
      </c>
      <c r="D3952" t="s">
        <v>590</v>
      </c>
      <c r="E3952" t="s">
        <v>62</v>
      </c>
      <c r="F3952" t="s">
        <v>722</v>
      </c>
      <c r="G3952">
        <v>6</v>
      </c>
      <c r="H3952" s="7">
        <v>426.14</v>
      </c>
      <c r="I3952" t="s">
        <v>32</v>
      </c>
      <c r="J3952" t="s">
        <v>42</v>
      </c>
      <c r="K3952">
        <v>10</v>
      </c>
      <c r="L3952" s="7">
        <f t="shared" si="184"/>
        <v>2556.84</v>
      </c>
      <c r="M3952" s="7"/>
      <c r="O3952">
        <f t="shared" si="185"/>
        <v>3</v>
      </c>
      <c r="Q3952" t="s">
        <v>33</v>
      </c>
    </row>
    <row r="3953" spans="1:17" x14ac:dyDescent="0.3">
      <c r="A3953" t="s">
        <v>5079</v>
      </c>
      <c r="B3953" s="6">
        <v>45041</v>
      </c>
      <c r="C3953" s="6" t="str">
        <f t="shared" si="183"/>
        <v>Apr</v>
      </c>
      <c r="D3953" t="s">
        <v>1396</v>
      </c>
      <c r="E3953" t="s">
        <v>26</v>
      </c>
      <c r="F3953" t="s">
        <v>1146</v>
      </c>
      <c r="G3953">
        <v>3</v>
      </c>
      <c r="H3953" s="7">
        <v>214.85</v>
      </c>
      <c r="I3953" t="s">
        <v>64</v>
      </c>
      <c r="J3953" t="s">
        <v>28</v>
      </c>
      <c r="K3953">
        <v>10</v>
      </c>
      <c r="L3953" s="7">
        <f t="shared" si="184"/>
        <v>644.54999999999995</v>
      </c>
      <c r="M3953" s="7"/>
      <c r="O3953">
        <f t="shared" si="185"/>
        <v>2</v>
      </c>
      <c r="Q3953" t="s">
        <v>65</v>
      </c>
    </row>
    <row r="3954" spans="1:17" x14ac:dyDescent="0.3">
      <c r="A3954" t="s">
        <v>5080</v>
      </c>
      <c r="B3954" s="6">
        <v>45276</v>
      </c>
      <c r="C3954" s="6" t="str">
        <f t="shared" si="183"/>
        <v>Dec</v>
      </c>
      <c r="D3954" t="s">
        <v>324</v>
      </c>
      <c r="E3954" t="s">
        <v>36</v>
      </c>
      <c r="F3954" t="s">
        <v>303</v>
      </c>
      <c r="G3954">
        <v>8</v>
      </c>
      <c r="H3954" s="7">
        <v>37.9</v>
      </c>
      <c r="I3954" t="s">
        <v>103</v>
      </c>
      <c r="J3954" t="s">
        <v>22</v>
      </c>
      <c r="K3954">
        <v>0</v>
      </c>
      <c r="L3954" s="7">
        <f t="shared" si="184"/>
        <v>303.2</v>
      </c>
      <c r="M3954" s="7"/>
      <c r="O3954">
        <f t="shared" si="185"/>
        <v>2</v>
      </c>
      <c r="Q3954" t="s">
        <v>104</v>
      </c>
    </row>
    <row r="3955" spans="1:17" x14ac:dyDescent="0.3">
      <c r="A3955" t="s">
        <v>5081</v>
      </c>
      <c r="B3955" s="6">
        <v>45129</v>
      </c>
      <c r="C3955" s="6" t="str">
        <f t="shared" si="183"/>
        <v>Jul</v>
      </c>
      <c r="D3955" t="s">
        <v>192</v>
      </c>
      <c r="E3955" t="s">
        <v>19</v>
      </c>
      <c r="F3955" t="s">
        <v>356</v>
      </c>
      <c r="G3955">
        <v>2</v>
      </c>
      <c r="H3955" s="7">
        <v>5.78</v>
      </c>
      <c r="I3955" t="s">
        <v>21</v>
      </c>
      <c r="J3955" t="s">
        <v>72</v>
      </c>
      <c r="K3955">
        <v>5</v>
      </c>
      <c r="L3955" s="7">
        <f t="shared" si="184"/>
        <v>11.56</v>
      </c>
      <c r="M3955" s="7"/>
      <c r="O3955">
        <f t="shared" si="185"/>
        <v>2</v>
      </c>
      <c r="Q3955" t="s">
        <v>23</v>
      </c>
    </row>
    <row r="3956" spans="1:17" x14ac:dyDescent="0.3">
      <c r="A3956" t="s">
        <v>5082</v>
      </c>
      <c r="B3956" s="6">
        <v>45164</v>
      </c>
      <c r="C3956" s="6" t="str">
        <f t="shared" si="183"/>
        <v>Aug</v>
      </c>
      <c r="D3956" t="s">
        <v>355</v>
      </c>
      <c r="E3956" t="s">
        <v>26</v>
      </c>
      <c r="F3956" t="s">
        <v>201</v>
      </c>
      <c r="G3956">
        <v>5</v>
      </c>
      <c r="H3956" s="7">
        <v>264.02999999999997</v>
      </c>
      <c r="I3956" t="s">
        <v>32</v>
      </c>
      <c r="J3956" t="s">
        <v>28</v>
      </c>
      <c r="K3956">
        <v>20</v>
      </c>
      <c r="L3956" s="7">
        <f t="shared" si="184"/>
        <v>1320.1499999999999</v>
      </c>
      <c r="M3956" s="7"/>
      <c r="O3956">
        <f t="shared" si="185"/>
        <v>2</v>
      </c>
      <c r="Q3956" t="s">
        <v>33</v>
      </c>
    </row>
    <row r="3957" spans="1:17" x14ac:dyDescent="0.3">
      <c r="A3957" t="s">
        <v>5083</v>
      </c>
      <c r="B3957" s="6">
        <v>45015</v>
      </c>
      <c r="C3957" s="6" t="str">
        <f t="shared" si="183"/>
        <v>Mar</v>
      </c>
      <c r="D3957" t="s">
        <v>2346</v>
      </c>
      <c r="E3957" t="s">
        <v>31</v>
      </c>
      <c r="F3957" t="s">
        <v>900</v>
      </c>
      <c r="G3957">
        <v>1</v>
      </c>
      <c r="H3957" s="7">
        <v>175.32</v>
      </c>
      <c r="I3957" t="s">
        <v>46</v>
      </c>
      <c r="J3957" t="s">
        <v>22</v>
      </c>
      <c r="K3957">
        <v>5</v>
      </c>
      <c r="L3957" s="7">
        <f t="shared" si="184"/>
        <v>175.32</v>
      </c>
      <c r="M3957" s="7"/>
      <c r="O3957">
        <f t="shared" si="185"/>
        <v>2</v>
      </c>
      <c r="Q3957" t="s">
        <v>47</v>
      </c>
    </row>
    <row r="3958" spans="1:17" x14ac:dyDescent="0.3">
      <c r="A3958" t="s">
        <v>5084</v>
      </c>
      <c r="B3958" s="6">
        <v>45218</v>
      </c>
      <c r="C3958" s="6" t="str">
        <f t="shared" si="183"/>
        <v>Oct</v>
      </c>
      <c r="D3958" t="s">
        <v>740</v>
      </c>
      <c r="E3958" t="s">
        <v>62</v>
      </c>
      <c r="F3958" t="s">
        <v>619</v>
      </c>
      <c r="G3958">
        <v>6</v>
      </c>
      <c r="H3958" s="7">
        <v>498.58</v>
      </c>
      <c r="I3958" t="s">
        <v>32</v>
      </c>
      <c r="J3958" t="s">
        <v>19</v>
      </c>
      <c r="K3958">
        <v>10</v>
      </c>
      <c r="L3958" s="7">
        <f t="shared" si="184"/>
        <v>2991.48</v>
      </c>
      <c r="M3958" s="7"/>
      <c r="O3958">
        <f t="shared" si="185"/>
        <v>3</v>
      </c>
      <c r="Q3958" t="s">
        <v>33</v>
      </c>
    </row>
    <row r="3959" spans="1:17" x14ac:dyDescent="0.3">
      <c r="A3959" t="s">
        <v>5085</v>
      </c>
      <c r="B3959" s="6">
        <v>45022</v>
      </c>
      <c r="C3959" s="6" t="str">
        <f t="shared" si="183"/>
        <v>Apr</v>
      </c>
      <c r="D3959" t="s">
        <v>219</v>
      </c>
      <c r="E3959" t="s">
        <v>31</v>
      </c>
      <c r="F3959" t="s">
        <v>520</v>
      </c>
      <c r="G3959">
        <v>2</v>
      </c>
      <c r="H3959" s="7">
        <v>387.34</v>
      </c>
      <c r="I3959" t="s">
        <v>46</v>
      </c>
      <c r="J3959" t="s">
        <v>72</v>
      </c>
      <c r="K3959">
        <v>5</v>
      </c>
      <c r="L3959" s="7">
        <f t="shared" si="184"/>
        <v>774.68</v>
      </c>
      <c r="M3959" s="7"/>
      <c r="O3959">
        <f t="shared" si="185"/>
        <v>2</v>
      </c>
      <c r="Q3959" t="s">
        <v>47</v>
      </c>
    </row>
    <row r="3960" spans="1:17" x14ac:dyDescent="0.3">
      <c r="A3960" t="s">
        <v>5086</v>
      </c>
      <c r="B3960" s="6">
        <v>45009</v>
      </c>
      <c r="C3960" s="6" t="str">
        <f t="shared" si="183"/>
        <v>Mar</v>
      </c>
      <c r="D3960" t="s">
        <v>1089</v>
      </c>
      <c r="E3960" t="s">
        <v>36</v>
      </c>
      <c r="F3960" t="s">
        <v>642</v>
      </c>
      <c r="G3960">
        <v>4</v>
      </c>
      <c r="H3960" s="7">
        <v>381.83</v>
      </c>
      <c r="I3960" t="s">
        <v>19</v>
      </c>
      <c r="J3960" t="s">
        <v>19</v>
      </c>
      <c r="K3960">
        <v>10</v>
      </c>
      <c r="L3960" s="7">
        <f t="shared" si="184"/>
        <v>1527.32</v>
      </c>
      <c r="M3960" s="7"/>
      <c r="O3960">
        <f t="shared" si="185"/>
        <v>2</v>
      </c>
      <c r="Q3960" t="s">
        <v>19</v>
      </c>
    </row>
    <row r="3961" spans="1:17" x14ac:dyDescent="0.3">
      <c r="A3961" t="s">
        <v>5087</v>
      </c>
      <c r="B3961" s="6">
        <v>45057</v>
      </c>
      <c r="C3961" s="6" t="str">
        <f t="shared" si="183"/>
        <v>May</v>
      </c>
      <c r="D3961" t="s">
        <v>3444</v>
      </c>
      <c r="E3961" t="s">
        <v>62</v>
      </c>
      <c r="F3961" t="s">
        <v>383</v>
      </c>
      <c r="G3961">
        <v>6</v>
      </c>
      <c r="H3961" s="7">
        <v>477.85</v>
      </c>
      <c r="I3961" t="s">
        <v>103</v>
      </c>
      <c r="J3961" t="s">
        <v>42</v>
      </c>
      <c r="K3961">
        <v>10</v>
      </c>
      <c r="L3961" s="7">
        <f t="shared" si="184"/>
        <v>2867.1000000000004</v>
      </c>
      <c r="M3961" s="7"/>
      <c r="O3961">
        <f t="shared" si="185"/>
        <v>3</v>
      </c>
      <c r="Q3961" t="s">
        <v>104</v>
      </c>
    </row>
    <row r="3962" spans="1:17" x14ac:dyDescent="0.3">
      <c r="A3962" t="s">
        <v>5088</v>
      </c>
      <c r="B3962" s="6">
        <v>45040</v>
      </c>
      <c r="C3962" s="6" t="str">
        <f t="shared" si="183"/>
        <v>Apr</v>
      </c>
      <c r="D3962" t="s">
        <v>563</v>
      </c>
      <c r="E3962" t="s">
        <v>40</v>
      </c>
      <c r="F3962" t="s">
        <v>383</v>
      </c>
      <c r="G3962">
        <v>8</v>
      </c>
      <c r="H3962" s="7">
        <v>444.42</v>
      </c>
      <c r="I3962" t="s">
        <v>32</v>
      </c>
      <c r="J3962" t="s">
        <v>42</v>
      </c>
      <c r="K3962">
        <v>10</v>
      </c>
      <c r="L3962" s="7">
        <f t="shared" si="184"/>
        <v>3555.36</v>
      </c>
      <c r="M3962" s="7"/>
      <c r="O3962">
        <f t="shared" si="185"/>
        <v>5</v>
      </c>
      <c r="Q3962" t="s">
        <v>33</v>
      </c>
    </row>
    <row r="3963" spans="1:17" x14ac:dyDescent="0.3">
      <c r="A3963" t="s">
        <v>5089</v>
      </c>
      <c r="B3963" s="6">
        <v>45038</v>
      </c>
      <c r="C3963" s="6" t="str">
        <f t="shared" si="183"/>
        <v>Apr</v>
      </c>
      <c r="D3963" t="s">
        <v>1158</v>
      </c>
      <c r="E3963" t="s">
        <v>19</v>
      </c>
      <c r="F3963" t="s">
        <v>466</v>
      </c>
      <c r="G3963">
        <v>8</v>
      </c>
      <c r="H3963" s="7">
        <v>162.5</v>
      </c>
      <c r="I3963" t="s">
        <v>32</v>
      </c>
      <c r="J3963" t="s">
        <v>72</v>
      </c>
      <c r="K3963">
        <v>15</v>
      </c>
      <c r="L3963" s="7">
        <f t="shared" si="184"/>
        <v>1300</v>
      </c>
      <c r="M3963" s="7"/>
      <c r="O3963">
        <f t="shared" si="185"/>
        <v>2</v>
      </c>
      <c r="Q3963" t="s">
        <v>33</v>
      </c>
    </row>
    <row r="3964" spans="1:17" x14ac:dyDescent="0.3">
      <c r="A3964" t="s">
        <v>5090</v>
      </c>
      <c r="B3964" s="6">
        <v>45103</v>
      </c>
      <c r="C3964" s="6" t="str">
        <f t="shared" si="183"/>
        <v>Jun</v>
      </c>
      <c r="D3964" t="s">
        <v>1362</v>
      </c>
      <c r="E3964" t="s">
        <v>40</v>
      </c>
      <c r="F3964" t="s">
        <v>151</v>
      </c>
      <c r="G3964">
        <v>6</v>
      </c>
      <c r="H3964" s="7">
        <v>87.16</v>
      </c>
      <c r="I3964" t="s">
        <v>32</v>
      </c>
      <c r="J3964" t="s">
        <v>72</v>
      </c>
      <c r="K3964">
        <v>10</v>
      </c>
      <c r="L3964" s="7">
        <f t="shared" si="184"/>
        <v>522.96</v>
      </c>
      <c r="M3964" s="7"/>
      <c r="O3964">
        <f t="shared" si="185"/>
        <v>2</v>
      </c>
      <c r="Q3964" t="s">
        <v>33</v>
      </c>
    </row>
    <row r="3965" spans="1:17" x14ac:dyDescent="0.3">
      <c r="A3965" t="s">
        <v>5091</v>
      </c>
      <c r="B3965" s="6">
        <v>45158</v>
      </c>
      <c r="C3965" s="6" t="str">
        <f t="shared" si="183"/>
        <v>Aug</v>
      </c>
      <c r="D3965" t="s">
        <v>471</v>
      </c>
      <c r="E3965" t="s">
        <v>40</v>
      </c>
      <c r="F3965" t="s">
        <v>94</v>
      </c>
      <c r="G3965">
        <v>4</v>
      </c>
      <c r="H3965" s="7">
        <v>374.22</v>
      </c>
      <c r="I3965" t="s">
        <v>46</v>
      </c>
      <c r="J3965" t="s">
        <v>42</v>
      </c>
      <c r="K3965">
        <v>10</v>
      </c>
      <c r="L3965" s="7">
        <f t="shared" si="184"/>
        <v>1496.88</v>
      </c>
      <c r="M3965" s="7"/>
      <c r="O3965">
        <f t="shared" si="185"/>
        <v>2</v>
      </c>
      <c r="Q3965" t="s">
        <v>47</v>
      </c>
    </row>
    <row r="3966" spans="1:17" x14ac:dyDescent="0.3">
      <c r="A3966" t="s">
        <v>5092</v>
      </c>
      <c r="B3966" s="6">
        <v>45183</v>
      </c>
      <c r="C3966" s="6" t="str">
        <f t="shared" si="183"/>
        <v>Sep</v>
      </c>
      <c r="D3966" t="s">
        <v>1081</v>
      </c>
      <c r="E3966" t="s">
        <v>31</v>
      </c>
      <c r="F3966" t="s">
        <v>246</v>
      </c>
      <c r="G3966">
        <v>8</v>
      </c>
      <c r="H3966" s="7">
        <v>192.25</v>
      </c>
      <c r="I3966" t="s">
        <v>103</v>
      </c>
      <c r="J3966" t="s">
        <v>42</v>
      </c>
      <c r="K3966">
        <v>10</v>
      </c>
      <c r="L3966" s="7">
        <f t="shared" si="184"/>
        <v>1538</v>
      </c>
      <c r="M3966" s="7"/>
      <c r="O3966">
        <f t="shared" si="185"/>
        <v>2</v>
      </c>
      <c r="Q3966" t="s">
        <v>104</v>
      </c>
    </row>
    <row r="3967" spans="1:17" x14ac:dyDescent="0.3">
      <c r="A3967" t="s">
        <v>5093</v>
      </c>
      <c r="B3967" s="6">
        <v>45176</v>
      </c>
      <c r="C3967" s="6" t="str">
        <f t="shared" si="183"/>
        <v>Sep</v>
      </c>
      <c r="D3967" t="s">
        <v>397</v>
      </c>
      <c r="E3967" t="s">
        <v>36</v>
      </c>
      <c r="F3967" t="s">
        <v>295</v>
      </c>
      <c r="G3967">
        <v>8</v>
      </c>
      <c r="H3967" s="7">
        <v>239.22</v>
      </c>
      <c r="I3967" t="s">
        <v>64</v>
      </c>
      <c r="J3967" t="s">
        <v>72</v>
      </c>
      <c r="K3967">
        <v>20</v>
      </c>
      <c r="L3967" s="7">
        <f t="shared" si="184"/>
        <v>1913.76</v>
      </c>
      <c r="M3967" s="7"/>
      <c r="O3967">
        <f t="shared" si="185"/>
        <v>2</v>
      </c>
      <c r="Q3967" t="s">
        <v>65</v>
      </c>
    </row>
    <row r="3968" spans="1:17" x14ac:dyDescent="0.3">
      <c r="A3968" t="s">
        <v>5094</v>
      </c>
      <c r="B3968" s="6">
        <v>45010</v>
      </c>
      <c r="C3968" s="6" t="str">
        <f t="shared" si="183"/>
        <v>Mar</v>
      </c>
      <c r="D3968" t="s">
        <v>2513</v>
      </c>
      <c r="E3968" t="s">
        <v>62</v>
      </c>
      <c r="F3968" t="s">
        <v>188</v>
      </c>
      <c r="G3968">
        <v>1</v>
      </c>
      <c r="H3968" s="7">
        <v>317.05</v>
      </c>
      <c r="I3968" t="s">
        <v>21</v>
      </c>
      <c r="J3968" t="s">
        <v>42</v>
      </c>
      <c r="K3968">
        <v>10</v>
      </c>
      <c r="L3968" s="7">
        <f t="shared" si="184"/>
        <v>317.05</v>
      </c>
      <c r="M3968" s="7"/>
      <c r="O3968">
        <f t="shared" si="185"/>
        <v>2</v>
      </c>
      <c r="Q3968" t="s">
        <v>23</v>
      </c>
    </row>
    <row r="3969" spans="1:17" x14ac:dyDescent="0.3">
      <c r="A3969" t="s">
        <v>5095</v>
      </c>
      <c r="B3969" s="6">
        <v>45146</v>
      </c>
      <c r="C3969" s="6" t="str">
        <f t="shared" si="183"/>
        <v>Aug</v>
      </c>
      <c r="D3969" t="s">
        <v>2521</v>
      </c>
      <c r="E3969" t="s">
        <v>31</v>
      </c>
      <c r="F3969" t="s">
        <v>423</v>
      </c>
      <c r="G3969">
        <v>4</v>
      </c>
      <c r="H3969" s="7">
        <v>454.4</v>
      </c>
      <c r="I3969" t="s">
        <v>103</v>
      </c>
      <c r="J3969" t="s">
        <v>72</v>
      </c>
      <c r="K3969">
        <v>0</v>
      </c>
      <c r="L3969" s="7">
        <f t="shared" si="184"/>
        <v>1817.6</v>
      </c>
      <c r="M3969" s="7"/>
      <c r="O3969">
        <f t="shared" si="185"/>
        <v>2</v>
      </c>
      <c r="Q3969" t="s">
        <v>104</v>
      </c>
    </row>
    <row r="3970" spans="1:17" x14ac:dyDescent="0.3">
      <c r="A3970" t="s">
        <v>5096</v>
      </c>
      <c r="B3970" s="6">
        <v>45198</v>
      </c>
      <c r="C3970" s="6" t="str">
        <f t="shared" si="183"/>
        <v>Sep</v>
      </c>
      <c r="D3970" t="s">
        <v>1240</v>
      </c>
      <c r="E3970" t="s">
        <v>36</v>
      </c>
      <c r="F3970" t="s">
        <v>1251</v>
      </c>
      <c r="G3970">
        <v>4</v>
      </c>
      <c r="H3970" s="7">
        <v>212.45</v>
      </c>
      <c r="I3970" t="s">
        <v>46</v>
      </c>
      <c r="J3970" t="s">
        <v>19</v>
      </c>
      <c r="K3970">
        <v>10</v>
      </c>
      <c r="L3970" s="7">
        <f t="shared" si="184"/>
        <v>849.8</v>
      </c>
      <c r="M3970" s="7"/>
      <c r="O3970">
        <f t="shared" si="185"/>
        <v>2</v>
      </c>
      <c r="Q3970" t="s">
        <v>47</v>
      </c>
    </row>
    <row r="3971" spans="1:17" x14ac:dyDescent="0.3">
      <c r="A3971" t="s">
        <v>5097</v>
      </c>
      <c r="B3971" s="6">
        <v>45201</v>
      </c>
      <c r="C3971" s="6" t="str">
        <f t="shared" ref="C3971:C4034" si="186">TEXT(B3971,"MMM")</f>
        <v>Oct</v>
      </c>
      <c r="D3971" t="s">
        <v>400</v>
      </c>
      <c r="E3971" t="s">
        <v>19</v>
      </c>
      <c r="F3971" t="s">
        <v>278</v>
      </c>
      <c r="G3971">
        <v>7</v>
      </c>
      <c r="H3971" s="7">
        <v>392.74</v>
      </c>
      <c r="I3971" t="s">
        <v>19</v>
      </c>
      <c r="J3971" t="s">
        <v>72</v>
      </c>
      <c r="K3971">
        <v>5</v>
      </c>
      <c r="L3971" s="7">
        <f t="shared" ref="L3971:L4034" si="187">G3971*H3971</f>
        <v>2749.1800000000003</v>
      </c>
      <c r="M3971" s="7"/>
      <c r="O3971">
        <f t="shared" si="185"/>
        <v>3</v>
      </c>
      <c r="Q3971" t="s">
        <v>19</v>
      </c>
    </row>
    <row r="3972" spans="1:17" x14ac:dyDescent="0.3">
      <c r="A3972" t="s">
        <v>5098</v>
      </c>
      <c r="B3972" s="6">
        <v>45005</v>
      </c>
      <c r="C3972" s="6" t="str">
        <f t="shared" si="186"/>
        <v>Mar</v>
      </c>
      <c r="D3972" t="s">
        <v>1922</v>
      </c>
      <c r="E3972" t="s">
        <v>36</v>
      </c>
      <c r="F3972" t="s">
        <v>383</v>
      </c>
      <c r="G3972">
        <v>7</v>
      </c>
      <c r="H3972" s="7">
        <v>137.83000000000001</v>
      </c>
      <c r="I3972" t="s">
        <v>32</v>
      </c>
      <c r="J3972" t="s">
        <v>19</v>
      </c>
      <c r="K3972">
        <v>10</v>
      </c>
      <c r="L3972" s="7">
        <f t="shared" si="187"/>
        <v>964.81000000000006</v>
      </c>
      <c r="M3972" s="7"/>
      <c r="O3972">
        <f t="shared" ref="O3972:O4035" si="188">IF(L3972&gt;3500,5,IF(L3972&gt;3000,4,IF(L3972&gt;2500,3,IF(L3972&gt;2000,2,IF(L3972&gt;1000,2,2)))))</f>
        <v>2</v>
      </c>
      <c r="Q3972" t="s">
        <v>33</v>
      </c>
    </row>
    <row r="3973" spans="1:17" x14ac:dyDescent="0.3">
      <c r="A3973" t="s">
        <v>5099</v>
      </c>
      <c r="B3973" s="6">
        <v>45069</v>
      </c>
      <c r="C3973" s="6" t="str">
        <f t="shared" si="186"/>
        <v>May</v>
      </c>
      <c r="D3973" t="s">
        <v>280</v>
      </c>
      <c r="E3973" t="s">
        <v>50</v>
      </c>
      <c r="F3973" t="s">
        <v>188</v>
      </c>
      <c r="G3973">
        <v>8</v>
      </c>
      <c r="H3973" s="7">
        <v>350.5</v>
      </c>
      <c r="I3973" t="s">
        <v>64</v>
      </c>
      <c r="J3973" t="s">
        <v>87</v>
      </c>
      <c r="K3973">
        <v>15</v>
      </c>
      <c r="L3973" s="7">
        <f t="shared" si="187"/>
        <v>2804</v>
      </c>
      <c r="M3973" s="7"/>
      <c r="O3973">
        <f t="shared" si="188"/>
        <v>3</v>
      </c>
      <c r="Q3973" t="s">
        <v>65</v>
      </c>
    </row>
    <row r="3974" spans="1:17" x14ac:dyDescent="0.3">
      <c r="A3974" t="s">
        <v>5100</v>
      </c>
      <c r="B3974" s="6">
        <v>45264</v>
      </c>
      <c r="C3974" s="6" t="str">
        <f t="shared" si="186"/>
        <v>Dec</v>
      </c>
      <c r="D3974" t="s">
        <v>2409</v>
      </c>
      <c r="E3974" t="s">
        <v>26</v>
      </c>
      <c r="F3974" t="s">
        <v>27</v>
      </c>
      <c r="G3974">
        <v>5</v>
      </c>
      <c r="H3974" s="7">
        <v>5.78</v>
      </c>
      <c r="I3974" t="s">
        <v>21</v>
      </c>
      <c r="J3974" t="s">
        <v>28</v>
      </c>
      <c r="K3974">
        <v>10</v>
      </c>
      <c r="L3974" s="7">
        <f t="shared" si="187"/>
        <v>28.900000000000002</v>
      </c>
      <c r="M3974" s="7"/>
      <c r="O3974">
        <f t="shared" si="188"/>
        <v>2</v>
      </c>
      <c r="Q3974" t="s">
        <v>23</v>
      </c>
    </row>
    <row r="3975" spans="1:17" x14ac:dyDescent="0.3">
      <c r="A3975" t="s">
        <v>5101</v>
      </c>
      <c r="B3975" s="6">
        <v>44936</v>
      </c>
      <c r="C3975" s="6" t="str">
        <f t="shared" si="186"/>
        <v>Jan</v>
      </c>
      <c r="D3975" t="s">
        <v>2256</v>
      </c>
      <c r="E3975" t="s">
        <v>62</v>
      </c>
      <c r="F3975" t="s">
        <v>322</v>
      </c>
      <c r="G3975">
        <v>7</v>
      </c>
      <c r="H3975" s="7">
        <v>436.4</v>
      </c>
      <c r="I3975" t="s">
        <v>64</v>
      </c>
      <c r="J3975" t="s">
        <v>87</v>
      </c>
      <c r="K3975">
        <v>10</v>
      </c>
      <c r="L3975" s="7">
        <f t="shared" si="187"/>
        <v>3054.7999999999997</v>
      </c>
      <c r="M3975" s="7"/>
      <c r="O3975">
        <f t="shared" si="188"/>
        <v>4</v>
      </c>
      <c r="Q3975" t="s">
        <v>65</v>
      </c>
    </row>
    <row r="3976" spans="1:17" x14ac:dyDescent="0.3">
      <c r="A3976" t="s">
        <v>5102</v>
      </c>
      <c r="B3976" s="6">
        <v>44952</v>
      </c>
      <c r="C3976" s="6" t="str">
        <f t="shared" si="186"/>
        <v>Jan</v>
      </c>
      <c r="D3976" t="s">
        <v>1578</v>
      </c>
      <c r="E3976" t="s">
        <v>19</v>
      </c>
      <c r="F3976" t="s">
        <v>257</v>
      </c>
      <c r="G3976">
        <v>8</v>
      </c>
      <c r="H3976" s="7">
        <v>20.04</v>
      </c>
      <c r="I3976" t="s">
        <v>64</v>
      </c>
      <c r="J3976" t="s">
        <v>22</v>
      </c>
      <c r="K3976">
        <v>20</v>
      </c>
      <c r="L3976" s="7">
        <f t="shared" si="187"/>
        <v>160.32</v>
      </c>
      <c r="M3976" s="7"/>
      <c r="O3976">
        <f t="shared" si="188"/>
        <v>2</v>
      </c>
      <c r="Q3976" t="s">
        <v>65</v>
      </c>
    </row>
    <row r="3977" spans="1:17" x14ac:dyDescent="0.3">
      <c r="A3977" t="s">
        <v>5103</v>
      </c>
      <c r="B3977" s="6">
        <v>45279</v>
      </c>
      <c r="C3977" s="6" t="str">
        <f t="shared" si="186"/>
        <v>Dec</v>
      </c>
      <c r="D3977" t="s">
        <v>781</v>
      </c>
      <c r="E3977" t="s">
        <v>36</v>
      </c>
      <c r="F3977" t="s">
        <v>378</v>
      </c>
      <c r="G3977">
        <v>9</v>
      </c>
      <c r="H3977" s="7">
        <v>357.81</v>
      </c>
      <c r="I3977" t="s">
        <v>21</v>
      </c>
      <c r="J3977" t="s">
        <v>42</v>
      </c>
      <c r="K3977">
        <v>10</v>
      </c>
      <c r="L3977" s="7">
        <f t="shared" si="187"/>
        <v>3220.29</v>
      </c>
      <c r="M3977" s="7"/>
      <c r="O3977">
        <f t="shared" si="188"/>
        <v>4</v>
      </c>
      <c r="Q3977" t="s">
        <v>23</v>
      </c>
    </row>
    <row r="3978" spans="1:17" x14ac:dyDescent="0.3">
      <c r="A3978" t="s">
        <v>5104</v>
      </c>
      <c r="B3978" s="6">
        <v>45018</v>
      </c>
      <c r="C3978" s="6" t="str">
        <f t="shared" si="186"/>
        <v>Apr</v>
      </c>
      <c r="D3978" t="s">
        <v>454</v>
      </c>
      <c r="E3978" t="s">
        <v>40</v>
      </c>
      <c r="F3978" t="s">
        <v>383</v>
      </c>
      <c r="G3978">
        <v>3</v>
      </c>
      <c r="H3978" s="7">
        <v>27.9</v>
      </c>
      <c r="I3978" t="s">
        <v>64</v>
      </c>
      <c r="J3978" t="s">
        <v>22</v>
      </c>
      <c r="K3978">
        <v>20</v>
      </c>
      <c r="L3978" s="7">
        <f t="shared" si="187"/>
        <v>83.699999999999989</v>
      </c>
      <c r="M3978" s="7"/>
      <c r="O3978">
        <f t="shared" si="188"/>
        <v>2</v>
      </c>
      <c r="Q3978" t="s">
        <v>65</v>
      </c>
    </row>
    <row r="3979" spans="1:17" x14ac:dyDescent="0.3">
      <c r="A3979" t="s">
        <v>5105</v>
      </c>
      <c r="B3979" s="6">
        <v>45103</v>
      </c>
      <c r="C3979" s="6" t="str">
        <f t="shared" si="186"/>
        <v>Jun</v>
      </c>
      <c r="D3979" t="s">
        <v>2117</v>
      </c>
      <c r="E3979" t="s">
        <v>26</v>
      </c>
      <c r="F3979" t="s">
        <v>107</v>
      </c>
      <c r="G3979">
        <v>3</v>
      </c>
      <c r="H3979" s="7">
        <v>136.79</v>
      </c>
      <c r="I3979" t="s">
        <v>103</v>
      </c>
      <c r="J3979" t="s">
        <v>22</v>
      </c>
      <c r="K3979">
        <v>10</v>
      </c>
      <c r="L3979" s="7">
        <f t="shared" si="187"/>
        <v>410.37</v>
      </c>
      <c r="M3979" s="7"/>
      <c r="O3979">
        <f t="shared" si="188"/>
        <v>2</v>
      </c>
      <c r="Q3979" t="s">
        <v>104</v>
      </c>
    </row>
    <row r="3980" spans="1:17" x14ac:dyDescent="0.3">
      <c r="A3980" t="s">
        <v>5106</v>
      </c>
      <c r="B3980" s="6">
        <v>44961</v>
      </c>
      <c r="C3980" s="6" t="str">
        <f t="shared" si="186"/>
        <v>Feb</v>
      </c>
      <c r="D3980" t="s">
        <v>425</v>
      </c>
      <c r="E3980" t="s">
        <v>19</v>
      </c>
      <c r="F3980" t="s">
        <v>627</v>
      </c>
      <c r="G3980">
        <v>4</v>
      </c>
      <c r="H3980" s="7">
        <v>251.12</v>
      </c>
      <c r="I3980" t="s">
        <v>64</v>
      </c>
      <c r="J3980" t="s">
        <v>28</v>
      </c>
      <c r="K3980">
        <v>5</v>
      </c>
      <c r="L3980" s="7">
        <f t="shared" si="187"/>
        <v>1004.48</v>
      </c>
      <c r="M3980" s="7"/>
      <c r="O3980">
        <f t="shared" si="188"/>
        <v>2</v>
      </c>
      <c r="Q3980" t="s">
        <v>65</v>
      </c>
    </row>
    <row r="3981" spans="1:17" x14ac:dyDescent="0.3">
      <c r="A3981" t="s">
        <v>5107</v>
      </c>
      <c r="B3981" s="6">
        <v>44971</v>
      </c>
      <c r="C3981" s="6" t="str">
        <f t="shared" si="186"/>
        <v>Feb</v>
      </c>
      <c r="D3981" t="s">
        <v>1853</v>
      </c>
      <c r="E3981" t="s">
        <v>50</v>
      </c>
      <c r="F3981" t="s">
        <v>369</v>
      </c>
      <c r="G3981">
        <v>5</v>
      </c>
      <c r="H3981" s="7">
        <v>212.87</v>
      </c>
      <c r="I3981" t="s">
        <v>103</v>
      </c>
      <c r="J3981" t="s">
        <v>87</v>
      </c>
      <c r="K3981">
        <v>10</v>
      </c>
      <c r="L3981" s="7">
        <f t="shared" si="187"/>
        <v>1064.3499999999999</v>
      </c>
      <c r="M3981" s="7"/>
      <c r="O3981">
        <f t="shared" si="188"/>
        <v>2</v>
      </c>
      <c r="Q3981" t="s">
        <v>104</v>
      </c>
    </row>
    <row r="3982" spans="1:17" x14ac:dyDescent="0.3">
      <c r="A3982" t="s">
        <v>5108</v>
      </c>
      <c r="B3982" s="6">
        <v>45194</v>
      </c>
      <c r="C3982" s="6" t="str">
        <f t="shared" si="186"/>
        <v>Sep</v>
      </c>
      <c r="D3982" t="s">
        <v>210</v>
      </c>
      <c r="E3982" t="s">
        <v>36</v>
      </c>
      <c r="F3982" t="s">
        <v>84</v>
      </c>
      <c r="G3982">
        <v>1</v>
      </c>
      <c r="H3982" s="7">
        <v>99.96</v>
      </c>
      <c r="I3982" t="s">
        <v>64</v>
      </c>
      <c r="J3982" t="s">
        <v>87</v>
      </c>
      <c r="K3982">
        <v>15</v>
      </c>
      <c r="L3982" s="7">
        <f t="shared" si="187"/>
        <v>99.96</v>
      </c>
      <c r="M3982" s="7"/>
      <c r="O3982">
        <f t="shared" si="188"/>
        <v>2</v>
      </c>
      <c r="Q3982" t="s">
        <v>65</v>
      </c>
    </row>
    <row r="3983" spans="1:17" x14ac:dyDescent="0.3">
      <c r="A3983" t="s">
        <v>5109</v>
      </c>
      <c r="B3983" s="6">
        <v>45263</v>
      </c>
      <c r="C3983" s="6" t="str">
        <f t="shared" si="186"/>
        <v>Dec</v>
      </c>
      <c r="D3983" t="s">
        <v>2336</v>
      </c>
      <c r="E3983" t="s">
        <v>36</v>
      </c>
      <c r="F3983" t="s">
        <v>131</v>
      </c>
      <c r="G3983">
        <v>7</v>
      </c>
      <c r="H3983" s="7">
        <v>170.24</v>
      </c>
      <c r="I3983" t="s">
        <v>103</v>
      </c>
      <c r="J3983" t="s">
        <v>28</v>
      </c>
      <c r="K3983">
        <v>0</v>
      </c>
      <c r="L3983" s="7">
        <f t="shared" si="187"/>
        <v>1191.68</v>
      </c>
      <c r="M3983" s="7"/>
      <c r="O3983">
        <f t="shared" si="188"/>
        <v>2</v>
      </c>
      <c r="Q3983" t="s">
        <v>104</v>
      </c>
    </row>
    <row r="3984" spans="1:17" x14ac:dyDescent="0.3">
      <c r="A3984" t="s">
        <v>5110</v>
      </c>
      <c r="B3984" s="6">
        <v>45275</v>
      </c>
      <c r="C3984" s="6" t="str">
        <f t="shared" si="186"/>
        <v>Dec</v>
      </c>
      <c r="D3984" t="s">
        <v>2158</v>
      </c>
      <c r="E3984" t="s">
        <v>26</v>
      </c>
      <c r="F3984" t="s">
        <v>242</v>
      </c>
      <c r="G3984">
        <v>5</v>
      </c>
      <c r="H3984" s="7">
        <v>365.21</v>
      </c>
      <c r="I3984" t="s">
        <v>32</v>
      </c>
      <c r="J3984" t="s">
        <v>28</v>
      </c>
      <c r="K3984">
        <v>5</v>
      </c>
      <c r="L3984" s="7">
        <f t="shared" si="187"/>
        <v>1826.05</v>
      </c>
      <c r="M3984" s="7"/>
      <c r="O3984">
        <f t="shared" si="188"/>
        <v>2</v>
      </c>
      <c r="Q3984" t="s">
        <v>33</v>
      </c>
    </row>
    <row r="3985" spans="1:17" x14ac:dyDescent="0.3">
      <c r="A3985" t="s">
        <v>5111</v>
      </c>
      <c r="B3985" s="6">
        <v>45274</v>
      </c>
      <c r="C3985" s="6" t="str">
        <f t="shared" si="186"/>
        <v>Dec</v>
      </c>
      <c r="D3985" t="s">
        <v>1408</v>
      </c>
      <c r="E3985" t="s">
        <v>26</v>
      </c>
      <c r="F3985" t="s">
        <v>968</v>
      </c>
      <c r="G3985">
        <v>8</v>
      </c>
      <c r="H3985" s="7">
        <v>336.28</v>
      </c>
      <c r="I3985" t="s">
        <v>19</v>
      </c>
      <c r="J3985" t="s">
        <v>87</v>
      </c>
      <c r="K3985">
        <v>5</v>
      </c>
      <c r="L3985" s="7">
        <f t="shared" si="187"/>
        <v>2690.24</v>
      </c>
      <c r="M3985" s="7"/>
      <c r="O3985">
        <f t="shared" si="188"/>
        <v>3</v>
      </c>
      <c r="Q3985" t="s">
        <v>19</v>
      </c>
    </row>
    <row r="3986" spans="1:17" x14ac:dyDescent="0.3">
      <c r="A3986" t="s">
        <v>5112</v>
      </c>
      <c r="B3986" s="6">
        <v>45228</v>
      </c>
      <c r="C3986" s="6" t="str">
        <f t="shared" si="186"/>
        <v>Oct</v>
      </c>
      <c r="D3986" t="s">
        <v>1458</v>
      </c>
      <c r="E3986" t="s">
        <v>36</v>
      </c>
      <c r="F3986" t="s">
        <v>217</v>
      </c>
      <c r="G3986">
        <v>5</v>
      </c>
      <c r="H3986" s="7">
        <v>40.549999999999997</v>
      </c>
      <c r="I3986" t="s">
        <v>19</v>
      </c>
      <c r="J3986" t="s">
        <v>22</v>
      </c>
      <c r="K3986">
        <v>0</v>
      </c>
      <c r="L3986" s="7">
        <f t="shared" si="187"/>
        <v>202.75</v>
      </c>
      <c r="M3986" s="7"/>
      <c r="O3986">
        <f t="shared" si="188"/>
        <v>2</v>
      </c>
      <c r="Q3986" t="s">
        <v>19</v>
      </c>
    </row>
    <row r="3987" spans="1:17" x14ac:dyDescent="0.3">
      <c r="A3987" t="s">
        <v>5113</v>
      </c>
      <c r="B3987" s="6">
        <v>44997</v>
      </c>
      <c r="C3987" s="6" t="str">
        <f t="shared" si="186"/>
        <v>Mar</v>
      </c>
      <c r="D3987" t="s">
        <v>1896</v>
      </c>
      <c r="E3987" t="s">
        <v>40</v>
      </c>
      <c r="F3987" t="s">
        <v>1282</v>
      </c>
      <c r="G3987">
        <v>4</v>
      </c>
      <c r="H3987" s="7">
        <v>374.92</v>
      </c>
      <c r="I3987" t="s">
        <v>64</v>
      </c>
      <c r="J3987" t="s">
        <v>42</v>
      </c>
      <c r="K3987">
        <v>10</v>
      </c>
      <c r="L3987" s="7">
        <f t="shared" si="187"/>
        <v>1499.68</v>
      </c>
      <c r="M3987" s="7"/>
      <c r="O3987">
        <f t="shared" si="188"/>
        <v>2</v>
      </c>
      <c r="Q3987" t="s">
        <v>65</v>
      </c>
    </row>
    <row r="3988" spans="1:17" x14ac:dyDescent="0.3">
      <c r="A3988" t="s">
        <v>5114</v>
      </c>
      <c r="B3988" s="6">
        <v>44964</v>
      </c>
      <c r="C3988" s="6" t="str">
        <f t="shared" si="186"/>
        <v>Feb</v>
      </c>
      <c r="D3988" t="s">
        <v>4193</v>
      </c>
      <c r="E3988" t="s">
        <v>19</v>
      </c>
      <c r="F3988" t="s">
        <v>713</v>
      </c>
      <c r="G3988">
        <v>7</v>
      </c>
      <c r="H3988" s="7">
        <v>31.26</v>
      </c>
      <c r="I3988" t="s">
        <v>32</v>
      </c>
      <c r="J3988" t="s">
        <v>19</v>
      </c>
      <c r="K3988">
        <v>10</v>
      </c>
      <c r="L3988" s="7">
        <f t="shared" si="187"/>
        <v>218.82000000000002</v>
      </c>
      <c r="M3988" s="7"/>
      <c r="O3988">
        <f t="shared" si="188"/>
        <v>2</v>
      </c>
      <c r="Q3988" t="s">
        <v>33</v>
      </c>
    </row>
    <row r="3989" spans="1:17" x14ac:dyDescent="0.3">
      <c r="A3989" t="s">
        <v>5115</v>
      </c>
      <c r="B3989" s="6">
        <v>45149</v>
      </c>
      <c r="C3989" s="6" t="str">
        <f t="shared" si="186"/>
        <v>Aug</v>
      </c>
      <c r="D3989" t="s">
        <v>877</v>
      </c>
      <c r="E3989" t="s">
        <v>26</v>
      </c>
      <c r="F3989" t="s">
        <v>81</v>
      </c>
      <c r="G3989">
        <v>5</v>
      </c>
      <c r="H3989" s="7">
        <v>273.75</v>
      </c>
      <c r="I3989" t="s">
        <v>103</v>
      </c>
      <c r="J3989" t="s">
        <v>28</v>
      </c>
      <c r="K3989">
        <v>10</v>
      </c>
      <c r="L3989" s="7">
        <f t="shared" si="187"/>
        <v>1368.75</v>
      </c>
      <c r="M3989" s="7"/>
      <c r="O3989">
        <f t="shared" si="188"/>
        <v>2</v>
      </c>
      <c r="Q3989" t="s">
        <v>104</v>
      </c>
    </row>
    <row r="3990" spans="1:17" x14ac:dyDescent="0.3">
      <c r="A3990" t="s">
        <v>5116</v>
      </c>
      <c r="B3990" s="6">
        <v>45153</v>
      </c>
      <c r="C3990" s="6" t="str">
        <f t="shared" si="186"/>
        <v>Aug</v>
      </c>
      <c r="D3990" t="s">
        <v>1690</v>
      </c>
      <c r="E3990" t="s">
        <v>31</v>
      </c>
      <c r="F3990" t="s">
        <v>139</v>
      </c>
      <c r="G3990">
        <v>7</v>
      </c>
      <c r="H3990" s="7">
        <v>133.72999999999999</v>
      </c>
      <c r="I3990" t="s">
        <v>21</v>
      </c>
      <c r="J3990" t="s">
        <v>19</v>
      </c>
      <c r="K3990">
        <v>10</v>
      </c>
      <c r="L3990" s="7">
        <f t="shared" si="187"/>
        <v>936.1099999999999</v>
      </c>
      <c r="M3990" s="7"/>
      <c r="O3990">
        <f t="shared" si="188"/>
        <v>2</v>
      </c>
      <c r="Q3990" t="s">
        <v>23</v>
      </c>
    </row>
    <row r="3991" spans="1:17" x14ac:dyDescent="0.3">
      <c r="A3991" t="s">
        <v>5117</v>
      </c>
      <c r="B3991" s="6">
        <v>45239</v>
      </c>
      <c r="C3991" s="6" t="str">
        <f t="shared" si="186"/>
        <v>Nov</v>
      </c>
      <c r="D3991" t="s">
        <v>2811</v>
      </c>
      <c r="E3991" t="s">
        <v>50</v>
      </c>
      <c r="F3991" t="s">
        <v>20</v>
      </c>
      <c r="G3991">
        <v>1</v>
      </c>
      <c r="H3991" s="7">
        <v>295.91000000000003</v>
      </c>
      <c r="I3991" t="s">
        <v>19</v>
      </c>
      <c r="J3991" t="s">
        <v>42</v>
      </c>
      <c r="K3991">
        <v>10</v>
      </c>
      <c r="L3991" s="7">
        <f t="shared" si="187"/>
        <v>295.91000000000003</v>
      </c>
      <c r="M3991" s="7"/>
      <c r="O3991">
        <f t="shared" si="188"/>
        <v>2</v>
      </c>
      <c r="Q3991" t="s">
        <v>19</v>
      </c>
    </row>
    <row r="3992" spans="1:17" x14ac:dyDescent="0.3">
      <c r="A3992" t="s">
        <v>5118</v>
      </c>
      <c r="B3992" s="6">
        <v>45121</v>
      </c>
      <c r="C3992" s="6" t="str">
        <f t="shared" si="186"/>
        <v>Jul</v>
      </c>
      <c r="D3992" t="s">
        <v>49</v>
      </c>
      <c r="E3992" t="s">
        <v>62</v>
      </c>
      <c r="F3992" t="s">
        <v>198</v>
      </c>
      <c r="G3992">
        <v>1</v>
      </c>
      <c r="H3992" s="7">
        <v>134.36000000000001</v>
      </c>
      <c r="I3992" t="s">
        <v>19</v>
      </c>
      <c r="J3992" t="s">
        <v>42</v>
      </c>
      <c r="K3992">
        <v>15</v>
      </c>
      <c r="L3992" s="7">
        <f t="shared" si="187"/>
        <v>134.36000000000001</v>
      </c>
      <c r="M3992" s="7"/>
      <c r="O3992">
        <f t="shared" si="188"/>
        <v>2</v>
      </c>
      <c r="Q3992" t="s">
        <v>19</v>
      </c>
    </row>
    <row r="3993" spans="1:17" x14ac:dyDescent="0.3">
      <c r="A3993" t="s">
        <v>5119</v>
      </c>
      <c r="B3993" s="6">
        <v>45103</v>
      </c>
      <c r="C3993" s="6" t="str">
        <f t="shared" si="186"/>
        <v>Jun</v>
      </c>
      <c r="D3993" t="s">
        <v>259</v>
      </c>
      <c r="E3993" t="s">
        <v>40</v>
      </c>
      <c r="F3993" t="s">
        <v>208</v>
      </c>
      <c r="G3993">
        <v>3</v>
      </c>
      <c r="H3993" s="7">
        <v>492.55</v>
      </c>
      <c r="I3993" t="s">
        <v>19</v>
      </c>
      <c r="J3993" t="s">
        <v>19</v>
      </c>
      <c r="K3993">
        <v>5</v>
      </c>
      <c r="L3993" s="7">
        <f t="shared" si="187"/>
        <v>1477.65</v>
      </c>
      <c r="M3993" s="7"/>
      <c r="O3993">
        <f t="shared" si="188"/>
        <v>2</v>
      </c>
      <c r="Q3993" t="s">
        <v>19</v>
      </c>
    </row>
    <row r="3994" spans="1:17" x14ac:dyDescent="0.3">
      <c r="A3994" t="s">
        <v>5120</v>
      </c>
      <c r="B3994" s="6">
        <v>45141</v>
      </c>
      <c r="C3994" s="6" t="str">
        <f t="shared" si="186"/>
        <v>Aug</v>
      </c>
      <c r="D3994" t="s">
        <v>537</v>
      </c>
      <c r="E3994" t="s">
        <v>19</v>
      </c>
      <c r="F3994" t="s">
        <v>137</v>
      </c>
      <c r="G3994">
        <v>2</v>
      </c>
      <c r="H3994" s="7">
        <v>158.32</v>
      </c>
      <c r="I3994" t="s">
        <v>19</v>
      </c>
      <c r="J3994" t="s">
        <v>72</v>
      </c>
      <c r="K3994">
        <v>20</v>
      </c>
      <c r="L3994" s="7">
        <f t="shared" si="187"/>
        <v>316.64</v>
      </c>
      <c r="M3994" s="7"/>
      <c r="O3994">
        <f t="shared" si="188"/>
        <v>2</v>
      </c>
      <c r="Q3994" t="s">
        <v>19</v>
      </c>
    </row>
    <row r="3995" spans="1:17" x14ac:dyDescent="0.3">
      <c r="A3995" t="s">
        <v>5121</v>
      </c>
      <c r="B3995" s="6">
        <v>44985</v>
      </c>
      <c r="C3995" s="6" t="str">
        <f t="shared" si="186"/>
        <v>Feb</v>
      </c>
      <c r="D3995" t="s">
        <v>513</v>
      </c>
      <c r="E3995" t="s">
        <v>26</v>
      </c>
      <c r="F3995" t="s">
        <v>41</v>
      </c>
      <c r="G3995">
        <v>2</v>
      </c>
      <c r="H3995" s="7">
        <v>124.77</v>
      </c>
      <c r="I3995" t="s">
        <v>103</v>
      </c>
      <c r="J3995" t="s">
        <v>28</v>
      </c>
      <c r="K3995">
        <v>0</v>
      </c>
      <c r="L3995" s="7">
        <f t="shared" si="187"/>
        <v>249.54</v>
      </c>
      <c r="M3995" s="7"/>
      <c r="O3995">
        <f t="shared" si="188"/>
        <v>2</v>
      </c>
      <c r="Q3995" t="s">
        <v>104</v>
      </c>
    </row>
    <row r="3996" spans="1:17" x14ac:dyDescent="0.3">
      <c r="A3996" t="s">
        <v>5122</v>
      </c>
      <c r="B3996" s="6">
        <v>45179</v>
      </c>
      <c r="C3996" s="6" t="str">
        <f t="shared" si="186"/>
        <v>Sep</v>
      </c>
      <c r="D3996" t="s">
        <v>1809</v>
      </c>
      <c r="E3996" t="s">
        <v>36</v>
      </c>
      <c r="F3996" t="s">
        <v>131</v>
      </c>
      <c r="G3996">
        <v>7</v>
      </c>
      <c r="H3996" s="7">
        <v>142.84</v>
      </c>
      <c r="I3996" t="s">
        <v>64</v>
      </c>
      <c r="J3996" t="s">
        <v>72</v>
      </c>
      <c r="K3996">
        <v>5</v>
      </c>
      <c r="L3996" s="7">
        <f t="shared" si="187"/>
        <v>999.88</v>
      </c>
      <c r="M3996" s="7"/>
      <c r="O3996">
        <f t="shared" si="188"/>
        <v>2</v>
      </c>
      <c r="Q3996" t="s">
        <v>65</v>
      </c>
    </row>
    <row r="3997" spans="1:17" x14ac:dyDescent="0.3">
      <c r="A3997" t="s">
        <v>5123</v>
      </c>
      <c r="B3997" s="6">
        <v>45137</v>
      </c>
      <c r="C3997" s="6" t="str">
        <f t="shared" si="186"/>
        <v>Jul</v>
      </c>
      <c r="D3997" t="s">
        <v>577</v>
      </c>
      <c r="E3997" t="s">
        <v>40</v>
      </c>
      <c r="F3997" t="s">
        <v>239</v>
      </c>
      <c r="G3997">
        <v>2</v>
      </c>
      <c r="H3997" s="7">
        <v>448.75</v>
      </c>
      <c r="I3997" t="s">
        <v>46</v>
      </c>
      <c r="J3997" t="s">
        <v>22</v>
      </c>
      <c r="K3997">
        <v>10</v>
      </c>
      <c r="L3997" s="7">
        <f t="shared" si="187"/>
        <v>897.5</v>
      </c>
      <c r="M3997" s="7"/>
      <c r="O3997">
        <f t="shared" si="188"/>
        <v>2</v>
      </c>
      <c r="Q3997" t="s">
        <v>47</v>
      </c>
    </row>
    <row r="3998" spans="1:17" x14ac:dyDescent="0.3">
      <c r="A3998" t="s">
        <v>5124</v>
      </c>
      <c r="B3998" s="6">
        <v>45205</v>
      </c>
      <c r="C3998" s="6" t="str">
        <f t="shared" si="186"/>
        <v>Oct</v>
      </c>
      <c r="D3998" t="s">
        <v>1910</v>
      </c>
      <c r="E3998" t="s">
        <v>50</v>
      </c>
      <c r="F3998" t="s">
        <v>359</v>
      </c>
      <c r="G3998">
        <v>4</v>
      </c>
      <c r="H3998" s="7">
        <v>319.93</v>
      </c>
      <c r="I3998" t="s">
        <v>46</v>
      </c>
      <c r="J3998" t="s">
        <v>72</v>
      </c>
      <c r="K3998">
        <v>0</v>
      </c>
      <c r="L3998" s="7">
        <f t="shared" si="187"/>
        <v>1279.72</v>
      </c>
      <c r="M3998" s="7"/>
      <c r="O3998">
        <f t="shared" si="188"/>
        <v>2</v>
      </c>
      <c r="Q3998" t="s">
        <v>47</v>
      </c>
    </row>
    <row r="3999" spans="1:17" x14ac:dyDescent="0.3">
      <c r="A3999" t="s">
        <v>5125</v>
      </c>
      <c r="B3999" s="6">
        <v>44962</v>
      </c>
      <c r="C3999" s="6" t="str">
        <f t="shared" si="186"/>
        <v>Feb</v>
      </c>
      <c r="D3999" t="s">
        <v>4139</v>
      </c>
      <c r="E3999" t="s">
        <v>36</v>
      </c>
      <c r="F3999" t="s">
        <v>251</v>
      </c>
      <c r="G3999">
        <v>2</v>
      </c>
      <c r="H3999" s="7">
        <v>366.69</v>
      </c>
      <c r="I3999" t="s">
        <v>64</v>
      </c>
      <c r="J3999" t="s">
        <v>42</v>
      </c>
      <c r="K3999">
        <v>20</v>
      </c>
      <c r="L3999" s="7">
        <f t="shared" si="187"/>
        <v>733.38</v>
      </c>
      <c r="M3999" s="7"/>
      <c r="O3999">
        <f t="shared" si="188"/>
        <v>2</v>
      </c>
      <c r="Q3999" t="s">
        <v>65</v>
      </c>
    </row>
    <row r="4000" spans="1:17" x14ac:dyDescent="0.3">
      <c r="A4000" t="s">
        <v>5126</v>
      </c>
      <c r="B4000" s="6">
        <v>45112</v>
      </c>
      <c r="C4000" s="6" t="str">
        <f t="shared" si="186"/>
        <v>Jul</v>
      </c>
      <c r="D4000" t="s">
        <v>2380</v>
      </c>
      <c r="E4000" t="s">
        <v>40</v>
      </c>
      <c r="F4000" t="s">
        <v>251</v>
      </c>
      <c r="G4000">
        <v>6</v>
      </c>
      <c r="H4000" s="7">
        <v>459.42</v>
      </c>
      <c r="I4000" t="s">
        <v>19</v>
      </c>
      <c r="J4000" t="s">
        <v>42</v>
      </c>
      <c r="K4000">
        <v>5</v>
      </c>
      <c r="L4000" s="7">
        <f t="shared" si="187"/>
        <v>2756.52</v>
      </c>
      <c r="M4000" s="7"/>
      <c r="O4000">
        <f t="shared" si="188"/>
        <v>3</v>
      </c>
      <c r="Q4000" t="s">
        <v>19</v>
      </c>
    </row>
    <row r="4001" spans="1:17" x14ac:dyDescent="0.3">
      <c r="A4001" t="s">
        <v>5127</v>
      </c>
      <c r="B4001" s="6">
        <v>44983</v>
      </c>
      <c r="C4001" s="6" t="str">
        <f t="shared" si="186"/>
        <v>Feb</v>
      </c>
      <c r="D4001" t="s">
        <v>318</v>
      </c>
      <c r="E4001" t="s">
        <v>50</v>
      </c>
      <c r="F4001" t="s">
        <v>1038</v>
      </c>
      <c r="G4001">
        <v>8</v>
      </c>
      <c r="H4001" s="7">
        <v>456.38</v>
      </c>
      <c r="I4001" t="s">
        <v>21</v>
      </c>
      <c r="J4001" t="s">
        <v>28</v>
      </c>
      <c r="K4001">
        <v>5</v>
      </c>
      <c r="L4001" s="7">
        <f t="shared" si="187"/>
        <v>3651.04</v>
      </c>
      <c r="M4001" s="7"/>
      <c r="O4001">
        <f t="shared" si="188"/>
        <v>5</v>
      </c>
      <c r="Q4001" t="s">
        <v>23</v>
      </c>
    </row>
    <row r="4002" spans="1:17" x14ac:dyDescent="0.3">
      <c r="A4002" t="s">
        <v>5128</v>
      </c>
      <c r="B4002" s="6">
        <v>45035</v>
      </c>
      <c r="C4002" s="6" t="str">
        <f t="shared" si="186"/>
        <v>Apr</v>
      </c>
      <c r="D4002" t="s">
        <v>118</v>
      </c>
      <c r="E4002" t="s">
        <v>62</v>
      </c>
      <c r="F4002" t="s">
        <v>511</v>
      </c>
      <c r="G4002">
        <v>4</v>
      </c>
      <c r="H4002" s="7">
        <v>370.78</v>
      </c>
      <c r="I4002" t="s">
        <v>103</v>
      </c>
      <c r="J4002" t="s">
        <v>19</v>
      </c>
      <c r="K4002">
        <v>15</v>
      </c>
      <c r="L4002" s="7">
        <f t="shared" si="187"/>
        <v>1483.12</v>
      </c>
      <c r="M4002" s="7"/>
      <c r="O4002">
        <f t="shared" si="188"/>
        <v>2</v>
      </c>
      <c r="Q4002" t="s">
        <v>104</v>
      </c>
    </row>
    <row r="4003" spans="1:17" x14ac:dyDescent="0.3">
      <c r="A4003" t="s">
        <v>5129</v>
      </c>
      <c r="B4003" s="6">
        <v>45102</v>
      </c>
      <c r="C4003" s="6" t="str">
        <f t="shared" si="186"/>
        <v>Jun</v>
      </c>
      <c r="D4003" t="s">
        <v>637</v>
      </c>
      <c r="E4003" t="s">
        <v>26</v>
      </c>
      <c r="F4003" t="s">
        <v>687</v>
      </c>
      <c r="G4003">
        <v>5</v>
      </c>
      <c r="H4003" s="7">
        <v>102.92</v>
      </c>
      <c r="I4003" t="s">
        <v>32</v>
      </c>
      <c r="J4003" t="s">
        <v>19</v>
      </c>
      <c r="K4003">
        <v>5</v>
      </c>
      <c r="L4003" s="7">
        <f t="shared" si="187"/>
        <v>514.6</v>
      </c>
      <c r="M4003" s="7"/>
      <c r="O4003">
        <f t="shared" si="188"/>
        <v>2</v>
      </c>
      <c r="Q4003" t="s">
        <v>33</v>
      </c>
    </row>
    <row r="4004" spans="1:17" x14ac:dyDescent="0.3">
      <c r="A4004" t="s">
        <v>5130</v>
      </c>
      <c r="B4004" s="6">
        <v>45114</v>
      </c>
      <c r="C4004" s="6" t="str">
        <f t="shared" si="186"/>
        <v>Jul</v>
      </c>
      <c r="D4004" t="s">
        <v>462</v>
      </c>
      <c r="E4004" t="s">
        <v>19</v>
      </c>
      <c r="F4004" t="s">
        <v>254</v>
      </c>
      <c r="G4004">
        <v>4</v>
      </c>
      <c r="H4004" s="7">
        <v>422.47</v>
      </c>
      <c r="I4004" t="s">
        <v>46</v>
      </c>
      <c r="J4004" t="s">
        <v>19</v>
      </c>
      <c r="K4004">
        <v>5</v>
      </c>
      <c r="L4004" s="7">
        <f t="shared" si="187"/>
        <v>1689.88</v>
      </c>
      <c r="M4004" s="7"/>
      <c r="O4004">
        <f t="shared" si="188"/>
        <v>2</v>
      </c>
      <c r="Q4004" t="s">
        <v>47</v>
      </c>
    </row>
    <row r="4005" spans="1:17" x14ac:dyDescent="0.3">
      <c r="A4005" t="s">
        <v>5131</v>
      </c>
      <c r="B4005" s="6">
        <v>45140</v>
      </c>
      <c r="C4005" s="6" t="str">
        <f t="shared" si="186"/>
        <v>Aug</v>
      </c>
      <c r="D4005" t="s">
        <v>2560</v>
      </c>
      <c r="E4005" t="s">
        <v>31</v>
      </c>
      <c r="F4005" t="s">
        <v>99</v>
      </c>
      <c r="G4005">
        <v>3</v>
      </c>
      <c r="H4005" s="7">
        <v>105.87</v>
      </c>
      <c r="I4005" t="s">
        <v>64</v>
      </c>
      <c r="J4005" t="s">
        <v>87</v>
      </c>
      <c r="K4005">
        <v>20</v>
      </c>
      <c r="L4005" s="7">
        <f t="shared" si="187"/>
        <v>317.61</v>
      </c>
      <c r="M4005" s="7"/>
      <c r="O4005">
        <f t="shared" si="188"/>
        <v>2</v>
      </c>
      <c r="Q4005" t="s">
        <v>65</v>
      </c>
    </row>
    <row r="4006" spans="1:17" x14ac:dyDescent="0.3">
      <c r="A4006" t="s">
        <v>5132</v>
      </c>
      <c r="B4006" s="6">
        <v>45086</v>
      </c>
      <c r="C4006" s="6" t="str">
        <f t="shared" si="186"/>
        <v>Jun</v>
      </c>
      <c r="D4006" t="s">
        <v>3567</v>
      </c>
      <c r="E4006" t="s">
        <v>19</v>
      </c>
      <c r="F4006" t="s">
        <v>151</v>
      </c>
      <c r="G4006">
        <v>5</v>
      </c>
      <c r="H4006" s="7">
        <v>372.73</v>
      </c>
      <c r="I4006" t="s">
        <v>19</v>
      </c>
      <c r="J4006" t="s">
        <v>22</v>
      </c>
      <c r="K4006">
        <v>20</v>
      </c>
      <c r="L4006" s="7">
        <f t="shared" si="187"/>
        <v>1863.65</v>
      </c>
      <c r="M4006" s="7"/>
      <c r="O4006">
        <f t="shared" si="188"/>
        <v>2</v>
      </c>
      <c r="Q4006" t="s">
        <v>19</v>
      </c>
    </row>
    <row r="4007" spans="1:17" x14ac:dyDescent="0.3">
      <c r="A4007" t="s">
        <v>5133</v>
      </c>
      <c r="B4007" s="6">
        <v>45280</v>
      </c>
      <c r="C4007" s="6" t="str">
        <f t="shared" si="186"/>
        <v>Dec</v>
      </c>
      <c r="D4007" t="s">
        <v>2652</v>
      </c>
      <c r="E4007" t="s">
        <v>19</v>
      </c>
      <c r="F4007" t="s">
        <v>434</v>
      </c>
      <c r="G4007">
        <v>9</v>
      </c>
      <c r="H4007" s="7">
        <v>344.37</v>
      </c>
      <c r="I4007" t="s">
        <v>21</v>
      </c>
      <c r="J4007" t="s">
        <v>19</v>
      </c>
      <c r="K4007">
        <v>0</v>
      </c>
      <c r="L4007" s="7">
        <f t="shared" si="187"/>
        <v>3099.33</v>
      </c>
      <c r="M4007" s="7"/>
      <c r="O4007">
        <f t="shared" si="188"/>
        <v>4</v>
      </c>
      <c r="Q4007" t="s">
        <v>23</v>
      </c>
    </row>
    <row r="4008" spans="1:17" x14ac:dyDescent="0.3">
      <c r="A4008" t="s">
        <v>5134</v>
      </c>
      <c r="B4008" s="6">
        <v>45000</v>
      </c>
      <c r="C4008" s="6" t="str">
        <f t="shared" si="186"/>
        <v>Mar</v>
      </c>
      <c r="D4008" t="s">
        <v>3693</v>
      </c>
      <c r="E4008" t="s">
        <v>31</v>
      </c>
      <c r="F4008" t="s">
        <v>586</v>
      </c>
      <c r="G4008">
        <v>8</v>
      </c>
      <c r="H4008" s="7">
        <v>380.65</v>
      </c>
      <c r="I4008" t="s">
        <v>21</v>
      </c>
      <c r="J4008" t="s">
        <v>87</v>
      </c>
      <c r="K4008">
        <v>10</v>
      </c>
      <c r="L4008" s="7">
        <f t="shared" si="187"/>
        <v>3045.2</v>
      </c>
      <c r="M4008" s="7"/>
      <c r="O4008">
        <f t="shared" si="188"/>
        <v>4</v>
      </c>
      <c r="Q4008" t="s">
        <v>23</v>
      </c>
    </row>
    <row r="4009" spans="1:17" x14ac:dyDescent="0.3">
      <c r="A4009" t="s">
        <v>5135</v>
      </c>
      <c r="B4009" s="6">
        <v>44949</v>
      </c>
      <c r="C4009" s="6" t="str">
        <f t="shared" si="186"/>
        <v>Jan</v>
      </c>
      <c r="D4009" t="s">
        <v>219</v>
      </c>
      <c r="E4009" t="s">
        <v>62</v>
      </c>
      <c r="F4009" t="s">
        <v>176</v>
      </c>
      <c r="G4009">
        <v>8</v>
      </c>
      <c r="H4009" s="7">
        <v>268.68</v>
      </c>
      <c r="I4009" t="s">
        <v>64</v>
      </c>
      <c r="J4009" t="s">
        <v>28</v>
      </c>
      <c r="K4009">
        <v>20</v>
      </c>
      <c r="L4009" s="7">
        <f t="shared" si="187"/>
        <v>2149.44</v>
      </c>
      <c r="M4009" s="7"/>
      <c r="O4009">
        <f t="shared" si="188"/>
        <v>2</v>
      </c>
      <c r="Q4009" t="s">
        <v>65</v>
      </c>
    </row>
    <row r="4010" spans="1:17" x14ac:dyDescent="0.3">
      <c r="A4010" t="s">
        <v>5136</v>
      </c>
      <c r="B4010" s="6">
        <v>44978</v>
      </c>
      <c r="C4010" s="6" t="str">
        <f t="shared" si="186"/>
        <v>Feb</v>
      </c>
      <c r="D4010" t="s">
        <v>1533</v>
      </c>
      <c r="E4010" t="s">
        <v>26</v>
      </c>
      <c r="F4010" t="s">
        <v>1182</v>
      </c>
      <c r="G4010">
        <v>8</v>
      </c>
      <c r="H4010" s="7">
        <v>321.17</v>
      </c>
      <c r="I4010" t="s">
        <v>46</v>
      </c>
      <c r="J4010" t="s">
        <v>19</v>
      </c>
      <c r="K4010">
        <v>0</v>
      </c>
      <c r="L4010" s="7">
        <f t="shared" si="187"/>
        <v>2569.36</v>
      </c>
      <c r="M4010" s="7"/>
      <c r="O4010">
        <f t="shared" si="188"/>
        <v>3</v>
      </c>
      <c r="Q4010" t="s">
        <v>47</v>
      </c>
    </row>
    <row r="4011" spans="1:17" x14ac:dyDescent="0.3">
      <c r="A4011" t="s">
        <v>5137</v>
      </c>
      <c r="B4011" s="6">
        <v>45160</v>
      </c>
      <c r="C4011" s="6" t="str">
        <f t="shared" si="186"/>
        <v>Aug</v>
      </c>
      <c r="D4011" t="s">
        <v>614</v>
      </c>
      <c r="E4011" t="s">
        <v>26</v>
      </c>
      <c r="F4011" t="s">
        <v>372</v>
      </c>
      <c r="G4011">
        <v>8</v>
      </c>
      <c r="H4011" s="7">
        <v>476.89</v>
      </c>
      <c r="I4011" t="s">
        <v>46</v>
      </c>
      <c r="J4011" t="s">
        <v>28</v>
      </c>
      <c r="K4011">
        <v>5</v>
      </c>
      <c r="L4011" s="7">
        <f t="shared" si="187"/>
        <v>3815.12</v>
      </c>
      <c r="M4011" s="7"/>
      <c r="O4011">
        <f t="shared" si="188"/>
        <v>5</v>
      </c>
      <c r="Q4011" t="s">
        <v>47</v>
      </c>
    </row>
    <row r="4012" spans="1:17" x14ac:dyDescent="0.3">
      <c r="A4012" t="s">
        <v>5138</v>
      </c>
      <c r="B4012" s="6">
        <v>45087</v>
      </c>
      <c r="C4012" s="6" t="str">
        <f t="shared" si="186"/>
        <v>Jun</v>
      </c>
      <c r="D4012" t="s">
        <v>2349</v>
      </c>
      <c r="E4012" t="s">
        <v>62</v>
      </c>
      <c r="F4012" t="s">
        <v>45</v>
      </c>
      <c r="G4012">
        <v>7</v>
      </c>
      <c r="H4012" s="7">
        <v>55.04</v>
      </c>
      <c r="I4012" t="s">
        <v>103</v>
      </c>
      <c r="J4012" t="s">
        <v>72</v>
      </c>
      <c r="K4012">
        <v>0</v>
      </c>
      <c r="L4012" s="7">
        <f t="shared" si="187"/>
        <v>385.28</v>
      </c>
      <c r="M4012" s="7"/>
      <c r="O4012">
        <f t="shared" si="188"/>
        <v>2</v>
      </c>
      <c r="Q4012" t="s">
        <v>104</v>
      </c>
    </row>
    <row r="4013" spans="1:17" x14ac:dyDescent="0.3">
      <c r="A4013" t="s">
        <v>5139</v>
      </c>
      <c r="B4013" s="6">
        <v>45207</v>
      </c>
      <c r="C4013" s="6" t="str">
        <f t="shared" si="186"/>
        <v>Oct</v>
      </c>
      <c r="D4013" t="s">
        <v>167</v>
      </c>
      <c r="E4013" t="s">
        <v>26</v>
      </c>
      <c r="F4013" t="s">
        <v>205</v>
      </c>
      <c r="G4013">
        <v>8</v>
      </c>
      <c r="H4013" s="7">
        <v>157.88</v>
      </c>
      <c r="I4013" t="s">
        <v>64</v>
      </c>
      <c r="J4013" t="s">
        <v>22</v>
      </c>
      <c r="K4013">
        <v>0</v>
      </c>
      <c r="L4013" s="7">
        <f t="shared" si="187"/>
        <v>1263.04</v>
      </c>
      <c r="M4013" s="7"/>
      <c r="O4013">
        <f t="shared" si="188"/>
        <v>2</v>
      </c>
      <c r="Q4013" t="s">
        <v>65</v>
      </c>
    </row>
    <row r="4014" spans="1:17" x14ac:dyDescent="0.3">
      <c r="A4014" t="s">
        <v>5140</v>
      </c>
      <c r="B4014" s="6">
        <v>44990</v>
      </c>
      <c r="C4014" s="6" t="str">
        <f t="shared" si="186"/>
        <v>Mar</v>
      </c>
      <c r="D4014" t="s">
        <v>2613</v>
      </c>
      <c r="E4014" t="s">
        <v>19</v>
      </c>
      <c r="F4014" t="s">
        <v>224</v>
      </c>
      <c r="G4014">
        <v>5</v>
      </c>
      <c r="H4014" s="7">
        <v>307.62</v>
      </c>
      <c r="I4014" t="s">
        <v>32</v>
      </c>
      <c r="J4014" t="s">
        <v>87</v>
      </c>
      <c r="K4014">
        <v>0</v>
      </c>
      <c r="L4014" s="7">
        <f t="shared" si="187"/>
        <v>1538.1</v>
      </c>
      <c r="M4014" s="7"/>
      <c r="O4014">
        <f t="shared" si="188"/>
        <v>2</v>
      </c>
      <c r="Q4014" t="s">
        <v>33</v>
      </c>
    </row>
    <row r="4015" spans="1:17" x14ac:dyDescent="0.3">
      <c r="A4015" t="s">
        <v>5141</v>
      </c>
      <c r="B4015" s="6">
        <v>45289</v>
      </c>
      <c r="C4015" s="6" t="str">
        <f t="shared" si="186"/>
        <v>Dec</v>
      </c>
      <c r="D4015" t="s">
        <v>162</v>
      </c>
      <c r="E4015" t="s">
        <v>40</v>
      </c>
      <c r="F4015" t="s">
        <v>403</v>
      </c>
      <c r="G4015">
        <v>8</v>
      </c>
      <c r="H4015" s="7">
        <v>482.21</v>
      </c>
      <c r="I4015" t="s">
        <v>19</v>
      </c>
      <c r="J4015" t="s">
        <v>87</v>
      </c>
      <c r="K4015">
        <v>10</v>
      </c>
      <c r="L4015" s="7">
        <f t="shared" si="187"/>
        <v>3857.68</v>
      </c>
      <c r="M4015" s="7"/>
      <c r="O4015">
        <f t="shared" si="188"/>
        <v>5</v>
      </c>
      <c r="Q4015" t="s">
        <v>19</v>
      </c>
    </row>
    <row r="4016" spans="1:17" x14ac:dyDescent="0.3">
      <c r="A4016" t="s">
        <v>5142</v>
      </c>
      <c r="B4016" s="6">
        <v>45180</v>
      </c>
      <c r="C4016" s="6" t="str">
        <f t="shared" si="186"/>
        <v>Sep</v>
      </c>
      <c r="D4016" t="s">
        <v>3344</v>
      </c>
      <c r="E4016" t="s">
        <v>62</v>
      </c>
      <c r="F4016" t="s">
        <v>480</v>
      </c>
      <c r="G4016">
        <v>7</v>
      </c>
      <c r="H4016" s="7">
        <v>52.31</v>
      </c>
      <c r="I4016" t="s">
        <v>46</v>
      </c>
      <c r="J4016" t="s">
        <v>42</v>
      </c>
      <c r="K4016">
        <v>0</v>
      </c>
      <c r="L4016" s="7">
        <f t="shared" si="187"/>
        <v>366.17</v>
      </c>
      <c r="M4016" s="7"/>
      <c r="O4016">
        <f t="shared" si="188"/>
        <v>2</v>
      </c>
      <c r="Q4016" t="s">
        <v>47</v>
      </c>
    </row>
    <row r="4017" spans="1:17" x14ac:dyDescent="0.3">
      <c r="A4017" t="s">
        <v>5143</v>
      </c>
      <c r="B4017" s="6">
        <v>44928</v>
      </c>
      <c r="C4017" s="6" t="str">
        <f t="shared" si="186"/>
        <v>Jan</v>
      </c>
      <c r="D4017" t="s">
        <v>1110</v>
      </c>
      <c r="E4017" t="s">
        <v>50</v>
      </c>
      <c r="F4017" t="s">
        <v>248</v>
      </c>
      <c r="G4017">
        <v>1</v>
      </c>
      <c r="H4017" s="7">
        <v>16.16</v>
      </c>
      <c r="I4017" t="s">
        <v>64</v>
      </c>
      <c r="J4017" t="s">
        <v>72</v>
      </c>
      <c r="K4017">
        <v>20</v>
      </c>
      <c r="L4017" s="7">
        <f t="shared" si="187"/>
        <v>16.16</v>
      </c>
      <c r="M4017" s="7"/>
      <c r="O4017">
        <f t="shared" si="188"/>
        <v>2</v>
      </c>
      <c r="Q4017" t="s">
        <v>65</v>
      </c>
    </row>
    <row r="4018" spans="1:17" x14ac:dyDescent="0.3">
      <c r="A4018" t="s">
        <v>5144</v>
      </c>
      <c r="B4018" s="6">
        <v>45112</v>
      </c>
      <c r="C4018" s="6" t="str">
        <f t="shared" si="186"/>
        <v>Jul</v>
      </c>
      <c r="D4018" t="s">
        <v>503</v>
      </c>
      <c r="E4018" t="s">
        <v>19</v>
      </c>
      <c r="F4018" t="s">
        <v>1251</v>
      </c>
      <c r="G4018">
        <v>4</v>
      </c>
      <c r="H4018" s="7">
        <v>32.6</v>
      </c>
      <c r="I4018" t="s">
        <v>103</v>
      </c>
      <c r="J4018" t="s">
        <v>42</v>
      </c>
      <c r="K4018">
        <v>10</v>
      </c>
      <c r="L4018" s="7">
        <f t="shared" si="187"/>
        <v>130.4</v>
      </c>
      <c r="M4018" s="7"/>
      <c r="O4018">
        <f t="shared" si="188"/>
        <v>2</v>
      </c>
      <c r="Q4018" t="s">
        <v>104</v>
      </c>
    </row>
    <row r="4019" spans="1:17" x14ac:dyDescent="0.3">
      <c r="A4019" t="s">
        <v>5145</v>
      </c>
      <c r="B4019" s="6">
        <v>44945</v>
      </c>
      <c r="C4019" s="6" t="str">
        <f t="shared" si="186"/>
        <v>Jan</v>
      </c>
      <c r="D4019" t="s">
        <v>164</v>
      </c>
      <c r="E4019" t="s">
        <v>62</v>
      </c>
      <c r="F4019" t="s">
        <v>325</v>
      </c>
      <c r="G4019">
        <v>4</v>
      </c>
      <c r="H4019" s="7">
        <v>30.94</v>
      </c>
      <c r="I4019" t="s">
        <v>46</v>
      </c>
      <c r="J4019" t="s">
        <v>28</v>
      </c>
      <c r="K4019">
        <v>10</v>
      </c>
      <c r="L4019" s="7">
        <f t="shared" si="187"/>
        <v>123.76</v>
      </c>
      <c r="M4019" s="7"/>
      <c r="O4019">
        <f t="shared" si="188"/>
        <v>2</v>
      </c>
      <c r="Q4019" t="s">
        <v>47</v>
      </c>
    </row>
    <row r="4020" spans="1:17" x14ac:dyDescent="0.3">
      <c r="A4020" t="s">
        <v>5146</v>
      </c>
      <c r="B4020" s="6">
        <v>44999</v>
      </c>
      <c r="C4020" s="6" t="str">
        <f t="shared" si="186"/>
        <v>Mar</v>
      </c>
      <c r="D4020" t="s">
        <v>1740</v>
      </c>
      <c r="E4020" t="s">
        <v>19</v>
      </c>
      <c r="F4020" t="s">
        <v>1038</v>
      </c>
      <c r="G4020">
        <v>5</v>
      </c>
      <c r="H4020" s="7">
        <v>454.37</v>
      </c>
      <c r="I4020" t="s">
        <v>21</v>
      </c>
      <c r="J4020" t="s">
        <v>19</v>
      </c>
      <c r="K4020">
        <v>0</v>
      </c>
      <c r="L4020" s="7">
        <f t="shared" si="187"/>
        <v>2271.85</v>
      </c>
      <c r="M4020" s="7"/>
      <c r="O4020">
        <f t="shared" si="188"/>
        <v>2</v>
      </c>
      <c r="Q4020" t="s">
        <v>23</v>
      </c>
    </row>
    <row r="4021" spans="1:17" x14ac:dyDescent="0.3">
      <c r="A4021" t="s">
        <v>5147</v>
      </c>
      <c r="B4021" s="6">
        <v>45161</v>
      </c>
      <c r="C4021" s="6" t="str">
        <f t="shared" si="186"/>
        <v>Aug</v>
      </c>
      <c r="D4021" t="s">
        <v>112</v>
      </c>
      <c r="E4021" t="s">
        <v>40</v>
      </c>
      <c r="F4021" t="s">
        <v>511</v>
      </c>
      <c r="G4021">
        <v>6</v>
      </c>
      <c r="H4021" s="7">
        <v>362.02</v>
      </c>
      <c r="I4021" t="s">
        <v>19</v>
      </c>
      <c r="J4021" t="s">
        <v>72</v>
      </c>
      <c r="K4021">
        <v>15</v>
      </c>
      <c r="L4021" s="7">
        <f t="shared" si="187"/>
        <v>2172.12</v>
      </c>
      <c r="M4021" s="7"/>
      <c r="O4021">
        <f t="shared" si="188"/>
        <v>2</v>
      </c>
      <c r="Q4021" t="s">
        <v>19</v>
      </c>
    </row>
    <row r="4022" spans="1:17" x14ac:dyDescent="0.3">
      <c r="A4022" t="s">
        <v>5148</v>
      </c>
      <c r="B4022" s="6">
        <v>45039</v>
      </c>
      <c r="C4022" s="6" t="str">
        <f t="shared" si="186"/>
        <v>Apr</v>
      </c>
      <c r="D4022" t="s">
        <v>1154</v>
      </c>
      <c r="E4022" t="s">
        <v>50</v>
      </c>
      <c r="F4022" t="s">
        <v>298</v>
      </c>
      <c r="G4022">
        <v>4</v>
      </c>
      <c r="H4022" s="7">
        <v>340.17</v>
      </c>
      <c r="I4022" t="s">
        <v>32</v>
      </c>
      <c r="J4022" t="s">
        <v>42</v>
      </c>
      <c r="K4022">
        <v>5</v>
      </c>
      <c r="L4022" s="7">
        <f t="shared" si="187"/>
        <v>1360.68</v>
      </c>
      <c r="M4022" s="7"/>
      <c r="O4022">
        <f t="shared" si="188"/>
        <v>2</v>
      </c>
      <c r="Q4022" t="s">
        <v>33</v>
      </c>
    </row>
    <row r="4023" spans="1:17" x14ac:dyDescent="0.3">
      <c r="A4023" t="s">
        <v>5149</v>
      </c>
      <c r="B4023" s="6">
        <v>45170</v>
      </c>
      <c r="C4023" s="6" t="str">
        <f t="shared" si="186"/>
        <v>Sep</v>
      </c>
      <c r="D4023" t="s">
        <v>5150</v>
      </c>
      <c r="E4023" t="s">
        <v>36</v>
      </c>
      <c r="F4023" t="s">
        <v>900</v>
      </c>
      <c r="G4023">
        <v>2</v>
      </c>
      <c r="H4023" s="7">
        <v>263.67</v>
      </c>
      <c r="I4023" t="s">
        <v>32</v>
      </c>
      <c r="J4023" t="s">
        <v>72</v>
      </c>
      <c r="K4023">
        <v>5</v>
      </c>
      <c r="L4023" s="7">
        <f t="shared" si="187"/>
        <v>527.34</v>
      </c>
      <c r="M4023" s="7"/>
      <c r="O4023">
        <f t="shared" si="188"/>
        <v>2</v>
      </c>
      <c r="Q4023" t="s">
        <v>33</v>
      </c>
    </row>
    <row r="4024" spans="1:17" x14ac:dyDescent="0.3">
      <c r="A4024" t="s">
        <v>5151</v>
      </c>
      <c r="B4024" s="6">
        <v>45117</v>
      </c>
      <c r="C4024" s="6" t="str">
        <f t="shared" si="186"/>
        <v>Jul</v>
      </c>
      <c r="D4024" t="s">
        <v>1935</v>
      </c>
      <c r="E4024" t="s">
        <v>19</v>
      </c>
      <c r="F4024" t="s">
        <v>154</v>
      </c>
      <c r="G4024">
        <v>6</v>
      </c>
      <c r="H4024" s="7">
        <v>392.07</v>
      </c>
      <c r="I4024" t="s">
        <v>32</v>
      </c>
      <c r="J4024" t="s">
        <v>72</v>
      </c>
      <c r="K4024">
        <v>10</v>
      </c>
      <c r="L4024" s="7">
        <f t="shared" si="187"/>
        <v>2352.42</v>
      </c>
      <c r="M4024" s="7"/>
      <c r="O4024">
        <f t="shared" si="188"/>
        <v>2</v>
      </c>
      <c r="Q4024" t="s">
        <v>33</v>
      </c>
    </row>
    <row r="4025" spans="1:17" x14ac:dyDescent="0.3">
      <c r="A4025" t="s">
        <v>5152</v>
      </c>
      <c r="B4025" s="6">
        <v>45021</v>
      </c>
      <c r="C4025" s="6" t="str">
        <f t="shared" si="186"/>
        <v>Apr</v>
      </c>
      <c r="D4025" t="s">
        <v>2454</v>
      </c>
      <c r="E4025" t="s">
        <v>19</v>
      </c>
      <c r="F4025" t="s">
        <v>932</v>
      </c>
      <c r="G4025">
        <v>8</v>
      </c>
      <c r="H4025" s="7">
        <v>82.05</v>
      </c>
      <c r="I4025" t="s">
        <v>64</v>
      </c>
      <c r="J4025" t="s">
        <v>19</v>
      </c>
      <c r="K4025">
        <v>5</v>
      </c>
      <c r="L4025" s="7">
        <f t="shared" si="187"/>
        <v>656.4</v>
      </c>
      <c r="M4025" s="7"/>
      <c r="O4025">
        <f t="shared" si="188"/>
        <v>2</v>
      </c>
      <c r="Q4025" t="s">
        <v>65</v>
      </c>
    </row>
    <row r="4026" spans="1:17" x14ac:dyDescent="0.3">
      <c r="A4026" t="s">
        <v>5153</v>
      </c>
      <c r="B4026" s="6">
        <v>44969</v>
      </c>
      <c r="C4026" s="6" t="str">
        <f t="shared" si="186"/>
        <v>Feb</v>
      </c>
      <c r="D4026" t="s">
        <v>5154</v>
      </c>
      <c r="E4026" t="s">
        <v>62</v>
      </c>
      <c r="F4026" t="s">
        <v>154</v>
      </c>
      <c r="G4026">
        <v>8</v>
      </c>
      <c r="H4026" s="7">
        <v>199.01</v>
      </c>
      <c r="I4026" t="s">
        <v>19</v>
      </c>
      <c r="J4026" t="s">
        <v>28</v>
      </c>
      <c r="K4026">
        <v>5</v>
      </c>
      <c r="L4026" s="7">
        <f t="shared" si="187"/>
        <v>1592.08</v>
      </c>
      <c r="M4026" s="7"/>
      <c r="O4026">
        <f t="shared" si="188"/>
        <v>2</v>
      </c>
      <c r="Q4026" t="s">
        <v>19</v>
      </c>
    </row>
    <row r="4027" spans="1:17" x14ac:dyDescent="0.3">
      <c r="A4027" t="s">
        <v>5155</v>
      </c>
      <c r="B4027" s="6">
        <v>45091</v>
      </c>
      <c r="C4027" s="6" t="str">
        <f t="shared" si="186"/>
        <v>Jun</v>
      </c>
      <c r="D4027" t="s">
        <v>2454</v>
      </c>
      <c r="E4027" t="s">
        <v>19</v>
      </c>
      <c r="F4027" t="s">
        <v>1851</v>
      </c>
      <c r="G4027">
        <v>7</v>
      </c>
      <c r="H4027" s="7">
        <v>252.16</v>
      </c>
      <c r="I4027" t="s">
        <v>64</v>
      </c>
      <c r="J4027" t="s">
        <v>42</v>
      </c>
      <c r="K4027">
        <v>10</v>
      </c>
      <c r="L4027" s="7">
        <f t="shared" si="187"/>
        <v>1765.12</v>
      </c>
      <c r="M4027" s="7"/>
      <c r="O4027">
        <f t="shared" si="188"/>
        <v>2</v>
      </c>
      <c r="Q4027" t="s">
        <v>65</v>
      </c>
    </row>
    <row r="4028" spans="1:17" x14ac:dyDescent="0.3">
      <c r="A4028" t="s">
        <v>5156</v>
      </c>
      <c r="B4028" s="6">
        <v>45291</v>
      </c>
      <c r="C4028" s="6" t="str">
        <f t="shared" si="186"/>
        <v>Dec</v>
      </c>
      <c r="D4028" t="s">
        <v>675</v>
      </c>
      <c r="E4028" t="s">
        <v>19</v>
      </c>
      <c r="F4028" t="s">
        <v>366</v>
      </c>
      <c r="G4028">
        <v>6</v>
      </c>
      <c r="H4028" s="7">
        <v>59.65</v>
      </c>
      <c r="I4028" t="s">
        <v>32</v>
      </c>
      <c r="J4028" t="s">
        <v>22</v>
      </c>
      <c r="K4028">
        <v>5</v>
      </c>
      <c r="L4028" s="7">
        <f t="shared" si="187"/>
        <v>357.9</v>
      </c>
      <c r="M4028" s="7"/>
      <c r="O4028">
        <f t="shared" si="188"/>
        <v>2</v>
      </c>
      <c r="Q4028" t="s">
        <v>33</v>
      </c>
    </row>
    <row r="4029" spans="1:17" x14ac:dyDescent="0.3">
      <c r="A4029" t="s">
        <v>5157</v>
      </c>
      <c r="B4029" s="6">
        <v>44968</v>
      </c>
      <c r="C4029" s="6" t="str">
        <f t="shared" si="186"/>
        <v>Feb</v>
      </c>
      <c r="D4029" t="s">
        <v>1383</v>
      </c>
      <c r="E4029" t="s">
        <v>36</v>
      </c>
      <c r="F4029" t="s">
        <v>713</v>
      </c>
      <c r="G4029">
        <v>2</v>
      </c>
      <c r="H4029" s="7">
        <v>212.66</v>
      </c>
      <c r="I4029" t="s">
        <v>46</v>
      </c>
      <c r="J4029" t="s">
        <v>19</v>
      </c>
      <c r="K4029">
        <v>0</v>
      </c>
      <c r="L4029" s="7">
        <f t="shared" si="187"/>
        <v>425.32</v>
      </c>
      <c r="M4029" s="7"/>
      <c r="O4029">
        <f t="shared" si="188"/>
        <v>2</v>
      </c>
      <c r="Q4029" t="s">
        <v>47</v>
      </c>
    </row>
    <row r="4030" spans="1:17" x14ac:dyDescent="0.3">
      <c r="A4030" t="s">
        <v>5158</v>
      </c>
      <c r="B4030" s="6">
        <v>45141</v>
      </c>
      <c r="C4030" s="6" t="str">
        <f t="shared" si="186"/>
        <v>Aug</v>
      </c>
      <c r="D4030" t="s">
        <v>629</v>
      </c>
      <c r="E4030" t="s">
        <v>31</v>
      </c>
      <c r="F4030" t="s">
        <v>517</v>
      </c>
      <c r="G4030">
        <v>7</v>
      </c>
      <c r="H4030" s="7">
        <v>161.66999999999999</v>
      </c>
      <c r="I4030" t="s">
        <v>64</v>
      </c>
      <c r="J4030" t="s">
        <v>87</v>
      </c>
      <c r="K4030">
        <v>10</v>
      </c>
      <c r="L4030" s="7">
        <f t="shared" si="187"/>
        <v>1131.6899999999998</v>
      </c>
      <c r="M4030" s="7"/>
      <c r="O4030">
        <f t="shared" si="188"/>
        <v>2</v>
      </c>
      <c r="Q4030" t="s">
        <v>65</v>
      </c>
    </row>
    <row r="4031" spans="1:17" x14ac:dyDescent="0.3">
      <c r="A4031" t="s">
        <v>5159</v>
      </c>
      <c r="B4031" s="6">
        <v>45053</v>
      </c>
      <c r="C4031" s="6" t="str">
        <f t="shared" si="186"/>
        <v>May</v>
      </c>
      <c r="D4031" t="s">
        <v>1339</v>
      </c>
      <c r="E4031" t="s">
        <v>31</v>
      </c>
      <c r="F4031" t="s">
        <v>119</v>
      </c>
      <c r="G4031">
        <v>5</v>
      </c>
      <c r="H4031" s="7">
        <v>22.61</v>
      </c>
      <c r="I4031" t="s">
        <v>19</v>
      </c>
      <c r="J4031" t="s">
        <v>72</v>
      </c>
      <c r="K4031">
        <v>10</v>
      </c>
      <c r="L4031" s="7">
        <f t="shared" si="187"/>
        <v>113.05</v>
      </c>
      <c r="M4031" s="7"/>
      <c r="O4031">
        <f t="shared" si="188"/>
        <v>2</v>
      </c>
      <c r="Q4031" t="s">
        <v>19</v>
      </c>
    </row>
    <row r="4032" spans="1:17" x14ac:dyDescent="0.3">
      <c r="A4032" t="s">
        <v>5160</v>
      </c>
      <c r="B4032" s="6">
        <v>45248</v>
      </c>
      <c r="C4032" s="6" t="str">
        <f t="shared" si="186"/>
        <v>Nov</v>
      </c>
      <c r="D4032" t="s">
        <v>2076</v>
      </c>
      <c r="E4032" t="s">
        <v>50</v>
      </c>
      <c r="F4032" t="s">
        <v>807</v>
      </c>
      <c r="G4032">
        <v>6</v>
      </c>
      <c r="H4032" s="7">
        <v>72.680000000000007</v>
      </c>
      <c r="I4032" t="s">
        <v>64</v>
      </c>
      <c r="J4032" t="s">
        <v>28</v>
      </c>
      <c r="K4032">
        <v>15</v>
      </c>
      <c r="L4032" s="7">
        <f t="shared" si="187"/>
        <v>436.08000000000004</v>
      </c>
      <c r="M4032" s="7"/>
      <c r="O4032">
        <f t="shared" si="188"/>
        <v>2</v>
      </c>
      <c r="Q4032" t="s">
        <v>65</v>
      </c>
    </row>
    <row r="4033" spans="1:17" x14ac:dyDescent="0.3">
      <c r="A4033" t="s">
        <v>5161</v>
      </c>
      <c r="B4033" s="6">
        <v>44952</v>
      </c>
      <c r="C4033" s="6" t="str">
        <f t="shared" si="186"/>
        <v>Jan</v>
      </c>
      <c r="D4033" t="s">
        <v>1008</v>
      </c>
      <c r="E4033" t="s">
        <v>26</v>
      </c>
      <c r="F4033" t="s">
        <v>142</v>
      </c>
      <c r="G4033">
        <v>8</v>
      </c>
      <c r="H4033" s="7">
        <v>383.2</v>
      </c>
      <c r="I4033" t="s">
        <v>32</v>
      </c>
      <c r="J4033" t="s">
        <v>19</v>
      </c>
      <c r="K4033">
        <v>10</v>
      </c>
      <c r="L4033" s="7">
        <f t="shared" si="187"/>
        <v>3065.6</v>
      </c>
      <c r="M4033" s="7"/>
      <c r="O4033">
        <f t="shared" si="188"/>
        <v>4</v>
      </c>
      <c r="Q4033" t="s">
        <v>33</v>
      </c>
    </row>
    <row r="4034" spans="1:17" x14ac:dyDescent="0.3">
      <c r="A4034" t="s">
        <v>5162</v>
      </c>
      <c r="B4034" s="6">
        <v>45017</v>
      </c>
      <c r="C4034" s="6" t="str">
        <f t="shared" si="186"/>
        <v>Apr</v>
      </c>
      <c r="D4034" t="s">
        <v>476</v>
      </c>
      <c r="E4034" t="s">
        <v>36</v>
      </c>
      <c r="F4034" t="s">
        <v>619</v>
      </c>
      <c r="G4034">
        <v>8</v>
      </c>
      <c r="H4034" s="7">
        <v>13.93</v>
      </c>
      <c r="I4034" t="s">
        <v>103</v>
      </c>
      <c r="J4034" t="s">
        <v>42</v>
      </c>
      <c r="K4034">
        <v>20</v>
      </c>
      <c r="L4034" s="7">
        <f t="shared" si="187"/>
        <v>111.44</v>
      </c>
      <c r="M4034" s="7"/>
      <c r="O4034">
        <f t="shared" si="188"/>
        <v>2</v>
      </c>
      <c r="Q4034" t="s">
        <v>104</v>
      </c>
    </row>
    <row r="4035" spans="1:17" x14ac:dyDescent="0.3">
      <c r="A4035" t="s">
        <v>5163</v>
      </c>
      <c r="B4035" s="6">
        <v>44964</v>
      </c>
      <c r="C4035" s="6" t="str">
        <f t="shared" ref="C4035:C4098" si="189">TEXT(B4035,"MMM")</f>
        <v>Feb</v>
      </c>
      <c r="D4035" t="s">
        <v>1199</v>
      </c>
      <c r="E4035" t="s">
        <v>40</v>
      </c>
      <c r="F4035" t="s">
        <v>347</v>
      </c>
      <c r="G4035">
        <v>3</v>
      </c>
      <c r="H4035" s="7">
        <v>467.46</v>
      </c>
      <c r="I4035" t="s">
        <v>64</v>
      </c>
      <c r="J4035" t="s">
        <v>72</v>
      </c>
      <c r="K4035">
        <v>15</v>
      </c>
      <c r="L4035" s="7">
        <f t="shared" ref="L4035:L4098" si="190">G4035*H4035</f>
        <v>1402.3799999999999</v>
      </c>
      <c r="M4035" s="7"/>
      <c r="O4035">
        <f t="shared" si="188"/>
        <v>2</v>
      </c>
      <c r="Q4035" t="s">
        <v>65</v>
      </c>
    </row>
    <row r="4036" spans="1:17" x14ac:dyDescent="0.3">
      <c r="A4036" t="s">
        <v>5164</v>
      </c>
      <c r="B4036" s="6">
        <v>45248</v>
      </c>
      <c r="C4036" s="6" t="str">
        <f t="shared" si="189"/>
        <v>Nov</v>
      </c>
      <c r="D4036" t="s">
        <v>312</v>
      </c>
      <c r="E4036" t="s">
        <v>40</v>
      </c>
      <c r="F4036" t="s">
        <v>145</v>
      </c>
      <c r="G4036">
        <v>7</v>
      </c>
      <c r="H4036" s="7">
        <v>47.78</v>
      </c>
      <c r="I4036" t="s">
        <v>19</v>
      </c>
      <c r="J4036" t="s">
        <v>28</v>
      </c>
      <c r="K4036">
        <v>20</v>
      </c>
      <c r="L4036" s="7">
        <f t="shared" si="190"/>
        <v>334.46000000000004</v>
      </c>
      <c r="M4036" s="7"/>
      <c r="O4036">
        <f t="shared" ref="O4036:O4099" si="191">IF(L4036&gt;3500,5,IF(L4036&gt;3000,4,IF(L4036&gt;2500,3,IF(L4036&gt;2000,2,IF(L4036&gt;1000,2,2)))))</f>
        <v>2</v>
      </c>
      <c r="Q4036" t="s">
        <v>19</v>
      </c>
    </row>
    <row r="4037" spans="1:17" x14ac:dyDescent="0.3">
      <c r="A4037" t="s">
        <v>5165</v>
      </c>
      <c r="B4037" s="6">
        <v>45287</v>
      </c>
      <c r="C4037" s="6" t="str">
        <f t="shared" si="189"/>
        <v>Dec</v>
      </c>
      <c r="D4037" t="s">
        <v>2085</v>
      </c>
      <c r="E4037" t="s">
        <v>19</v>
      </c>
      <c r="F4037" t="s">
        <v>988</v>
      </c>
      <c r="G4037">
        <v>1</v>
      </c>
      <c r="H4037" s="7">
        <v>400.62</v>
      </c>
      <c r="I4037" t="s">
        <v>103</v>
      </c>
      <c r="J4037" t="s">
        <v>19</v>
      </c>
      <c r="K4037">
        <v>10</v>
      </c>
      <c r="L4037" s="7">
        <f t="shared" si="190"/>
        <v>400.62</v>
      </c>
      <c r="M4037" s="7"/>
      <c r="O4037">
        <f t="shared" si="191"/>
        <v>2</v>
      </c>
      <c r="Q4037" t="s">
        <v>104</v>
      </c>
    </row>
    <row r="4038" spans="1:17" x14ac:dyDescent="0.3">
      <c r="A4038" t="s">
        <v>5166</v>
      </c>
      <c r="B4038" s="6">
        <v>44984</v>
      </c>
      <c r="C4038" s="6" t="str">
        <f t="shared" si="189"/>
        <v>Feb</v>
      </c>
      <c r="D4038" t="s">
        <v>1513</v>
      </c>
      <c r="E4038" t="s">
        <v>50</v>
      </c>
      <c r="F4038" t="s">
        <v>182</v>
      </c>
      <c r="G4038">
        <v>1</v>
      </c>
      <c r="H4038" s="7">
        <v>449.82</v>
      </c>
      <c r="I4038" t="s">
        <v>32</v>
      </c>
      <c r="J4038" t="s">
        <v>28</v>
      </c>
      <c r="K4038">
        <v>20</v>
      </c>
      <c r="L4038" s="7">
        <f t="shared" si="190"/>
        <v>449.82</v>
      </c>
      <c r="M4038" s="7"/>
      <c r="O4038">
        <f t="shared" si="191"/>
        <v>2</v>
      </c>
      <c r="Q4038" t="s">
        <v>33</v>
      </c>
    </row>
    <row r="4039" spans="1:17" x14ac:dyDescent="0.3">
      <c r="A4039" t="s">
        <v>5167</v>
      </c>
      <c r="B4039" s="6">
        <v>45155</v>
      </c>
      <c r="C4039" s="6" t="str">
        <f t="shared" si="189"/>
        <v>Aug</v>
      </c>
      <c r="D4039" t="s">
        <v>1977</v>
      </c>
      <c r="E4039" t="s">
        <v>26</v>
      </c>
      <c r="F4039" t="s">
        <v>308</v>
      </c>
      <c r="G4039">
        <v>7</v>
      </c>
      <c r="H4039" s="7">
        <v>470.86</v>
      </c>
      <c r="I4039" t="s">
        <v>103</v>
      </c>
      <c r="J4039" t="s">
        <v>22</v>
      </c>
      <c r="K4039">
        <v>15</v>
      </c>
      <c r="L4039" s="7">
        <f t="shared" si="190"/>
        <v>3296.02</v>
      </c>
      <c r="M4039" s="7"/>
      <c r="O4039">
        <f t="shared" si="191"/>
        <v>4</v>
      </c>
      <c r="Q4039" t="s">
        <v>104</v>
      </c>
    </row>
    <row r="4040" spans="1:17" x14ac:dyDescent="0.3">
      <c r="A4040" t="s">
        <v>5168</v>
      </c>
      <c r="B4040" s="6">
        <v>45079</v>
      </c>
      <c r="C4040" s="6" t="str">
        <f t="shared" si="189"/>
        <v>Jun</v>
      </c>
      <c r="D4040" t="s">
        <v>871</v>
      </c>
      <c r="E4040" t="s">
        <v>36</v>
      </c>
      <c r="F4040" t="s">
        <v>684</v>
      </c>
      <c r="G4040">
        <v>9</v>
      </c>
      <c r="H4040" s="7">
        <v>434.4</v>
      </c>
      <c r="I4040" t="s">
        <v>103</v>
      </c>
      <c r="J4040" t="s">
        <v>87</v>
      </c>
      <c r="K4040">
        <v>0</v>
      </c>
      <c r="L4040" s="7">
        <f t="shared" si="190"/>
        <v>3909.6</v>
      </c>
      <c r="M4040" s="7"/>
      <c r="O4040">
        <f t="shared" si="191"/>
        <v>5</v>
      </c>
      <c r="Q4040" t="s">
        <v>104</v>
      </c>
    </row>
    <row r="4041" spans="1:17" x14ac:dyDescent="0.3">
      <c r="A4041" t="s">
        <v>5169</v>
      </c>
      <c r="B4041" s="6">
        <v>45028</v>
      </c>
      <c r="C4041" s="6" t="str">
        <f t="shared" si="189"/>
        <v>Apr</v>
      </c>
      <c r="D4041" t="s">
        <v>118</v>
      </c>
      <c r="E4041" t="s">
        <v>40</v>
      </c>
      <c r="F4041" t="s">
        <v>1023</v>
      </c>
      <c r="G4041">
        <v>7</v>
      </c>
      <c r="H4041" s="7">
        <v>147.34</v>
      </c>
      <c r="I4041" t="s">
        <v>21</v>
      </c>
      <c r="J4041" t="s">
        <v>28</v>
      </c>
      <c r="K4041">
        <v>10</v>
      </c>
      <c r="L4041" s="7">
        <f t="shared" si="190"/>
        <v>1031.3800000000001</v>
      </c>
      <c r="M4041" s="7"/>
      <c r="O4041">
        <f t="shared" si="191"/>
        <v>2</v>
      </c>
      <c r="Q4041" t="s">
        <v>23</v>
      </c>
    </row>
    <row r="4042" spans="1:17" x14ac:dyDescent="0.3">
      <c r="A4042" t="s">
        <v>5170</v>
      </c>
      <c r="B4042" s="6">
        <v>45132</v>
      </c>
      <c r="C4042" s="6" t="str">
        <f t="shared" si="189"/>
        <v>Jul</v>
      </c>
      <c r="D4042" t="s">
        <v>1006</v>
      </c>
      <c r="E4042" t="s">
        <v>31</v>
      </c>
      <c r="F4042" t="s">
        <v>1251</v>
      </c>
      <c r="G4042">
        <v>5</v>
      </c>
      <c r="H4042" s="7">
        <v>169.88</v>
      </c>
      <c r="I4042" t="s">
        <v>21</v>
      </c>
      <c r="J4042" t="s">
        <v>22</v>
      </c>
      <c r="K4042">
        <v>10</v>
      </c>
      <c r="L4042" s="7">
        <f t="shared" si="190"/>
        <v>849.4</v>
      </c>
      <c r="M4042" s="7"/>
      <c r="O4042">
        <f t="shared" si="191"/>
        <v>2</v>
      </c>
      <c r="Q4042" t="s">
        <v>23</v>
      </c>
    </row>
    <row r="4043" spans="1:17" x14ac:dyDescent="0.3">
      <c r="A4043" t="s">
        <v>5171</v>
      </c>
      <c r="B4043" s="6">
        <v>45112</v>
      </c>
      <c r="C4043" s="6" t="str">
        <f t="shared" si="189"/>
        <v>Jul</v>
      </c>
      <c r="D4043" t="s">
        <v>3652</v>
      </c>
      <c r="E4043" t="s">
        <v>36</v>
      </c>
      <c r="F4043" t="s">
        <v>208</v>
      </c>
      <c r="G4043">
        <v>8</v>
      </c>
      <c r="H4043" s="7">
        <v>216.14</v>
      </c>
      <c r="I4043" t="s">
        <v>32</v>
      </c>
      <c r="J4043" t="s">
        <v>87</v>
      </c>
      <c r="K4043">
        <v>5</v>
      </c>
      <c r="L4043" s="7">
        <f t="shared" si="190"/>
        <v>1729.12</v>
      </c>
      <c r="M4043" s="7"/>
      <c r="O4043">
        <f t="shared" si="191"/>
        <v>2</v>
      </c>
      <c r="Q4043" t="s">
        <v>33</v>
      </c>
    </row>
    <row r="4044" spans="1:17" x14ac:dyDescent="0.3">
      <c r="A4044" t="s">
        <v>5172</v>
      </c>
      <c r="B4044" s="6">
        <v>45063</v>
      </c>
      <c r="C4044" s="6" t="str">
        <f t="shared" si="189"/>
        <v>May</v>
      </c>
      <c r="D4044" t="s">
        <v>985</v>
      </c>
      <c r="E4044" t="s">
        <v>31</v>
      </c>
      <c r="F4044" t="s">
        <v>538</v>
      </c>
      <c r="G4044">
        <v>2</v>
      </c>
      <c r="H4044" s="7">
        <v>73.95</v>
      </c>
      <c r="I4044" t="s">
        <v>64</v>
      </c>
      <c r="J4044" t="s">
        <v>72</v>
      </c>
      <c r="K4044">
        <v>10</v>
      </c>
      <c r="L4044" s="7">
        <f t="shared" si="190"/>
        <v>147.9</v>
      </c>
      <c r="M4044" s="7"/>
      <c r="O4044">
        <f t="shared" si="191"/>
        <v>2</v>
      </c>
      <c r="Q4044" t="s">
        <v>65</v>
      </c>
    </row>
    <row r="4045" spans="1:17" x14ac:dyDescent="0.3">
      <c r="A4045" t="s">
        <v>5173</v>
      </c>
      <c r="B4045" s="6">
        <v>45026</v>
      </c>
      <c r="C4045" s="6" t="str">
        <f t="shared" si="189"/>
        <v>Apr</v>
      </c>
      <c r="D4045" t="s">
        <v>885</v>
      </c>
      <c r="E4045" t="s">
        <v>50</v>
      </c>
      <c r="F4045" t="s">
        <v>154</v>
      </c>
      <c r="G4045">
        <v>9</v>
      </c>
      <c r="H4045" s="7">
        <v>16.02</v>
      </c>
      <c r="I4045" t="s">
        <v>32</v>
      </c>
      <c r="J4045" t="s">
        <v>28</v>
      </c>
      <c r="K4045">
        <v>10</v>
      </c>
      <c r="L4045" s="7">
        <f t="shared" si="190"/>
        <v>144.18</v>
      </c>
      <c r="M4045" s="7"/>
      <c r="O4045">
        <f t="shared" si="191"/>
        <v>2</v>
      </c>
      <c r="Q4045" t="s">
        <v>33</v>
      </c>
    </row>
    <row r="4046" spans="1:17" x14ac:dyDescent="0.3">
      <c r="A4046" t="s">
        <v>5174</v>
      </c>
      <c r="B4046" s="6">
        <v>44942</v>
      </c>
      <c r="C4046" s="6" t="str">
        <f t="shared" si="189"/>
        <v>Jan</v>
      </c>
      <c r="D4046" t="s">
        <v>1746</v>
      </c>
      <c r="E4046" t="s">
        <v>50</v>
      </c>
      <c r="F4046" t="s">
        <v>107</v>
      </c>
      <c r="G4046">
        <v>6</v>
      </c>
      <c r="H4046" s="7">
        <v>435.22</v>
      </c>
      <c r="I4046" t="s">
        <v>64</v>
      </c>
      <c r="J4046" t="s">
        <v>19</v>
      </c>
      <c r="K4046">
        <v>0</v>
      </c>
      <c r="L4046" s="7">
        <f t="shared" si="190"/>
        <v>2611.3200000000002</v>
      </c>
      <c r="M4046" s="7"/>
      <c r="O4046">
        <f t="shared" si="191"/>
        <v>3</v>
      </c>
      <c r="Q4046" t="s">
        <v>65</v>
      </c>
    </row>
    <row r="4047" spans="1:17" x14ac:dyDescent="0.3">
      <c r="A4047" t="s">
        <v>5175</v>
      </c>
      <c r="B4047" s="6">
        <v>45045</v>
      </c>
      <c r="C4047" s="6" t="str">
        <f t="shared" si="189"/>
        <v>Apr</v>
      </c>
      <c r="D4047" t="s">
        <v>2634</v>
      </c>
      <c r="E4047" t="s">
        <v>26</v>
      </c>
      <c r="F4047" t="s">
        <v>887</v>
      </c>
      <c r="G4047">
        <v>9</v>
      </c>
      <c r="H4047" s="7">
        <v>279.29000000000002</v>
      </c>
      <c r="I4047" t="s">
        <v>103</v>
      </c>
      <c r="J4047" t="s">
        <v>28</v>
      </c>
      <c r="K4047">
        <v>5</v>
      </c>
      <c r="L4047" s="7">
        <f t="shared" si="190"/>
        <v>2513.61</v>
      </c>
      <c r="M4047" s="7"/>
      <c r="O4047">
        <f t="shared" si="191"/>
        <v>3</v>
      </c>
      <c r="Q4047" t="s">
        <v>104</v>
      </c>
    </row>
    <row r="4048" spans="1:17" x14ac:dyDescent="0.3">
      <c r="A4048" t="s">
        <v>5176</v>
      </c>
      <c r="B4048" s="6">
        <v>45284</v>
      </c>
      <c r="C4048" s="6" t="str">
        <f t="shared" si="189"/>
        <v>Dec</v>
      </c>
      <c r="D4048" t="s">
        <v>770</v>
      </c>
      <c r="E4048" t="s">
        <v>26</v>
      </c>
      <c r="F4048" t="s">
        <v>231</v>
      </c>
      <c r="G4048">
        <v>2</v>
      </c>
      <c r="H4048" s="7">
        <v>306.32</v>
      </c>
      <c r="I4048" t="s">
        <v>64</v>
      </c>
      <c r="J4048" t="s">
        <v>87</v>
      </c>
      <c r="K4048">
        <v>10</v>
      </c>
      <c r="L4048" s="7">
        <f t="shared" si="190"/>
        <v>612.64</v>
      </c>
      <c r="M4048" s="7"/>
      <c r="O4048">
        <f t="shared" si="191"/>
        <v>2</v>
      </c>
      <c r="Q4048" t="s">
        <v>65</v>
      </c>
    </row>
    <row r="4049" spans="1:17" x14ac:dyDescent="0.3">
      <c r="A4049" t="s">
        <v>5177</v>
      </c>
      <c r="B4049" s="6">
        <v>44953</v>
      </c>
      <c r="C4049" s="6" t="str">
        <f t="shared" si="189"/>
        <v>Jan</v>
      </c>
      <c r="D4049" t="s">
        <v>2746</v>
      </c>
      <c r="E4049" t="s">
        <v>19</v>
      </c>
      <c r="F4049" t="s">
        <v>417</v>
      </c>
      <c r="G4049">
        <v>3</v>
      </c>
      <c r="H4049" s="7">
        <v>463.86</v>
      </c>
      <c r="I4049" t="s">
        <v>21</v>
      </c>
      <c r="J4049" t="s">
        <v>72</v>
      </c>
      <c r="K4049">
        <v>20</v>
      </c>
      <c r="L4049" s="7">
        <f t="shared" si="190"/>
        <v>1391.58</v>
      </c>
      <c r="M4049" s="7"/>
      <c r="O4049">
        <f t="shared" si="191"/>
        <v>2</v>
      </c>
      <c r="Q4049" t="s">
        <v>23</v>
      </c>
    </row>
    <row r="4050" spans="1:17" x14ac:dyDescent="0.3">
      <c r="A4050" t="s">
        <v>5178</v>
      </c>
      <c r="B4050" s="6">
        <v>45083</v>
      </c>
      <c r="C4050" s="6" t="str">
        <f t="shared" si="189"/>
        <v>Jun</v>
      </c>
      <c r="D4050" t="s">
        <v>1718</v>
      </c>
      <c r="E4050" t="s">
        <v>19</v>
      </c>
      <c r="F4050" t="s">
        <v>211</v>
      </c>
      <c r="G4050">
        <v>8</v>
      </c>
      <c r="H4050" s="7">
        <v>334.23</v>
      </c>
      <c r="I4050" t="s">
        <v>19</v>
      </c>
      <c r="J4050" t="s">
        <v>87</v>
      </c>
      <c r="K4050">
        <v>15</v>
      </c>
      <c r="L4050" s="7">
        <f t="shared" si="190"/>
        <v>2673.84</v>
      </c>
      <c r="M4050" s="7"/>
      <c r="O4050">
        <f t="shared" si="191"/>
        <v>3</v>
      </c>
      <c r="Q4050" t="s">
        <v>19</v>
      </c>
    </row>
    <row r="4051" spans="1:17" x14ac:dyDescent="0.3">
      <c r="A4051" t="s">
        <v>5179</v>
      </c>
      <c r="B4051" s="6">
        <v>44958</v>
      </c>
      <c r="C4051" s="6" t="str">
        <f t="shared" si="189"/>
        <v>Feb</v>
      </c>
      <c r="D4051" t="s">
        <v>1209</v>
      </c>
      <c r="E4051" t="s">
        <v>31</v>
      </c>
      <c r="F4051" t="s">
        <v>486</v>
      </c>
      <c r="G4051">
        <v>1</v>
      </c>
      <c r="H4051" s="7">
        <v>346.97</v>
      </c>
      <c r="I4051" t="s">
        <v>64</v>
      </c>
      <c r="J4051" t="s">
        <v>72</v>
      </c>
      <c r="K4051">
        <v>10</v>
      </c>
      <c r="L4051" s="7">
        <f t="shared" si="190"/>
        <v>346.97</v>
      </c>
      <c r="M4051" s="7"/>
      <c r="O4051">
        <f t="shared" si="191"/>
        <v>2</v>
      </c>
      <c r="Q4051" t="s">
        <v>65</v>
      </c>
    </row>
    <row r="4052" spans="1:17" x14ac:dyDescent="0.3">
      <c r="A4052" t="s">
        <v>5180</v>
      </c>
      <c r="B4052" s="6">
        <v>45031</v>
      </c>
      <c r="C4052" s="6" t="str">
        <f t="shared" si="189"/>
        <v>Apr</v>
      </c>
      <c r="D4052" t="s">
        <v>3325</v>
      </c>
      <c r="E4052" t="s">
        <v>62</v>
      </c>
      <c r="F4052" t="s">
        <v>119</v>
      </c>
      <c r="G4052">
        <v>7</v>
      </c>
      <c r="H4052" s="7">
        <v>394.55</v>
      </c>
      <c r="I4052" t="s">
        <v>64</v>
      </c>
      <c r="J4052" t="s">
        <v>72</v>
      </c>
      <c r="K4052">
        <v>5</v>
      </c>
      <c r="L4052" s="7">
        <f t="shared" si="190"/>
        <v>2761.85</v>
      </c>
      <c r="M4052" s="7"/>
      <c r="O4052">
        <f t="shared" si="191"/>
        <v>3</v>
      </c>
      <c r="Q4052" t="s">
        <v>65</v>
      </c>
    </row>
    <row r="4053" spans="1:17" x14ac:dyDescent="0.3">
      <c r="A4053" t="s">
        <v>5181</v>
      </c>
      <c r="B4053" s="6">
        <v>44972</v>
      </c>
      <c r="C4053" s="6" t="str">
        <f t="shared" si="189"/>
        <v>Feb</v>
      </c>
      <c r="D4053" t="s">
        <v>2912</v>
      </c>
      <c r="E4053" t="s">
        <v>19</v>
      </c>
      <c r="F4053" t="s">
        <v>619</v>
      </c>
      <c r="G4053">
        <v>7</v>
      </c>
      <c r="H4053" s="7">
        <v>62.59</v>
      </c>
      <c r="I4053" t="s">
        <v>19</v>
      </c>
      <c r="J4053" t="s">
        <v>87</v>
      </c>
      <c r="K4053">
        <v>0</v>
      </c>
      <c r="L4053" s="7">
        <f t="shared" si="190"/>
        <v>438.13</v>
      </c>
      <c r="M4053" s="7"/>
      <c r="O4053">
        <f t="shared" si="191"/>
        <v>2</v>
      </c>
      <c r="Q4053" t="s">
        <v>19</v>
      </c>
    </row>
    <row r="4054" spans="1:17" x14ac:dyDescent="0.3">
      <c r="A4054" t="s">
        <v>5182</v>
      </c>
      <c r="B4054" s="6">
        <v>45065</v>
      </c>
      <c r="C4054" s="6" t="str">
        <f t="shared" si="189"/>
        <v>May</v>
      </c>
      <c r="D4054" t="s">
        <v>429</v>
      </c>
      <c r="E4054" t="s">
        <v>31</v>
      </c>
      <c r="F4054" t="s">
        <v>732</v>
      </c>
      <c r="G4054">
        <v>1</v>
      </c>
      <c r="H4054" s="7">
        <v>183.28</v>
      </c>
      <c r="I4054" t="s">
        <v>19</v>
      </c>
      <c r="J4054" t="s">
        <v>28</v>
      </c>
      <c r="K4054">
        <v>15</v>
      </c>
      <c r="L4054" s="7">
        <f t="shared" si="190"/>
        <v>183.28</v>
      </c>
      <c r="M4054" s="7"/>
      <c r="O4054">
        <f t="shared" si="191"/>
        <v>2</v>
      </c>
      <c r="Q4054" t="s">
        <v>19</v>
      </c>
    </row>
    <row r="4055" spans="1:17" x14ac:dyDescent="0.3">
      <c r="A4055" t="s">
        <v>5183</v>
      </c>
      <c r="B4055" s="6">
        <v>44969</v>
      </c>
      <c r="C4055" s="6" t="str">
        <f t="shared" si="189"/>
        <v>Feb</v>
      </c>
      <c r="D4055" t="s">
        <v>1346</v>
      </c>
      <c r="E4055" t="s">
        <v>40</v>
      </c>
      <c r="F4055" t="s">
        <v>134</v>
      </c>
      <c r="G4055">
        <v>9</v>
      </c>
      <c r="H4055" s="7">
        <v>484.26</v>
      </c>
      <c r="I4055" t="s">
        <v>64</v>
      </c>
      <c r="J4055" t="s">
        <v>72</v>
      </c>
      <c r="K4055">
        <v>20</v>
      </c>
      <c r="L4055" s="7">
        <f t="shared" si="190"/>
        <v>4358.34</v>
      </c>
      <c r="M4055" s="7"/>
      <c r="O4055">
        <f t="shared" si="191"/>
        <v>5</v>
      </c>
      <c r="Q4055" t="s">
        <v>65</v>
      </c>
    </row>
    <row r="4056" spans="1:17" x14ac:dyDescent="0.3">
      <c r="A4056" t="s">
        <v>5184</v>
      </c>
      <c r="B4056" s="6">
        <v>45076</v>
      </c>
      <c r="C4056" s="6" t="str">
        <f t="shared" si="189"/>
        <v>May</v>
      </c>
      <c r="D4056" t="s">
        <v>1327</v>
      </c>
      <c r="E4056" t="s">
        <v>26</v>
      </c>
      <c r="F4056" t="s">
        <v>504</v>
      </c>
      <c r="G4056">
        <v>8</v>
      </c>
      <c r="H4056" s="7">
        <v>461.85</v>
      </c>
      <c r="I4056" t="s">
        <v>46</v>
      </c>
      <c r="J4056" t="s">
        <v>19</v>
      </c>
      <c r="K4056">
        <v>10</v>
      </c>
      <c r="L4056" s="7">
        <f t="shared" si="190"/>
        <v>3694.8</v>
      </c>
      <c r="M4056" s="7"/>
      <c r="O4056">
        <f t="shared" si="191"/>
        <v>5</v>
      </c>
      <c r="Q4056" t="s">
        <v>47</v>
      </c>
    </row>
    <row r="4057" spans="1:17" x14ac:dyDescent="0.3">
      <c r="A4057" t="s">
        <v>5185</v>
      </c>
      <c r="B4057" s="6">
        <v>45044</v>
      </c>
      <c r="C4057" s="6" t="str">
        <f t="shared" si="189"/>
        <v>Apr</v>
      </c>
      <c r="D4057" t="s">
        <v>355</v>
      </c>
      <c r="E4057" t="s">
        <v>50</v>
      </c>
      <c r="F4057" t="s">
        <v>619</v>
      </c>
      <c r="G4057">
        <v>4</v>
      </c>
      <c r="H4057" s="7">
        <v>442.62</v>
      </c>
      <c r="I4057" t="s">
        <v>64</v>
      </c>
      <c r="J4057" t="s">
        <v>87</v>
      </c>
      <c r="K4057">
        <v>10</v>
      </c>
      <c r="L4057" s="7">
        <f t="shared" si="190"/>
        <v>1770.48</v>
      </c>
      <c r="M4057" s="7"/>
      <c r="O4057">
        <f t="shared" si="191"/>
        <v>2</v>
      </c>
      <c r="Q4057" t="s">
        <v>65</v>
      </c>
    </row>
    <row r="4058" spans="1:17" x14ac:dyDescent="0.3">
      <c r="A4058" t="s">
        <v>5186</v>
      </c>
      <c r="B4058" s="6">
        <v>44935</v>
      </c>
      <c r="C4058" s="6" t="str">
        <f t="shared" si="189"/>
        <v>Jan</v>
      </c>
      <c r="D4058" t="s">
        <v>563</v>
      </c>
      <c r="E4058" t="s">
        <v>36</v>
      </c>
      <c r="F4058" t="s">
        <v>316</v>
      </c>
      <c r="G4058">
        <v>5</v>
      </c>
      <c r="H4058" s="7">
        <v>228.78</v>
      </c>
      <c r="I4058" t="s">
        <v>21</v>
      </c>
      <c r="J4058" t="s">
        <v>72</v>
      </c>
      <c r="K4058">
        <v>10</v>
      </c>
      <c r="L4058" s="7">
        <f t="shared" si="190"/>
        <v>1143.9000000000001</v>
      </c>
      <c r="M4058" s="7"/>
      <c r="O4058">
        <f t="shared" si="191"/>
        <v>2</v>
      </c>
      <c r="Q4058" t="s">
        <v>23</v>
      </c>
    </row>
    <row r="4059" spans="1:17" x14ac:dyDescent="0.3">
      <c r="A4059" t="s">
        <v>5187</v>
      </c>
      <c r="B4059" s="6">
        <v>45047</v>
      </c>
      <c r="C4059" s="6" t="str">
        <f t="shared" si="189"/>
        <v>May</v>
      </c>
      <c r="D4059" t="s">
        <v>817</v>
      </c>
      <c r="E4059" t="s">
        <v>50</v>
      </c>
      <c r="F4059" t="s">
        <v>316</v>
      </c>
      <c r="G4059">
        <v>2</v>
      </c>
      <c r="H4059" s="7">
        <v>429.31</v>
      </c>
      <c r="I4059" t="s">
        <v>21</v>
      </c>
      <c r="J4059" t="s">
        <v>28</v>
      </c>
      <c r="K4059">
        <v>20</v>
      </c>
      <c r="L4059" s="7">
        <f t="shared" si="190"/>
        <v>858.62</v>
      </c>
      <c r="M4059" s="7"/>
      <c r="O4059">
        <f t="shared" si="191"/>
        <v>2</v>
      </c>
      <c r="Q4059" t="s">
        <v>23</v>
      </c>
    </row>
    <row r="4060" spans="1:17" x14ac:dyDescent="0.3">
      <c r="A4060" t="s">
        <v>5188</v>
      </c>
      <c r="B4060" s="6">
        <v>45092</v>
      </c>
      <c r="C4060" s="6" t="str">
        <f t="shared" si="189"/>
        <v>Jun</v>
      </c>
      <c r="D4060" t="s">
        <v>899</v>
      </c>
      <c r="E4060" t="s">
        <v>19</v>
      </c>
      <c r="F4060" t="s">
        <v>222</v>
      </c>
      <c r="G4060">
        <v>9</v>
      </c>
      <c r="H4060" s="7">
        <v>28.96</v>
      </c>
      <c r="I4060" t="s">
        <v>21</v>
      </c>
      <c r="J4060" t="s">
        <v>28</v>
      </c>
      <c r="K4060">
        <v>5</v>
      </c>
      <c r="L4060" s="7">
        <f t="shared" si="190"/>
        <v>260.64</v>
      </c>
      <c r="M4060" s="7"/>
      <c r="O4060">
        <f t="shared" si="191"/>
        <v>2</v>
      </c>
      <c r="Q4060" t="s">
        <v>23</v>
      </c>
    </row>
    <row r="4061" spans="1:17" x14ac:dyDescent="0.3">
      <c r="A4061" t="s">
        <v>5189</v>
      </c>
      <c r="B4061" s="6">
        <v>45240</v>
      </c>
      <c r="C4061" s="6" t="str">
        <f t="shared" si="189"/>
        <v>Nov</v>
      </c>
      <c r="D4061" t="s">
        <v>1864</v>
      </c>
      <c r="E4061" t="s">
        <v>19</v>
      </c>
      <c r="F4061" t="s">
        <v>2185</v>
      </c>
      <c r="G4061">
        <v>6</v>
      </c>
      <c r="H4061" s="7">
        <v>78.52</v>
      </c>
      <c r="I4061" t="s">
        <v>64</v>
      </c>
      <c r="J4061" t="s">
        <v>22</v>
      </c>
      <c r="K4061">
        <v>20</v>
      </c>
      <c r="L4061" s="7">
        <f t="shared" si="190"/>
        <v>471.12</v>
      </c>
      <c r="M4061" s="7"/>
      <c r="O4061">
        <f t="shared" si="191"/>
        <v>2</v>
      </c>
      <c r="Q4061" t="s">
        <v>65</v>
      </c>
    </row>
    <row r="4062" spans="1:17" x14ac:dyDescent="0.3">
      <c r="A4062" t="s">
        <v>5190</v>
      </c>
      <c r="B4062" s="6">
        <v>45026</v>
      </c>
      <c r="C4062" s="6" t="str">
        <f t="shared" si="189"/>
        <v>Apr</v>
      </c>
      <c r="D4062" t="s">
        <v>1908</v>
      </c>
      <c r="E4062" t="s">
        <v>50</v>
      </c>
      <c r="F4062" t="s">
        <v>84</v>
      </c>
      <c r="G4062">
        <v>3</v>
      </c>
      <c r="H4062" s="7">
        <v>209.91</v>
      </c>
      <c r="I4062" t="s">
        <v>21</v>
      </c>
      <c r="J4062" t="s">
        <v>19</v>
      </c>
      <c r="K4062">
        <v>0</v>
      </c>
      <c r="L4062" s="7">
        <f t="shared" si="190"/>
        <v>629.73</v>
      </c>
      <c r="M4062" s="7"/>
      <c r="O4062">
        <f t="shared" si="191"/>
        <v>2</v>
      </c>
      <c r="Q4062" t="s">
        <v>23</v>
      </c>
    </row>
    <row r="4063" spans="1:17" x14ac:dyDescent="0.3">
      <c r="A4063" t="s">
        <v>5191</v>
      </c>
      <c r="B4063" s="6">
        <v>45234</v>
      </c>
      <c r="C4063" s="6" t="str">
        <f t="shared" si="189"/>
        <v>Nov</v>
      </c>
      <c r="D4063" t="s">
        <v>2085</v>
      </c>
      <c r="E4063" t="s">
        <v>36</v>
      </c>
      <c r="F4063" t="s">
        <v>170</v>
      </c>
      <c r="G4063">
        <v>7</v>
      </c>
      <c r="H4063" s="7">
        <v>244.28</v>
      </c>
      <c r="I4063" t="s">
        <v>19</v>
      </c>
      <c r="J4063" t="s">
        <v>19</v>
      </c>
      <c r="K4063">
        <v>10</v>
      </c>
      <c r="L4063" s="7">
        <f t="shared" si="190"/>
        <v>1709.96</v>
      </c>
      <c r="M4063" s="7"/>
      <c r="O4063">
        <f t="shared" si="191"/>
        <v>2</v>
      </c>
      <c r="Q4063" t="s">
        <v>19</v>
      </c>
    </row>
    <row r="4064" spans="1:17" x14ac:dyDescent="0.3">
      <c r="A4064" t="s">
        <v>5192</v>
      </c>
      <c r="B4064" s="6">
        <v>45046</v>
      </c>
      <c r="C4064" s="6" t="str">
        <f t="shared" si="189"/>
        <v>Apr</v>
      </c>
      <c r="D4064" t="s">
        <v>516</v>
      </c>
      <c r="E4064" t="s">
        <v>50</v>
      </c>
      <c r="F4064" t="s">
        <v>363</v>
      </c>
      <c r="G4064">
        <v>9</v>
      </c>
      <c r="H4064" s="7">
        <v>135.44</v>
      </c>
      <c r="I4064" t="s">
        <v>46</v>
      </c>
      <c r="J4064" t="s">
        <v>72</v>
      </c>
      <c r="K4064">
        <v>10</v>
      </c>
      <c r="L4064" s="7">
        <f t="shared" si="190"/>
        <v>1218.96</v>
      </c>
      <c r="M4064" s="7"/>
      <c r="O4064">
        <f t="shared" si="191"/>
        <v>2</v>
      </c>
      <c r="Q4064" t="s">
        <v>47</v>
      </c>
    </row>
    <row r="4065" spans="1:17" x14ac:dyDescent="0.3">
      <c r="A4065" t="s">
        <v>5193</v>
      </c>
      <c r="B4065" s="6">
        <v>45171</v>
      </c>
      <c r="C4065" s="6" t="str">
        <f t="shared" si="189"/>
        <v>Sep</v>
      </c>
      <c r="D4065" t="s">
        <v>2168</v>
      </c>
      <c r="E4065" t="s">
        <v>19</v>
      </c>
      <c r="F4065" t="s">
        <v>331</v>
      </c>
      <c r="G4065">
        <v>3</v>
      </c>
      <c r="H4065" s="7">
        <v>181.46</v>
      </c>
      <c r="I4065" t="s">
        <v>19</v>
      </c>
      <c r="J4065" t="s">
        <v>28</v>
      </c>
      <c r="K4065">
        <v>0</v>
      </c>
      <c r="L4065" s="7">
        <f t="shared" si="190"/>
        <v>544.38</v>
      </c>
      <c r="M4065" s="7"/>
      <c r="O4065">
        <f t="shared" si="191"/>
        <v>2</v>
      </c>
      <c r="Q4065" t="s">
        <v>19</v>
      </c>
    </row>
    <row r="4066" spans="1:17" x14ac:dyDescent="0.3">
      <c r="A4066" t="s">
        <v>5194</v>
      </c>
      <c r="B4066" s="6">
        <v>45099</v>
      </c>
      <c r="C4066" s="6" t="str">
        <f t="shared" si="189"/>
        <v>Jun</v>
      </c>
      <c r="D4066" t="s">
        <v>553</v>
      </c>
      <c r="E4066" t="s">
        <v>31</v>
      </c>
      <c r="F4066" t="s">
        <v>122</v>
      </c>
      <c r="G4066">
        <v>2</v>
      </c>
      <c r="H4066" s="7">
        <v>85.57</v>
      </c>
      <c r="I4066" t="s">
        <v>64</v>
      </c>
      <c r="J4066" t="s">
        <v>19</v>
      </c>
      <c r="K4066">
        <v>20</v>
      </c>
      <c r="L4066" s="7">
        <f t="shared" si="190"/>
        <v>171.14</v>
      </c>
      <c r="M4066" s="7"/>
      <c r="O4066">
        <f t="shared" si="191"/>
        <v>2</v>
      </c>
      <c r="Q4066" t="s">
        <v>65</v>
      </c>
    </row>
    <row r="4067" spans="1:17" x14ac:dyDescent="0.3">
      <c r="A4067" t="s">
        <v>5195</v>
      </c>
      <c r="B4067" s="6">
        <v>45177</v>
      </c>
      <c r="C4067" s="6" t="str">
        <f t="shared" si="189"/>
        <v>Sep</v>
      </c>
      <c r="D4067" t="s">
        <v>2342</v>
      </c>
      <c r="E4067" t="s">
        <v>36</v>
      </c>
      <c r="F4067" t="s">
        <v>284</v>
      </c>
      <c r="G4067">
        <v>7</v>
      </c>
      <c r="H4067" s="7">
        <v>247.12</v>
      </c>
      <c r="I4067" t="s">
        <v>64</v>
      </c>
      <c r="J4067" t="s">
        <v>72</v>
      </c>
      <c r="K4067">
        <v>0</v>
      </c>
      <c r="L4067" s="7">
        <f t="shared" si="190"/>
        <v>1729.8400000000001</v>
      </c>
      <c r="M4067" s="7"/>
      <c r="O4067">
        <f t="shared" si="191"/>
        <v>2</v>
      </c>
      <c r="Q4067" t="s">
        <v>65</v>
      </c>
    </row>
    <row r="4068" spans="1:17" x14ac:dyDescent="0.3">
      <c r="A4068" t="s">
        <v>5196</v>
      </c>
      <c r="B4068" s="6">
        <v>45049</v>
      </c>
      <c r="C4068" s="6" t="str">
        <f t="shared" si="189"/>
        <v>May</v>
      </c>
      <c r="D4068" t="s">
        <v>266</v>
      </c>
      <c r="E4068" t="s">
        <v>62</v>
      </c>
      <c r="F4068" t="s">
        <v>2185</v>
      </c>
      <c r="G4068">
        <v>7</v>
      </c>
      <c r="H4068" s="7">
        <v>397.95</v>
      </c>
      <c r="I4068" t="s">
        <v>21</v>
      </c>
      <c r="J4068" t="s">
        <v>19</v>
      </c>
      <c r="K4068">
        <v>15</v>
      </c>
      <c r="L4068" s="7">
        <f t="shared" si="190"/>
        <v>2785.65</v>
      </c>
      <c r="M4068" s="7"/>
      <c r="O4068">
        <f t="shared" si="191"/>
        <v>3</v>
      </c>
      <c r="Q4068" t="s">
        <v>23</v>
      </c>
    </row>
    <row r="4069" spans="1:17" x14ac:dyDescent="0.3">
      <c r="A4069" t="s">
        <v>5197</v>
      </c>
      <c r="B4069" s="6">
        <v>45250</v>
      </c>
      <c r="C4069" s="6" t="str">
        <f t="shared" si="189"/>
        <v>Nov</v>
      </c>
      <c r="D4069" t="s">
        <v>965</v>
      </c>
      <c r="E4069" t="s">
        <v>62</v>
      </c>
      <c r="F4069" t="s">
        <v>99</v>
      </c>
      <c r="G4069">
        <v>4</v>
      </c>
      <c r="H4069" s="7">
        <v>332.37</v>
      </c>
      <c r="I4069" t="s">
        <v>46</v>
      </c>
      <c r="J4069" t="s">
        <v>87</v>
      </c>
      <c r="K4069">
        <v>0</v>
      </c>
      <c r="L4069" s="7">
        <f t="shared" si="190"/>
        <v>1329.48</v>
      </c>
      <c r="M4069" s="7"/>
      <c r="O4069">
        <f t="shared" si="191"/>
        <v>2</v>
      </c>
      <c r="Q4069" t="s">
        <v>47</v>
      </c>
    </row>
    <row r="4070" spans="1:17" x14ac:dyDescent="0.3">
      <c r="A4070" t="s">
        <v>5198</v>
      </c>
      <c r="B4070" s="6">
        <v>44941</v>
      </c>
      <c r="C4070" s="6" t="str">
        <f t="shared" si="189"/>
        <v>Jan</v>
      </c>
      <c r="D4070" t="s">
        <v>982</v>
      </c>
      <c r="E4070" t="s">
        <v>36</v>
      </c>
      <c r="F4070" t="s">
        <v>273</v>
      </c>
      <c r="G4070">
        <v>9</v>
      </c>
      <c r="H4070" s="7">
        <v>58.36</v>
      </c>
      <c r="I4070" t="s">
        <v>32</v>
      </c>
      <c r="J4070" t="s">
        <v>22</v>
      </c>
      <c r="K4070">
        <v>20</v>
      </c>
      <c r="L4070" s="7">
        <f t="shared" si="190"/>
        <v>525.24</v>
      </c>
      <c r="M4070" s="7"/>
      <c r="O4070">
        <f t="shared" si="191"/>
        <v>2</v>
      </c>
      <c r="Q4070" t="s">
        <v>33</v>
      </c>
    </row>
    <row r="4071" spans="1:17" x14ac:dyDescent="0.3">
      <c r="A4071" t="s">
        <v>5199</v>
      </c>
      <c r="B4071" s="6">
        <v>45245</v>
      </c>
      <c r="C4071" s="6" t="str">
        <f t="shared" si="189"/>
        <v>Nov</v>
      </c>
      <c r="D4071" t="s">
        <v>272</v>
      </c>
      <c r="E4071" t="s">
        <v>36</v>
      </c>
      <c r="F4071" t="s">
        <v>523</v>
      </c>
      <c r="G4071">
        <v>8</v>
      </c>
      <c r="H4071" s="7">
        <v>246.35</v>
      </c>
      <c r="I4071" t="s">
        <v>32</v>
      </c>
      <c r="J4071" t="s">
        <v>22</v>
      </c>
      <c r="K4071">
        <v>0</v>
      </c>
      <c r="L4071" s="7">
        <f t="shared" si="190"/>
        <v>1970.8</v>
      </c>
      <c r="M4071" s="7"/>
      <c r="O4071">
        <f t="shared" si="191"/>
        <v>2</v>
      </c>
      <c r="Q4071" t="s">
        <v>33</v>
      </c>
    </row>
    <row r="4072" spans="1:17" x14ac:dyDescent="0.3">
      <c r="A4072" t="s">
        <v>5200</v>
      </c>
      <c r="B4072" s="6">
        <v>44983</v>
      </c>
      <c r="C4072" s="6" t="str">
        <f t="shared" si="189"/>
        <v>Feb</v>
      </c>
      <c r="D4072" t="s">
        <v>1466</v>
      </c>
      <c r="E4072" t="s">
        <v>62</v>
      </c>
      <c r="F4072" t="s">
        <v>504</v>
      </c>
      <c r="G4072">
        <v>1</v>
      </c>
      <c r="H4072" s="7">
        <v>350.33</v>
      </c>
      <c r="I4072" t="s">
        <v>32</v>
      </c>
      <c r="J4072" t="s">
        <v>42</v>
      </c>
      <c r="K4072">
        <v>5</v>
      </c>
      <c r="L4072" s="7">
        <f t="shared" si="190"/>
        <v>350.33</v>
      </c>
      <c r="M4072" s="7"/>
      <c r="O4072">
        <f t="shared" si="191"/>
        <v>2</v>
      </c>
      <c r="Q4072" t="s">
        <v>33</v>
      </c>
    </row>
    <row r="4073" spans="1:17" x14ac:dyDescent="0.3">
      <c r="A4073" t="s">
        <v>5201</v>
      </c>
      <c r="B4073" s="6">
        <v>45154</v>
      </c>
      <c r="C4073" s="6" t="str">
        <f t="shared" si="189"/>
        <v>Aug</v>
      </c>
      <c r="D4073" t="s">
        <v>629</v>
      </c>
      <c r="E4073" t="s">
        <v>40</v>
      </c>
      <c r="F4073" t="s">
        <v>520</v>
      </c>
      <c r="G4073">
        <v>1</v>
      </c>
      <c r="H4073" s="7">
        <v>267.3</v>
      </c>
      <c r="I4073" t="s">
        <v>21</v>
      </c>
      <c r="J4073" t="s">
        <v>22</v>
      </c>
      <c r="K4073">
        <v>10</v>
      </c>
      <c r="L4073" s="7">
        <f t="shared" si="190"/>
        <v>267.3</v>
      </c>
      <c r="M4073" s="7"/>
      <c r="O4073">
        <f t="shared" si="191"/>
        <v>2</v>
      </c>
      <c r="Q4073" t="s">
        <v>23</v>
      </c>
    </row>
    <row r="4074" spans="1:17" x14ac:dyDescent="0.3">
      <c r="A4074" t="s">
        <v>5202</v>
      </c>
      <c r="B4074" s="6">
        <v>44942</v>
      </c>
      <c r="C4074" s="6" t="str">
        <f t="shared" si="189"/>
        <v>Jan</v>
      </c>
      <c r="D4074" t="s">
        <v>1910</v>
      </c>
      <c r="E4074" t="s">
        <v>19</v>
      </c>
      <c r="F4074" t="s">
        <v>239</v>
      </c>
      <c r="G4074">
        <v>5</v>
      </c>
      <c r="H4074" s="7">
        <v>198.88</v>
      </c>
      <c r="I4074" t="s">
        <v>64</v>
      </c>
      <c r="J4074" t="s">
        <v>42</v>
      </c>
      <c r="K4074">
        <v>0</v>
      </c>
      <c r="L4074" s="7">
        <f t="shared" si="190"/>
        <v>994.4</v>
      </c>
      <c r="M4074" s="7"/>
      <c r="O4074">
        <f t="shared" si="191"/>
        <v>2</v>
      </c>
      <c r="Q4074" t="s">
        <v>65</v>
      </c>
    </row>
    <row r="4075" spans="1:17" x14ac:dyDescent="0.3">
      <c r="A4075" t="s">
        <v>5203</v>
      </c>
      <c r="B4075" s="6">
        <v>45285</v>
      </c>
      <c r="C4075" s="6" t="str">
        <f t="shared" si="189"/>
        <v>Dec</v>
      </c>
      <c r="D4075" t="s">
        <v>5035</v>
      </c>
      <c r="E4075" t="s">
        <v>36</v>
      </c>
      <c r="F4075" t="s">
        <v>160</v>
      </c>
      <c r="G4075">
        <v>6</v>
      </c>
      <c r="H4075" s="7">
        <v>252.16</v>
      </c>
      <c r="I4075" t="s">
        <v>64</v>
      </c>
      <c r="J4075" t="s">
        <v>42</v>
      </c>
      <c r="K4075">
        <v>10</v>
      </c>
      <c r="L4075" s="7">
        <f t="shared" si="190"/>
        <v>1512.96</v>
      </c>
      <c r="M4075" s="7"/>
      <c r="O4075">
        <f t="shared" si="191"/>
        <v>2</v>
      </c>
      <c r="Q4075" t="s">
        <v>65</v>
      </c>
    </row>
    <row r="4076" spans="1:17" x14ac:dyDescent="0.3">
      <c r="A4076" t="s">
        <v>5204</v>
      </c>
      <c r="B4076" s="6">
        <v>45279</v>
      </c>
      <c r="C4076" s="6" t="str">
        <f t="shared" si="189"/>
        <v>Dec</v>
      </c>
      <c r="D4076" t="s">
        <v>1391</v>
      </c>
      <c r="E4076" t="s">
        <v>36</v>
      </c>
      <c r="F4076" t="s">
        <v>378</v>
      </c>
      <c r="G4076">
        <v>3</v>
      </c>
      <c r="H4076" s="7">
        <v>484.48</v>
      </c>
      <c r="I4076" t="s">
        <v>32</v>
      </c>
      <c r="J4076" t="s">
        <v>87</v>
      </c>
      <c r="K4076">
        <v>0</v>
      </c>
      <c r="L4076" s="7">
        <f t="shared" si="190"/>
        <v>1453.44</v>
      </c>
      <c r="M4076" s="7"/>
      <c r="O4076">
        <f t="shared" si="191"/>
        <v>2</v>
      </c>
      <c r="Q4076" t="s">
        <v>33</v>
      </c>
    </row>
    <row r="4077" spans="1:17" x14ac:dyDescent="0.3">
      <c r="A4077" t="s">
        <v>5205</v>
      </c>
      <c r="B4077" s="6">
        <v>45181</v>
      </c>
      <c r="C4077" s="6" t="str">
        <f t="shared" si="189"/>
        <v>Sep</v>
      </c>
      <c r="D4077" t="s">
        <v>1430</v>
      </c>
      <c r="E4077" t="s">
        <v>19</v>
      </c>
      <c r="F4077" t="s">
        <v>84</v>
      </c>
      <c r="G4077">
        <v>9</v>
      </c>
      <c r="H4077" s="7">
        <v>252.16</v>
      </c>
      <c r="I4077" t="s">
        <v>103</v>
      </c>
      <c r="J4077" t="s">
        <v>22</v>
      </c>
      <c r="K4077">
        <v>20</v>
      </c>
      <c r="L4077" s="7">
        <f t="shared" si="190"/>
        <v>2269.44</v>
      </c>
      <c r="M4077" s="7"/>
      <c r="O4077">
        <f t="shared" si="191"/>
        <v>2</v>
      </c>
      <c r="Q4077" t="s">
        <v>104</v>
      </c>
    </row>
    <row r="4078" spans="1:17" x14ac:dyDescent="0.3">
      <c r="A4078" t="s">
        <v>5206</v>
      </c>
      <c r="B4078" s="6">
        <v>45023</v>
      </c>
      <c r="C4078" s="6" t="str">
        <f t="shared" si="189"/>
        <v>Apr</v>
      </c>
      <c r="D4078" t="s">
        <v>1380</v>
      </c>
      <c r="E4078" t="s">
        <v>19</v>
      </c>
      <c r="F4078" t="s">
        <v>887</v>
      </c>
      <c r="G4078">
        <v>6</v>
      </c>
      <c r="H4078" s="7">
        <v>198.06</v>
      </c>
      <c r="I4078" t="s">
        <v>46</v>
      </c>
      <c r="J4078" t="s">
        <v>87</v>
      </c>
      <c r="K4078">
        <v>15</v>
      </c>
      <c r="L4078" s="7">
        <f t="shared" si="190"/>
        <v>1188.3600000000001</v>
      </c>
      <c r="M4078" s="7"/>
      <c r="O4078">
        <f t="shared" si="191"/>
        <v>2</v>
      </c>
      <c r="Q4078" t="s">
        <v>47</v>
      </c>
    </row>
    <row r="4079" spans="1:17" x14ac:dyDescent="0.3">
      <c r="A4079" t="s">
        <v>5207</v>
      </c>
      <c r="B4079" s="6">
        <v>45188</v>
      </c>
      <c r="C4079" s="6" t="str">
        <f t="shared" si="189"/>
        <v>Sep</v>
      </c>
      <c r="D4079" t="s">
        <v>1922</v>
      </c>
      <c r="E4079" t="s">
        <v>40</v>
      </c>
      <c r="F4079" t="s">
        <v>646</v>
      </c>
      <c r="G4079">
        <v>5</v>
      </c>
      <c r="H4079" s="7">
        <v>206.27</v>
      </c>
      <c r="I4079" t="s">
        <v>103</v>
      </c>
      <c r="J4079" t="s">
        <v>19</v>
      </c>
      <c r="K4079">
        <v>15</v>
      </c>
      <c r="L4079" s="7">
        <f t="shared" si="190"/>
        <v>1031.3500000000001</v>
      </c>
      <c r="M4079" s="7"/>
      <c r="O4079">
        <f t="shared" si="191"/>
        <v>2</v>
      </c>
      <c r="Q4079" t="s">
        <v>104</v>
      </c>
    </row>
    <row r="4080" spans="1:17" x14ac:dyDescent="0.3">
      <c r="A4080" t="s">
        <v>5208</v>
      </c>
      <c r="B4080" s="6">
        <v>45025</v>
      </c>
      <c r="C4080" s="6" t="str">
        <f t="shared" si="189"/>
        <v>Apr</v>
      </c>
      <c r="D4080" t="s">
        <v>1160</v>
      </c>
      <c r="E4080" t="s">
        <v>31</v>
      </c>
      <c r="F4080" t="s">
        <v>511</v>
      </c>
      <c r="G4080">
        <v>5</v>
      </c>
      <c r="H4080" s="7">
        <v>290.60000000000002</v>
      </c>
      <c r="I4080" t="s">
        <v>32</v>
      </c>
      <c r="J4080" t="s">
        <v>28</v>
      </c>
      <c r="K4080">
        <v>10</v>
      </c>
      <c r="L4080" s="7">
        <f t="shared" si="190"/>
        <v>1453</v>
      </c>
      <c r="M4080" s="7"/>
      <c r="O4080">
        <f t="shared" si="191"/>
        <v>2</v>
      </c>
      <c r="Q4080" t="s">
        <v>33</v>
      </c>
    </row>
    <row r="4081" spans="1:17" x14ac:dyDescent="0.3">
      <c r="A4081" t="s">
        <v>5209</v>
      </c>
      <c r="B4081" s="6">
        <v>44960</v>
      </c>
      <c r="C4081" s="6" t="str">
        <f t="shared" si="189"/>
        <v>Feb</v>
      </c>
      <c r="D4081" t="s">
        <v>768</v>
      </c>
      <c r="E4081" t="s">
        <v>50</v>
      </c>
      <c r="F4081" t="s">
        <v>420</v>
      </c>
      <c r="G4081">
        <v>8</v>
      </c>
      <c r="H4081" s="7">
        <v>80.33</v>
      </c>
      <c r="I4081" t="s">
        <v>103</v>
      </c>
      <c r="J4081" t="s">
        <v>19</v>
      </c>
      <c r="K4081">
        <v>20</v>
      </c>
      <c r="L4081" s="7">
        <f t="shared" si="190"/>
        <v>642.64</v>
      </c>
      <c r="M4081" s="7"/>
      <c r="O4081">
        <f t="shared" si="191"/>
        <v>2</v>
      </c>
      <c r="Q4081" t="s">
        <v>104</v>
      </c>
    </row>
    <row r="4082" spans="1:17" x14ac:dyDescent="0.3">
      <c r="A4082" t="s">
        <v>5210</v>
      </c>
      <c r="B4082" s="6">
        <v>45242</v>
      </c>
      <c r="C4082" s="6" t="str">
        <f t="shared" si="189"/>
        <v>Nov</v>
      </c>
      <c r="D4082" t="s">
        <v>977</v>
      </c>
      <c r="E4082" t="s">
        <v>36</v>
      </c>
      <c r="F4082" t="s">
        <v>165</v>
      </c>
      <c r="G4082">
        <v>9</v>
      </c>
      <c r="H4082" s="7">
        <v>92.44</v>
      </c>
      <c r="I4082" t="s">
        <v>19</v>
      </c>
      <c r="J4082" t="s">
        <v>28</v>
      </c>
      <c r="K4082">
        <v>20</v>
      </c>
      <c r="L4082" s="7">
        <f t="shared" si="190"/>
        <v>831.96</v>
      </c>
      <c r="M4082" s="7"/>
      <c r="O4082">
        <f t="shared" si="191"/>
        <v>2</v>
      </c>
      <c r="Q4082" t="s">
        <v>19</v>
      </c>
    </row>
    <row r="4083" spans="1:17" x14ac:dyDescent="0.3">
      <c r="A4083" t="s">
        <v>5211</v>
      </c>
      <c r="B4083" s="6">
        <v>45234</v>
      </c>
      <c r="C4083" s="6" t="str">
        <f t="shared" si="189"/>
        <v>Nov</v>
      </c>
      <c r="D4083" t="s">
        <v>659</v>
      </c>
      <c r="E4083" t="s">
        <v>40</v>
      </c>
      <c r="F4083" t="s">
        <v>179</v>
      </c>
      <c r="G4083">
        <v>5</v>
      </c>
      <c r="H4083" s="7">
        <v>146.25</v>
      </c>
      <c r="I4083" t="s">
        <v>46</v>
      </c>
      <c r="J4083" t="s">
        <v>42</v>
      </c>
      <c r="K4083">
        <v>20</v>
      </c>
      <c r="L4083" s="7">
        <f t="shared" si="190"/>
        <v>731.25</v>
      </c>
      <c r="M4083" s="7"/>
      <c r="O4083">
        <f t="shared" si="191"/>
        <v>2</v>
      </c>
      <c r="Q4083" t="s">
        <v>47</v>
      </c>
    </row>
    <row r="4084" spans="1:17" x14ac:dyDescent="0.3">
      <c r="A4084" t="s">
        <v>5212</v>
      </c>
      <c r="B4084" s="6">
        <v>44967</v>
      </c>
      <c r="C4084" s="6" t="str">
        <f t="shared" si="189"/>
        <v>Feb</v>
      </c>
      <c r="D4084" t="s">
        <v>1603</v>
      </c>
      <c r="E4084" t="s">
        <v>19</v>
      </c>
      <c r="F4084" t="s">
        <v>71</v>
      </c>
      <c r="G4084">
        <v>6</v>
      </c>
      <c r="H4084" s="7">
        <v>478.16</v>
      </c>
      <c r="I4084" t="s">
        <v>64</v>
      </c>
      <c r="J4084" t="s">
        <v>22</v>
      </c>
      <c r="K4084">
        <v>5</v>
      </c>
      <c r="L4084" s="7">
        <f t="shared" si="190"/>
        <v>2868.96</v>
      </c>
      <c r="M4084" s="7"/>
      <c r="O4084">
        <f t="shared" si="191"/>
        <v>3</v>
      </c>
      <c r="Q4084" t="s">
        <v>65</v>
      </c>
    </row>
    <row r="4085" spans="1:17" x14ac:dyDescent="0.3">
      <c r="A4085" t="s">
        <v>5213</v>
      </c>
      <c r="B4085" s="6">
        <v>45150</v>
      </c>
      <c r="C4085" s="6" t="str">
        <f t="shared" si="189"/>
        <v>Aug</v>
      </c>
      <c r="D4085" t="s">
        <v>1725</v>
      </c>
      <c r="E4085" t="s">
        <v>40</v>
      </c>
      <c r="F4085" t="s">
        <v>273</v>
      </c>
      <c r="G4085">
        <v>8</v>
      </c>
      <c r="H4085" s="7">
        <v>368.38</v>
      </c>
      <c r="I4085" t="s">
        <v>21</v>
      </c>
      <c r="J4085" t="s">
        <v>28</v>
      </c>
      <c r="K4085">
        <v>10</v>
      </c>
      <c r="L4085" s="7">
        <f t="shared" si="190"/>
        <v>2947.04</v>
      </c>
      <c r="M4085" s="7"/>
      <c r="O4085">
        <f t="shared" si="191"/>
        <v>3</v>
      </c>
      <c r="Q4085" t="s">
        <v>23</v>
      </c>
    </row>
    <row r="4086" spans="1:17" x14ac:dyDescent="0.3">
      <c r="A4086" t="s">
        <v>5214</v>
      </c>
      <c r="B4086" s="6">
        <v>45152</v>
      </c>
      <c r="C4086" s="6" t="str">
        <f t="shared" si="189"/>
        <v>Aug</v>
      </c>
      <c r="D4086" t="s">
        <v>2754</v>
      </c>
      <c r="E4086" t="s">
        <v>19</v>
      </c>
      <c r="F4086" t="s">
        <v>185</v>
      </c>
      <c r="G4086">
        <v>5</v>
      </c>
      <c r="H4086" s="7">
        <v>332.54</v>
      </c>
      <c r="I4086" t="s">
        <v>103</v>
      </c>
      <c r="J4086" t="s">
        <v>19</v>
      </c>
      <c r="K4086">
        <v>0</v>
      </c>
      <c r="L4086" s="7">
        <f t="shared" si="190"/>
        <v>1662.7</v>
      </c>
      <c r="M4086" s="7"/>
      <c r="O4086">
        <f t="shared" si="191"/>
        <v>2</v>
      </c>
      <c r="Q4086" t="s">
        <v>104</v>
      </c>
    </row>
    <row r="4087" spans="1:17" x14ac:dyDescent="0.3">
      <c r="A4087" t="s">
        <v>5215</v>
      </c>
      <c r="B4087" s="6">
        <v>45064</v>
      </c>
      <c r="C4087" s="6" t="str">
        <f t="shared" si="189"/>
        <v>May</v>
      </c>
      <c r="D4087" t="s">
        <v>629</v>
      </c>
      <c r="E4087" t="s">
        <v>19</v>
      </c>
      <c r="F4087" t="s">
        <v>466</v>
      </c>
      <c r="G4087">
        <v>3</v>
      </c>
      <c r="H4087" s="7">
        <v>409.39</v>
      </c>
      <c r="I4087" t="s">
        <v>19</v>
      </c>
      <c r="J4087" t="s">
        <v>87</v>
      </c>
      <c r="K4087">
        <v>20</v>
      </c>
      <c r="L4087" s="7">
        <f t="shared" si="190"/>
        <v>1228.17</v>
      </c>
      <c r="M4087" s="7"/>
      <c r="O4087">
        <f t="shared" si="191"/>
        <v>2</v>
      </c>
      <c r="Q4087" t="s">
        <v>19</v>
      </c>
    </row>
    <row r="4088" spans="1:17" x14ac:dyDescent="0.3">
      <c r="A4088" t="s">
        <v>5216</v>
      </c>
      <c r="B4088" s="6">
        <v>45182</v>
      </c>
      <c r="C4088" s="6" t="str">
        <f t="shared" si="189"/>
        <v>Sep</v>
      </c>
      <c r="D4088" t="s">
        <v>422</v>
      </c>
      <c r="E4088" t="s">
        <v>36</v>
      </c>
      <c r="F4088" t="s">
        <v>319</v>
      </c>
      <c r="G4088">
        <v>3</v>
      </c>
      <c r="H4088" s="7">
        <v>68.150000000000006</v>
      </c>
      <c r="I4088" t="s">
        <v>46</v>
      </c>
      <c r="J4088" t="s">
        <v>22</v>
      </c>
      <c r="K4088">
        <v>20</v>
      </c>
      <c r="L4088" s="7">
        <f t="shared" si="190"/>
        <v>204.45000000000002</v>
      </c>
      <c r="M4088" s="7"/>
      <c r="O4088">
        <f t="shared" si="191"/>
        <v>2</v>
      </c>
      <c r="Q4088" t="s">
        <v>47</v>
      </c>
    </row>
    <row r="4089" spans="1:17" x14ac:dyDescent="0.3">
      <c r="A4089" t="s">
        <v>5217</v>
      </c>
      <c r="B4089" s="6">
        <v>44948</v>
      </c>
      <c r="C4089" s="6" t="str">
        <f t="shared" si="189"/>
        <v>Jan</v>
      </c>
      <c r="D4089" t="s">
        <v>2652</v>
      </c>
      <c r="E4089" t="s">
        <v>62</v>
      </c>
      <c r="F4089" t="s">
        <v>270</v>
      </c>
      <c r="G4089">
        <v>6</v>
      </c>
      <c r="H4089" s="7">
        <v>430.37</v>
      </c>
      <c r="I4089" t="s">
        <v>103</v>
      </c>
      <c r="J4089" t="s">
        <v>87</v>
      </c>
      <c r="K4089">
        <v>20</v>
      </c>
      <c r="L4089" s="7">
        <f t="shared" si="190"/>
        <v>2582.2200000000003</v>
      </c>
      <c r="M4089" s="7"/>
      <c r="O4089">
        <f t="shared" si="191"/>
        <v>3</v>
      </c>
      <c r="Q4089" t="s">
        <v>104</v>
      </c>
    </row>
    <row r="4090" spans="1:17" x14ac:dyDescent="0.3">
      <c r="A4090" t="s">
        <v>5218</v>
      </c>
      <c r="B4090" s="6">
        <v>45178</v>
      </c>
      <c r="C4090" s="6" t="str">
        <f t="shared" si="189"/>
        <v>Sep</v>
      </c>
      <c r="D4090" t="s">
        <v>990</v>
      </c>
      <c r="E4090" t="s">
        <v>31</v>
      </c>
      <c r="F4090" t="s">
        <v>198</v>
      </c>
      <c r="G4090">
        <v>2</v>
      </c>
      <c r="H4090" s="7">
        <v>299.44</v>
      </c>
      <c r="I4090" t="s">
        <v>46</v>
      </c>
      <c r="J4090" t="s">
        <v>28</v>
      </c>
      <c r="K4090">
        <v>15</v>
      </c>
      <c r="L4090" s="7">
        <f t="shared" si="190"/>
        <v>598.88</v>
      </c>
      <c r="M4090" s="7"/>
      <c r="O4090">
        <f t="shared" si="191"/>
        <v>2</v>
      </c>
      <c r="Q4090" t="s">
        <v>47</v>
      </c>
    </row>
    <row r="4091" spans="1:17" x14ac:dyDescent="0.3">
      <c r="A4091" t="s">
        <v>5219</v>
      </c>
      <c r="B4091" s="6">
        <v>45240</v>
      </c>
      <c r="C4091" s="6" t="str">
        <f t="shared" si="189"/>
        <v>Nov</v>
      </c>
      <c r="D4091" t="s">
        <v>286</v>
      </c>
      <c r="E4091" t="s">
        <v>40</v>
      </c>
      <c r="F4091" t="s">
        <v>366</v>
      </c>
      <c r="G4091">
        <v>6</v>
      </c>
      <c r="H4091" s="7">
        <v>170.99</v>
      </c>
      <c r="I4091" t="s">
        <v>64</v>
      </c>
      <c r="J4091" t="s">
        <v>72</v>
      </c>
      <c r="K4091">
        <v>20</v>
      </c>
      <c r="L4091" s="7">
        <f t="shared" si="190"/>
        <v>1025.94</v>
      </c>
      <c r="M4091" s="7"/>
      <c r="O4091">
        <f t="shared" si="191"/>
        <v>2</v>
      </c>
      <c r="Q4091" t="s">
        <v>65</v>
      </c>
    </row>
    <row r="4092" spans="1:17" x14ac:dyDescent="0.3">
      <c r="A4092" t="s">
        <v>5220</v>
      </c>
      <c r="B4092" s="6">
        <v>44991</v>
      </c>
      <c r="C4092" s="6" t="str">
        <f t="shared" si="189"/>
        <v>Mar</v>
      </c>
      <c r="D4092" t="s">
        <v>1383</v>
      </c>
      <c r="E4092" t="s">
        <v>36</v>
      </c>
      <c r="F4092" t="s">
        <v>488</v>
      </c>
      <c r="G4092">
        <v>6</v>
      </c>
      <c r="H4092" s="7">
        <v>252.16</v>
      </c>
      <c r="I4092" t="s">
        <v>103</v>
      </c>
      <c r="J4092" t="s">
        <v>19</v>
      </c>
      <c r="K4092">
        <v>0</v>
      </c>
      <c r="L4092" s="7">
        <f t="shared" si="190"/>
        <v>1512.96</v>
      </c>
      <c r="M4092" s="7"/>
      <c r="O4092">
        <f t="shared" si="191"/>
        <v>2</v>
      </c>
      <c r="Q4092" t="s">
        <v>104</v>
      </c>
    </row>
    <row r="4093" spans="1:17" x14ac:dyDescent="0.3">
      <c r="A4093" t="s">
        <v>5221</v>
      </c>
      <c r="B4093" s="6">
        <v>45152</v>
      </c>
      <c r="C4093" s="6" t="str">
        <f t="shared" si="189"/>
        <v>Aug</v>
      </c>
      <c r="D4093" t="s">
        <v>395</v>
      </c>
      <c r="E4093" t="s">
        <v>40</v>
      </c>
      <c r="F4093" t="s">
        <v>90</v>
      </c>
      <c r="G4093">
        <v>8</v>
      </c>
      <c r="H4093" s="7">
        <v>402.27</v>
      </c>
      <c r="I4093" t="s">
        <v>103</v>
      </c>
      <c r="J4093" t="s">
        <v>87</v>
      </c>
      <c r="K4093">
        <v>20</v>
      </c>
      <c r="L4093" s="7">
        <f t="shared" si="190"/>
        <v>3218.16</v>
      </c>
      <c r="M4093" s="7"/>
      <c r="O4093">
        <f t="shared" si="191"/>
        <v>4</v>
      </c>
      <c r="Q4093" t="s">
        <v>104</v>
      </c>
    </row>
    <row r="4094" spans="1:17" x14ac:dyDescent="0.3">
      <c r="A4094" t="s">
        <v>5222</v>
      </c>
      <c r="B4094" s="6">
        <v>45087</v>
      </c>
      <c r="C4094" s="6" t="str">
        <f t="shared" si="189"/>
        <v>Jun</v>
      </c>
      <c r="D4094" t="s">
        <v>1464</v>
      </c>
      <c r="E4094" t="s">
        <v>19</v>
      </c>
      <c r="F4094" t="s">
        <v>78</v>
      </c>
      <c r="G4094">
        <v>7</v>
      </c>
      <c r="H4094" s="7">
        <v>423.63</v>
      </c>
      <c r="I4094" t="s">
        <v>21</v>
      </c>
      <c r="J4094" t="s">
        <v>87</v>
      </c>
      <c r="K4094">
        <v>0</v>
      </c>
      <c r="L4094" s="7">
        <f t="shared" si="190"/>
        <v>2965.41</v>
      </c>
      <c r="M4094" s="7"/>
      <c r="O4094">
        <f t="shared" si="191"/>
        <v>3</v>
      </c>
      <c r="Q4094" t="s">
        <v>23</v>
      </c>
    </row>
    <row r="4095" spans="1:17" x14ac:dyDescent="0.3">
      <c r="A4095" t="s">
        <v>5223</v>
      </c>
      <c r="B4095" s="6">
        <v>45026</v>
      </c>
      <c r="C4095" s="6" t="str">
        <f t="shared" si="189"/>
        <v>Apr</v>
      </c>
      <c r="D4095" t="s">
        <v>245</v>
      </c>
      <c r="E4095" t="s">
        <v>36</v>
      </c>
      <c r="F4095" t="s">
        <v>450</v>
      </c>
      <c r="G4095">
        <v>8</v>
      </c>
      <c r="H4095" s="7">
        <v>62.18</v>
      </c>
      <c r="I4095" t="s">
        <v>64</v>
      </c>
      <c r="J4095" t="s">
        <v>72</v>
      </c>
      <c r="K4095">
        <v>5</v>
      </c>
      <c r="L4095" s="7">
        <f t="shared" si="190"/>
        <v>497.44</v>
      </c>
      <c r="M4095" s="7"/>
      <c r="O4095">
        <f t="shared" si="191"/>
        <v>2</v>
      </c>
      <c r="Q4095" t="s">
        <v>65</v>
      </c>
    </row>
    <row r="4096" spans="1:17" x14ac:dyDescent="0.3">
      <c r="A4096" t="s">
        <v>5224</v>
      </c>
      <c r="B4096" s="6">
        <v>45237</v>
      </c>
      <c r="C4096" s="6" t="str">
        <f t="shared" si="189"/>
        <v>Nov</v>
      </c>
      <c r="D4096" t="s">
        <v>2883</v>
      </c>
      <c r="E4096" t="s">
        <v>19</v>
      </c>
      <c r="F4096" t="s">
        <v>201</v>
      </c>
      <c r="G4096">
        <v>9</v>
      </c>
      <c r="H4096" s="7">
        <v>484.83</v>
      </c>
      <c r="I4096" t="s">
        <v>103</v>
      </c>
      <c r="J4096" t="s">
        <v>19</v>
      </c>
      <c r="K4096">
        <v>10</v>
      </c>
      <c r="L4096" s="7">
        <f t="shared" si="190"/>
        <v>4363.47</v>
      </c>
      <c r="M4096" s="7"/>
      <c r="O4096">
        <f t="shared" si="191"/>
        <v>5</v>
      </c>
      <c r="Q4096" t="s">
        <v>104</v>
      </c>
    </row>
    <row r="4097" spans="1:17" x14ac:dyDescent="0.3">
      <c r="A4097" t="s">
        <v>5225</v>
      </c>
      <c r="B4097" s="6">
        <v>44977</v>
      </c>
      <c r="C4097" s="6" t="str">
        <f t="shared" si="189"/>
        <v>Feb</v>
      </c>
      <c r="D4097" t="s">
        <v>1167</v>
      </c>
      <c r="E4097" t="s">
        <v>40</v>
      </c>
      <c r="F4097" t="s">
        <v>486</v>
      </c>
      <c r="G4097">
        <v>6</v>
      </c>
      <c r="H4097" s="7">
        <v>480.01</v>
      </c>
      <c r="I4097" t="s">
        <v>32</v>
      </c>
      <c r="J4097" t="s">
        <v>28</v>
      </c>
      <c r="K4097">
        <v>15</v>
      </c>
      <c r="L4097" s="7">
        <f t="shared" si="190"/>
        <v>2880.06</v>
      </c>
      <c r="M4097" s="7"/>
      <c r="O4097">
        <f t="shared" si="191"/>
        <v>3</v>
      </c>
      <c r="Q4097" t="s">
        <v>33</v>
      </c>
    </row>
    <row r="4098" spans="1:17" x14ac:dyDescent="0.3">
      <c r="A4098" t="s">
        <v>5226</v>
      </c>
      <c r="B4098" s="6">
        <v>45220</v>
      </c>
      <c r="C4098" s="6" t="str">
        <f t="shared" si="189"/>
        <v>Oct</v>
      </c>
      <c r="D4098" t="s">
        <v>1806</v>
      </c>
      <c r="E4098" t="s">
        <v>26</v>
      </c>
      <c r="F4098" t="s">
        <v>887</v>
      </c>
      <c r="G4098">
        <v>3</v>
      </c>
      <c r="H4098" s="7">
        <v>181.95</v>
      </c>
      <c r="I4098" t="s">
        <v>64</v>
      </c>
      <c r="J4098" t="s">
        <v>22</v>
      </c>
      <c r="K4098">
        <v>0</v>
      </c>
      <c r="L4098" s="7">
        <f t="shared" si="190"/>
        <v>545.84999999999991</v>
      </c>
      <c r="M4098" s="7"/>
      <c r="O4098">
        <f t="shared" si="191"/>
        <v>2</v>
      </c>
      <c r="Q4098" t="s">
        <v>65</v>
      </c>
    </row>
    <row r="4099" spans="1:17" x14ac:dyDescent="0.3">
      <c r="A4099" t="s">
        <v>5227</v>
      </c>
      <c r="B4099" s="6">
        <v>45123</v>
      </c>
      <c r="C4099" s="6" t="str">
        <f t="shared" ref="C4099:C4162" si="192">TEXT(B4099,"MMM")</f>
        <v>Jul</v>
      </c>
      <c r="D4099" t="s">
        <v>1048</v>
      </c>
      <c r="E4099" t="s">
        <v>19</v>
      </c>
      <c r="F4099" t="s">
        <v>383</v>
      </c>
      <c r="G4099">
        <v>3</v>
      </c>
      <c r="H4099" s="7">
        <v>37.619999999999997</v>
      </c>
      <c r="I4099" t="s">
        <v>19</v>
      </c>
      <c r="J4099" t="s">
        <v>22</v>
      </c>
      <c r="K4099">
        <v>10</v>
      </c>
      <c r="L4099" s="7">
        <f t="shared" ref="L4099:L4162" si="193">G4099*H4099</f>
        <v>112.85999999999999</v>
      </c>
      <c r="M4099" s="7"/>
      <c r="O4099">
        <f t="shared" si="191"/>
        <v>2</v>
      </c>
      <c r="Q4099" t="s">
        <v>19</v>
      </c>
    </row>
    <row r="4100" spans="1:17" x14ac:dyDescent="0.3">
      <c r="A4100" t="s">
        <v>5228</v>
      </c>
      <c r="B4100" s="6">
        <v>45033</v>
      </c>
      <c r="C4100" s="6" t="str">
        <f t="shared" si="192"/>
        <v>Apr</v>
      </c>
      <c r="D4100" t="s">
        <v>1355</v>
      </c>
      <c r="E4100" t="s">
        <v>26</v>
      </c>
      <c r="F4100" t="s">
        <v>54</v>
      </c>
      <c r="G4100">
        <v>1</v>
      </c>
      <c r="H4100" s="7">
        <v>87.69</v>
      </c>
      <c r="I4100" t="s">
        <v>32</v>
      </c>
      <c r="J4100" t="s">
        <v>42</v>
      </c>
      <c r="K4100">
        <v>5</v>
      </c>
      <c r="L4100" s="7">
        <f t="shared" si="193"/>
        <v>87.69</v>
      </c>
      <c r="M4100" s="7"/>
      <c r="O4100">
        <f t="shared" ref="O4100:O4163" si="194">IF(L4100&gt;3500,5,IF(L4100&gt;3000,4,IF(L4100&gt;2500,3,IF(L4100&gt;2000,2,IF(L4100&gt;1000,2,2)))))</f>
        <v>2</v>
      </c>
      <c r="Q4100" t="s">
        <v>33</v>
      </c>
    </row>
    <row r="4101" spans="1:17" x14ac:dyDescent="0.3">
      <c r="A4101" t="s">
        <v>5229</v>
      </c>
      <c r="B4101" s="6">
        <v>45260</v>
      </c>
      <c r="C4101" s="6" t="str">
        <f t="shared" si="192"/>
        <v>Nov</v>
      </c>
      <c r="D4101" t="s">
        <v>1770</v>
      </c>
      <c r="E4101" t="s">
        <v>19</v>
      </c>
      <c r="F4101" t="s">
        <v>486</v>
      </c>
      <c r="G4101">
        <v>5</v>
      </c>
      <c r="H4101" s="7">
        <v>496.45</v>
      </c>
      <c r="I4101" t="s">
        <v>103</v>
      </c>
      <c r="J4101" t="s">
        <v>19</v>
      </c>
      <c r="K4101">
        <v>10</v>
      </c>
      <c r="L4101" s="7">
        <f t="shared" si="193"/>
        <v>2482.25</v>
      </c>
      <c r="M4101" s="7"/>
      <c r="O4101">
        <f t="shared" si="194"/>
        <v>2</v>
      </c>
      <c r="Q4101" t="s">
        <v>104</v>
      </c>
    </row>
    <row r="4102" spans="1:17" x14ac:dyDescent="0.3">
      <c r="A4102" t="s">
        <v>5230</v>
      </c>
      <c r="B4102" s="6">
        <v>45001</v>
      </c>
      <c r="C4102" s="6" t="str">
        <f t="shared" si="192"/>
        <v>Mar</v>
      </c>
      <c r="D4102" t="s">
        <v>513</v>
      </c>
      <c r="E4102" t="s">
        <v>36</v>
      </c>
      <c r="F4102" t="s">
        <v>27</v>
      </c>
      <c r="G4102">
        <v>4</v>
      </c>
      <c r="H4102" s="7">
        <v>283.69</v>
      </c>
      <c r="I4102" t="s">
        <v>32</v>
      </c>
      <c r="J4102" t="s">
        <v>22</v>
      </c>
      <c r="K4102">
        <v>10</v>
      </c>
      <c r="L4102" s="7">
        <f t="shared" si="193"/>
        <v>1134.76</v>
      </c>
      <c r="M4102" s="7"/>
      <c r="O4102">
        <f t="shared" si="194"/>
        <v>2</v>
      </c>
      <c r="Q4102" t="s">
        <v>33</v>
      </c>
    </row>
    <row r="4103" spans="1:17" x14ac:dyDescent="0.3">
      <c r="A4103" t="s">
        <v>5231</v>
      </c>
      <c r="B4103" s="6">
        <v>44938</v>
      </c>
      <c r="C4103" s="6" t="str">
        <f t="shared" si="192"/>
        <v>Jan</v>
      </c>
      <c r="D4103" t="s">
        <v>2811</v>
      </c>
      <c r="E4103" t="s">
        <v>19</v>
      </c>
      <c r="F4103" t="s">
        <v>627</v>
      </c>
      <c r="G4103">
        <v>9</v>
      </c>
      <c r="H4103" s="7">
        <v>181.53</v>
      </c>
      <c r="I4103" t="s">
        <v>64</v>
      </c>
      <c r="J4103" t="s">
        <v>42</v>
      </c>
      <c r="K4103">
        <v>10</v>
      </c>
      <c r="L4103" s="7">
        <f t="shared" si="193"/>
        <v>1633.77</v>
      </c>
      <c r="M4103" s="7"/>
      <c r="O4103">
        <f t="shared" si="194"/>
        <v>2</v>
      </c>
      <c r="Q4103" t="s">
        <v>65</v>
      </c>
    </row>
    <row r="4104" spans="1:17" x14ac:dyDescent="0.3">
      <c r="A4104" t="s">
        <v>5232</v>
      </c>
      <c r="B4104" s="6">
        <v>45210</v>
      </c>
      <c r="C4104" s="6" t="str">
        <f t="shared" si="192"/>
        <v>Oct</v>
      </c>
      <c r="D4104" t="s">
        <v>686</v>
      </c>
      <c r="E4104" t="s">
        <v>31</v>
      </c>
      <c r="F4104" t="s">
        <v>205</v>
      </c>
      <c r="G4104">
        <v>9</v>
      </c>
      <c r="H4104" s="7">
        <v>147.66</v>
      </c>
      <c r="I4104" t="s">
        <v>103</v>
      </c>
      <c r="J4104" t="s">
        <v>28</v>
      </c>
      <c r="K4104">
        <v>0</v>
      </c>
      <c r="L4104" s="7">
        <f t="shared" si="193"/>
        <v>1328.94</v>
      </c>
      <c r="M4104" s="7"/>
      <c r="O4104">
        <f t="shared" si="194"/>
        <v>2</v>
      </c>
      <c r="Q4104" t="s">
        <v>104</v>
      </c>
    </row>
    <row r="4105" spans="1:17" x14ac:dyDescent="0.3">
      <c r="A4105" t="s">
        <v>5233</v>
      </c>
      <c r="B4105" s="6">
        <v>45264</v>
      </c>
      <c r="C4105" s="6" t="str">
        <f t="shared" si="192"/>
        <v>Dec</v>
      </c>
      <c r="D4105" t="s">
        <v>2915</v>
      </c>
      <c r="E4105" t="s">
        <v>26</v>
      </c>
      <c r="F4105" t="s">
        <v>107</v>
      </c>
      <c r="G4105">
        <v>5</v>
      </c>
      <c r="H4105" s="7">
        <v>132.21</v>
      </c>
      <c r="I4105" t="s">
        <v>103</v>
      </c>
      <c r="J4105" t="s">
        <v>22</v>
      </c>
      <c r="K4105">
        <v>5</v>
      </c>
      <c r="L4105" s="7">
        <f t="shared" si="193"/>
        <v>661.05000000000007</v>
      </c>
      <c r="M4105" s="7"/>
      <c r="O4105">
        <f t="shared" si="194"/>
        <v>2</v>
      </c>
      <c r="Q4105" t="s">
        <v>104</v>
      </c>
    </row>
    <row r="4106" spans="1:17" x14ac:dyDescent="0.3">
      <c r="A4106" t="s">
        <v>5234</v>
      </c>
      <c r="B4106" s="6">
        <v>45065</v>
      </c>
      <c r="C4106" s="6" t="str">
        <f t="shared" si="192"/>
        <v>May</v>
      </c>
      <c r="D4106" t="s">
        <v>3885</v>
      </c>
      <c r="E4106" t="s">
        <v>19</v>
      </c>
      <c r="F4106" t="s">
        <v>466</v>
      </c>
      <c r="G4106">
        <v>4</v>
      </c>
      <c r="H4106" s="7">
        <v>333.76</v>
      </c>
      <c r="I4106" t="s">
        <v>46</v>
      </c>
      <c r="J4106" t="s">
        <v>42</v>
      </c>
      <c r="K4106">
        <v>20</v>
      </c>
      <c r="L4106" s="7">
        <f t="shared" si="193"/>
        <v>1335.04</v>
      </c>
      <c r="M4106" s="7"/>
      <c r="O4106">
        <f t="shared" si="194"/>
        <v>2</v>
      </c>
      <c r="Q4106" t="s">
        <v>47</v>
      </c>
    </row>
    <row r="4107" spans="1:17" x14ac:dyDescent="0.3">
      <c r="A4107" t="s">
        <v>5235</v>
      </c>
      <c r="B4107" s="6">
        <v>45106</v>
      </c>
      <c r="C4107" s="6" t="str">
        <f t="shared" si="192"/>
        <v>Jun</v>
      </c>
      <c r="D4107" t="s">
        <v>53</v>
      </c>
      <c r="E4107" t="s">
        <v>31</v>
      </c>
      <c r="F4107" t="s">
        <v>504</v>
      </c>
      <c r="G4107">
        <v>7</v>
      </c>
      <c r="H4107" s="7">
        <v>212.6</v>
      </c>
      <c r="I4107" t="s">
        <v>46</v>
      </c>
      <c r="J4107" t="s">
        <v>28</v>
      </c>
      <c r="K4107">
        <v>10</v>
      </c>
      <c r="L4107" s="7">
        <f t="shared" si="193"/>
        <v>1488.2</v>
      </c>
      <c r="M4107" s="7"/>
      <c r="O4107">
        <f t="shared" si="194"/>
        <v>2</v>
      </c>
      <c r="Q4107" t="s">
        <v>47</v>
      </c>
    </row>
    <row r="4108" spans="1:17" x14ac:dyDescent="0.3">
      <c r="A4108" t="s">
        <v>5236</v>
      </c>
      <c r="B4108" s="6">
        <v>45227</v>
      </c>
      <c r="C4108" s="6" t="str">
        <f t="shared" si="192"/>
        <v>Oct</v>
      </c>
      <c r="D4108" t="s">
        <v>2340</v>
      </c>
      <c r="E4108" t="s">
        <v>19</v>
      </c>
      <c r="F4108" t="s">
        <v>417</v>
      </c>
      <c r="G4108">
        <v>6</v>
      </c>
      <c r="H4108" s="7">
        <v>482.88</v>
      </c>
      <c r="I4108" t="s">
        <v>46</v>
      </c>
      <c r="J4108" t="s">
        <v>28</v>
      </c>
      <c r="K4108">
        <v>5</v>
      </c>
      <c r="L4108" s="7">
        <f t="shared" si="193"/>
        <v>2897.2799999999997</v>
      </c>
      <c r="M4108" s="7"/>
      <c r="O4108">
        <f t="shared" si="194"/>
        <v>3</v>
      </c>
      <c r="Q4108" t="s">
        <v>47</v>
      </c>
    </row>
    <row r="4109" spans="1:17" x14ac:dyDescent="0.3">
      <c r="A4109" t="s">
        <v>5237</v>
      </c>
      <c r="B4109" s="6">
        <v>45003</v>
      </c>
      <c r="C4109" s="6" t="str">
        <f t="shared" si="192"/>
        <v>Mar</v>
      </c>
      <c r="D4109" t="s">
        <v>2550</v>
      </c>
      <c r="E4109" t="s">
        <v>50</v>
      </c>
      <c r="F4109" t="s">
        <v>366</v>
      </c>
      <c r="G4109">
        <v>4</v>
      </c>
      <c r="H4109" s="7">
        <v>343.5</v>
      </c>
      <c r="I4109" t="s">
        <v>32</v>
      </c>
      <c r="J4109" t="s">
        <v>42</v>
      </c>
      <c r="K4109">
        <v>5</v>
      </c>
      <c r="L4109" s="7">
        <f t="shared" si="193"/>
        <v>1374</v>
      </c>
      <c r="M4109" s="7"/>
      <c r="O4109">
        <f t="shared" si="194"/>
        <v>2</v>
      </c>
      <c r="Q4109" t="s">
        <v>33</v>
      </c>
    </row>
    <row r="4110" spans="1:17" x14ac:dyDescent="0.3">
      <c r="A4110" t="s">
        <v>5238</v>
      </c>
      <c r="B4110" s="6">
        <v>45080</v>
      </c>
      <c r="C4110" s="6" t="str">
        <f t="shared" si="192"/>
        <v>Jun</v>
      </c>
      <c r="D4110" t="s">
        <v>1605</v>
      </c>
      <c r="E4110" t="s">
        <v>50</v>
      </c>
      <c r="F4110" t="s">
        <v>1618</v>
      </c>
      <c r="G4110">
        <v>2</v>
      </c>
      <c r="H4110" s="7">
        <v>397.06</v>
      </c>
      <c r="I4110" t="s">
        <v>19</v>
      </c>
      <c r="J4110" t="s">
        <v>19</v>
      </c>
      <c r="K4110">
        <v>5</v>
      </c>
      <c r="L4110" s="7">
        <f t="shared" si="193"/>
        <v>794.12</v>
      </c>
      <c r="M4110" s="7"/>
      <c r="O4110">
        <f t="shared" si="194"/>
        <v>2</v>
      </c>
      <c r="Q4110" t="s">
        <v>19</v>
      </c>
    </row>
    <row r="4111" spans="1:17" x14ac:dyDescent="0.3">
      <c r="A4111" t="s">
        <v>5239</v>
      </c>
      <c r="B4111" s="6">
        <v>45146</v>
      </c>
      <c r="C4111" s="6" t="str">
        <f t="shared" si="192"/>
        <v>Aug</v>
      </c>
      <c r="D4111" t="s">
        <v>3596</v>
      </c>
      <c r="E4111" t="s">
        <v>36</v>
      </c>
      <c r="F4111" t="s">
        <v>198</v>
      </c>
      <c r="G4111">
        <v>1</v>
      </c>
      <c r="H4111" s="7">
        <v>149.91</v>
      </c>
      <c r="I4111" t="s">
        <v>64</v>
      </c>
      <c r="J4111" t="s">
        <v>19</v>
      </c>
      <c r="K4111">
        <v>0</v>
      </c>
      <c r="L4111" s="7">
        <f t="shared" si="193"/>
        <v>149.91</v>
      </c>
      <c r="M4111" s="7"/>
      <c r="O4111">
        <f t="shared" si="194"/>
        <v>2</v>
      </c>
      <c r="Q4111" t="s">
        <v>65</v>
      </c>
    </row>
    <row r="4112" spans="1:17" x14ac:dyDescent="0.3">
      <c r="A4112" t="s">
        <v>5240</v>
      </c>
      <c r="B4112" s="6">
        <v>45007</v>
      </c>
      <c r="C4112" s="6" t="str">
        <f t="shared" si="192"/>
        <v>Mar</v>
      </c>
      <c r="D4112" t="s">
        <v>349</v>
      </c>
      <c r="E4112" t="s">
        <v>19</v>
      </c>
      <c r="F4112" t="s">
        <v>909</v>
      </c>
      <c r="G4112">
        <v>4</v>
      </c>
      <c r="H4112" s="7">
        <v>44.2</v>
      </c>
      <c r="I4112" t="s">
        <v>32</v>
      </c>
      <c r="J4112" t="s">
        <v>42</v>
      </c>
      <c r="K4112">
        <v>10</v>
      </c>
      <c r="L4112" s="7">
        <f t="shared" si="193"/>
        <v>176.8</v>
      </c>
      <c r="M4112" s="7"/>
      <c r="O4112">
        <f t="shared" si="194"/>
        <v>2</v>
      </c>
      <c r="Q4112" t="s">
        <v>33</v>
      </c>
    </row>
    <row r="4113" spans="1:17" x14ac:dyDescent="0.3">
      <c r="A4113" t="s">
        <v>5241</v>
      </c>
      <c r="B4113" s="6">
        <v>45086</v>
      </c>
      <c r="C4113" s="6" t="str">
        <f t="shared" si="192"/>
        <v>Jun</v>
      </c>
      <c r="D4113" t="s">
        <v>4044</v>
      </c>
      <c r="E4113" t="s">
        <v>26</v>
      </c>
      <c r="F4113" t="s">
        <v>170</v>
      </c>
      <c r="G4113">
        <v>4</v>
      </c>
      <c r="H4113" s="7">
        <v>246.47</v>
      </c>
      <c r="I4113" t="s">
        <v>46</v>
      </c>
      <c r="J4113" t="s">
        <v>22</v>
      </c>
      <c r="K4113">
        <v>0</v>
      </c>
      <c r="L4113" s="7">
        <f t="shared" si="193"/>
        <v>985.88</v>
      </c>
      <c r="M4113" s="7"/>
      <c r="O4113">
        <f t="shared" si="194"/>
        <v>2</v>
      </c>
      <c r="Q4113" t="s">
        <v>47</v>
      </c>
    </row>
    <row r="4114" spans="1:17" x14ac:dyDescent="0.3">
      <c r="A4114" t="s">
        <v>5242</v>
      </c>
      <c r="B4114" s="6">
        <v>45097</v>
      </c>
      <c r="C4114" s="6" t="str">
        <f t="shared" si="192"/>
        <v>Jun</v>
      </c>
      <c r="D4114" t="s">
        <v>1278</v>
      </c>
      <c r="E4114" t="s">
        <v>26</v>
      </c>
      <c r="F4114" t="s">
        <v>417</v>
      </c>
      <c r="G4114">
        <v>1</v>
      </c>
      <c r="H4114" s="7">
        <v>160.72</v>
      </c>
      <c r="I4114" t="s">
        <v>19</v>
      </c>
      <c r="J4114" t="s">
        <v>22</v>
      </c>
      <c r="K4114">
        <v>10</v>
      </c>
      <c r="L4114" s="7">
        <f t="shared" si="193"/>
        <v>160.72</v>
      </c>
      <c r="M4114" s="7"/>
      <c r="O4114">
        <f t="shared" si="194"/>
        <v>2</v>
      </c>
      <c r="Q4114" t="s">
        <v>19</v>
      </c>
    </row>
    <row r="4115" spans="1:17" x14ac:dyDescent="0.3">
      <c r="A4115" t="s">
        <v>5243</v>
      </c>
      <c r="B4115" s="6">
        <v>45119</v>
      </c>
      <c r="C4115" s="6" t="str">
        <f t="shared" si="192"/>
        <v>Jul</v>
      </c>
      <c r="D4115" t="s">
        <v>5154</v>
      </c>
      <c r="E4115" t="s">
        <v>31</v>
      </c>
      <c r="F4115" t="s">
        <v>20</v>
      </c>
      <c r="G4115">
        <v>6</v>
      </c>
      <c r="H4115" s="7">
        <v>105.03</v>
      </c>
      <c r="I4115" t="s">
        <v>19</v>
      </c>
      <c r="J4115" t="s">
        <v>72</v>
      </c>
      <c r="K4115">
        <v>10</v>
      </c>
      <c r="L4115" s="7">
        <f t="shared" si="193"/>
        <v>630.18000000000006</v>
      </c>
      <c r="M4115" s="7"/>
      <c r="O4115">
        <f t="shared" si="194"/>
        <v>2</v>
      </c>
      <c r="Q4115" t="s">
        <v>19</v>
      </c>
    </row>
    <row r="4116" spans="1:17" x14ac:dyDescent="0.3">
      <c r="A4116" t="s">
        <v>5244</v>
      </c>
      <c r="B4116" s="6">
        <v>45182</v>
      </c>
      <c r="C4116" s="6" t="str">
        <f t="shared" si="192"/>
        <v>Sep</v>
      </c>
      <c r="D4116" t="s">
        <v>2596</v>
      </c>
      <c r="E4116" t="s">
        <v>50</v>
      </c>
      <c r="F4116" t="s">
        <v>1038</v>
      </c>
      <c r="G4116">
        <v>4</v>
      </c>
      <c r="H4116" s="7">
        <v>476.56</v>
      </c>
      <c r="I4116" t="s">
        <v>103</v>
      </c>
      <c r="J4116" t="s">
        <v>28</v>
      </c>
      <c r="K4116">
        <v>0</v>
      </c>
      <c r="L4116" s="7">
        <f t="shared" si="193"/>
        <v>1906.24</v>
      </c>
      <c r="M4116" s="7"/>
      <c r="O4116">
        <f t="shared" si="194"/>
        <v>2</v>
      </c>
      <c r="Q4116" t="s">
        <v>104</v>
      </c>
    </row>
    <row r="4117" spans="1:17" x14ac:dyDescent="0.3">
      <c r="A4117" t="s">
        <v>5245</v>
      </c>
      <c r="B4117" s="6">
        <v>45182</v>
      </c>
      <c r="C4117" s="6" t="str">
        <f t="shared" si="192"/>
        <v>Sep</v>
      </c>
      <c r="D4117" t="s">
        <v>758</v>
      </c>
      <c r="E4117" t="s">
        <v>62</v>
      </c>
      <c r="F4117" t="s">
        <v>665</v>
      </c>
      <c r="G4117">
        <v>1</v>
      </c>
      <c r="H4117" s="7">
        <v>224.77</v>
      </c>
      <c r="I4117" t="s">
        <v>103</v>
      </c>
      <c r="J4117" t="s">
        <v>19</v>
      </c>
      <c r="K4117">
        <v>10</v>
      </c>
      <c r="L4117" s="7">
        <f t="shared" si="193"/>
        <v>224.77</v>
      </c>
      <c r="M4117" s="7"/>
      <c r="O4117">
        <f t="shared" si="194"/>
        <v>2</v>
      </c>
      <c r="Q4117" t="s">
        <v>104</v>
      </c>
    </row>
    <row r="4118" spans="1:17" x14ac:dyDescent="0.3">
      <c r="A4118" t="s">
        <v>5246</v>
      </c>
      <c r="B4118" s="6">
        <v>44964</v>
      </c>
      <c r="C4118" s="6" t="str">
        <f t="shared" si="192"/>
        <v>Feb</v>
      </c>
      <c r="D4118" t="s">
        <v>611</v>
      </c>
      <c r="E4118" t="s">
        <v>26</v>
      </c>
      <c r="F4118" t="s">
        <v>887</v>
      </c>
      <c r="G4118">
        <v>1</v>
      </c>
      <c r="H4118" s="7">
        <v>91.48</v>
      </c>
      <c r="I4118" t="s">
        <v>46</v>
      </c>
      <c r="J4118" t="s">
        <v>42</v>
      </c>
      <c r="K4118">
        <v>5</v>
      </c>
      <c r="L4118" s="7">
        <f t="shared" si="193"/>
        <v>91.48</v>
      </c>
      <c r="M4118" s="7"/>
      <c r="O4118">
        <f t="shared" si="194"/>
        <v>2</v>
      </c>
      <c r="Q4118" t="s">
        <v>47</v>
      </c>
    </row>
    <row r="4119" spans="1:17" x14ac:dyDescent="0.3">
      <c r="A4119" t="s">
        <v>5247</v>
      </c>
      <c r="B4119" s="6">
        <v>45257</v>
      </c>
      <c r="C4119" s="6" t="str">
        <f t="shared" si="192"/>
        <v>Nov</v>
      </c>
      <c r="D4119" t="s">
        <v>1809</v>
      </c>
      <c r="E4119" t="s">
        <v>26</v>
      </c>
      <c r="F4119" t="s">
        <v>145</v>
      </c>
      <c r="G4119">
        <v>1</v>
      </c>
      <c r="H4119" s="7">
        <v>103.33</v>
      </c>
      <c r="I4119" t="s">
        <v>32</v>
      </c>
      <c r="J4119" t="s">
        <v>22</v>
      </c>
      <c r="K4119">
        <v>0</v>
      </c>
      <c r="L4119" s="7">
        <f t="shared" si="193"/>
        <v>103.33</v>
      </c>
      <c r="M4119" s="7"/>
      <c r="O4119">
        <f t="shared" si="194"/>
        <v>2</v>
      </c>
      <c r="Q4119" t="s">
        <v>33</v>
      </c>
    </row>
    <row r="4120" spans="1:17" x14ac:dyDescent="0.3">
      <c r="A4120" t="s">
        <v>5248</v>
      </c>
      <c r="B4120" s="6">
        <v>45079</v>
      </c>
      <c r="C4120" s="6" t="str">
        <f t="shared" si="192"/>
        <v>Jun</v>
      </c>
      <c r="D4120" t="s">
        <v>1044</v>
      </c>
      <c r="E4120" t="s">
        <v>19</v>
      </c>
      <c r="F4120" t="s">
        <v>190</v>
      </c>
      <c r="G4120">
        <v>8</v>
      </c>
      <c r="H4120" s="7">
        <v>143.94999999999999</v>
      </c>
      <c r="I4120" t="s">
        <v>64</v>
      </c>
      <c r="J4120" t="s">
        <v>19</v>
      </c>
      <c r="K4120">
        <v>10</v>
      </c>
      <c r="L4120" s="7">
        <f t="shared" si="193"/>
        <v>1151.5999999999999</v>
      </c>
      <c r="M4120" s="7"/>
      <c r="O4120">
        <f t="shared" si="194"/>
        <v>2</v>
      </c>
      <c r="Q4120" t="s">
        <v>65</v>
      </c>
    </row>
    <row r="4121" spans="1:17" x14ac:dyDescent="0.3">
      <c r="A4121" t="s">
        <v>5249</v>
      </c>
      <c r="B4121" s="6">
        <v>45248</v>
      </c>
      <c r="C4121" s="6" t="str">
        <f t="shared" si="192"/>
        <v>Nov</v>
      </c>
      <c r="D4121" t="s">
        <v>2420</v>
      </c>
      <c r="E4121" t="s">
        <v>62</v>
      </c>
      <c r="F4121" t="s">
        <v>665</v>
      </c>
      <c r="G4121">
        <v>8</v>
      </c>
      <c r="H4121" s="7">
        <v>499.66</v>
      </c>
      <c r="I4121" t="s">
        <v>19</v>
      </c>
      <c r="J4121" t="s">
        <v>87</v>
      </c>
      <c r="K4121">
        <v>10</v>
      </c>
      <c r="L4121" s="7">
        <f t="shared" si="193"/>
        <v>3997.28</v>
      </c>
      <c r="M4121" s="7"/>
      <c r="O4121">
        <f t="shared" si="194"/>
        <v>5</v>
      </c>
      <c r="Q4121" t="s">
        <v>19</v>
      </c>
    </row>
    <row r="4122" spans="1:17" x14ac:dyDescent="0.3">
      <c r="A4122" t="s">
        <v>5250</v>
      </c>
      <c r="B4122" s="6">
        <v>45102</v>
      </c>
      <c r="C4122" s="6" t="str">
        <f t="shared" si="192"/>
        <v>Jun</v>
      </c>
      <c r="D4122" t="s">
        <v>710</v>
      </c>
      <c r="E4122" t="s">
        <v>50</v>
      </c>
      <c r="F4122" t="s">
        <v>1251</v>
      </c>
      <c r="G4122">
        <v>2</v>
      </c>
      <c r="H4122" s="7">
        <v>137.66999999999999</v>
      </c>
      <c r="I4122" t="s">
        <v>103</v>
      </c>
      <c r="J4122" t="s">
        <v>19</v>
      </c>
      <c r="K4122">
        <v>0</v>
      </c>
      <c r="L4122" s="7">
        <f t="shared" si="193"/>
        <v>275.33999999999997</v>
      </c>
      <c r="M4122" s="7"/>
      <c r="O4122">
        <f t="shared" si="194"/>
        <v>2</v>
      </c>
      <c r="Q4122" t="s">
        <v>104</v>
      </c>
    </row>
    <row r="4123" spans="1:17" x14ac:dyDescent="0.3">
      <c r="A4123" t="s">
        <v>5251</v>
      </c>
      <c r="B4123" s="6">
        <v>45215</v>
      </c>
      <c r="C4123" s="6" t="str">
        <f t="shared" si="192"/>
        <v>Oct</v>
      </c>
      <c r="D4123" t="s">
        <v>889</v>
      </c>
      <c r="E4123" t="s">
        <v>26</v>
      </c>
      <c r="F4123" t="s">
        <v>450</v>
      </c>
      <c r="G4123">
        <v>7</v>
      </c>
      <c r="H4123" s="7">
        <v>167.76</v>
      </c>
      <c r="I4123" t="s">
        <v>46</v>
      </c>
      <c r="J4123" t="s">
        <v>42</v>
      </c>
      <c r="K4123">
        <v>15</v>
      </c>
      <c r="L4123" s="7">
        <f t="shared" si="193"/>
        <v>1174.32</v>
      </c>
      <c r="M4123" s="7"/>
      <c r="O4123">
        <f t="shared" si="194"/>
        <v>2</v>
      </c>
      <c r="Q4123" t="s">
        <v>47</v>
      </c>
    </row>
    <row r="4124" spans="1:17" x14ac:dyDescent="0.3">
      <c r="A4124" t="s">
        <v>5252</v>
      </c>
      <c r="B4124" s="6">
        <v>45120</v>
      </c>
      <c r="C4124" s="6" t="str">
        <f t="shared" si="192"/>
        <v>Jul</v>
      </c>
      <c r="D4124" t="s">
        <v>2968</v>
      </c>
      <c r="E4124" t="s">
        <v>36</v>
      </c>
      <c r="F4124" t="s">
        <v>586</v>
      </c>
      <c r="G4124">
        <v>8</v>
      </c>
      <c r="H4124" s="7">
        <v>331.37</v>
      </c>
      <c r="I4124" t="s">
        <v>46</v>
      </c>
      <c r="J4124" t="s">
        <v>22</v>
      </c>
      <c r="K4124">
        <v>0</v>
      </c>
      <c r="L4124" s="7">
        <f t="shared" si="193"/>
        <v>2650.96</v>
      </c>
      <c r="M4124" s="7"/>
      <c r="O4124">
        <f t="shared" si="194"/>
        <v>3</v>
      </c>
      <c r="Q4124" t="s">
        <v>47</v>
      </c>
    </row>
    <row r="4125" spans="1:17" x14ac:dyDescent="0.3">
      <c r="A4125" t="s">
        <v>5253</v>
      </c>
      <c r="B4125" s="6">
        <v>45147</v>
      </c>
      <c r="C4125" s="6" t="str">
        <f t="shared" si="192"/>
        <v>Aug</v>
      </c>
      <c r="D4125" t="s">
        <v>5254</v>
      </c>
      <c r="E4125" t="s">
        <v>36</v>
      </c>
      <c r="F4125" t="s">
        <v>125</v>
      </c>
      <c r="G4125">
        <v>8</v>
      </c>
      <c r="H4125" s="7">
        <v>150.51</v>
      </c>
      <c r="I4125" t="s">
        <v>32</v>
      </c>
      <c r="J4125" t="s">
        <v>87</v>
      </c>
      <c r="K4125">
        <v>0</v>
      </c>
      <c r="L4125" s="7">
        <f t="shared" si="193"/>
        <v>1204.08</v>
      </c>
      <c r="M4125" s="7"/>
      <c r="O4125">
        <f t="shared" si="194"/>
        <v>2</v>
      </c>
      <c r="Q4125" t="s">
        <v>33</v>
      </c>
    </row>
    <row r="4126" spans="1:17" x14ac:dyDescent="0.3">
      <c r="A4126" t="s">
        <v>5255</v>
      </c>
      <c r="B4126" s="6">
        <v>45248</v>
      </c>
      <c r="C4126" s="6" t="str">
        <f t="shared" si="192"/>
        <v>Nov</v>
      </c>
      <c r="D4126" t="s">
        <v>3596</v>
      </c>
      <c r="E4126" t="s">
        <v>62</v>
      </c>
      <c r="F4126" t="s">
        <v>789</v>
      </c>
      <c r="G4126">
        <v>7</v>
      </c>
      <c r="H4126" s="7">
        <v>111.82</v>
      </c>
      <c r="I4126" t="s">
        <v>21</v>
      </c>
      <c r="J4126" t="s">
        <v>87</v>
      </c>
      <c r="K4126">
        <v>0</v>
      </c>
      <c r="L4126" s="7">
        <f t="shared" si="193"/>
        <v>782.74</v>
      </c>
      <c r="M4126" s="7"/>
      <c r="O4126">
        <f t="shared" si="194"/>
        <v>2</v>
      </c>
      <c r="Q4126" t="s">
        <v>23</v>
      </c>
    </row>
    <row r="4127" spans="1:17" x14ac:dyDescent="0.3">
      <c r="A4127" t="s">
        <v>5256</v>
      </c>
      <c r="B4127" s="6">
        <v>45161</v>
      </c>
      <c r="C4127" s="6" t="str">
        <f t="shared" si="192"/>
        <v>Aug</v>
      </c>
      <c r="D4127" t="s">
        <v>1940</v>
      </c>
      <c r="E4127" t="s">
        <v>19</v>
      </c>
      <c r="F4127" t="s">
        <v>107</v>
      </c>
      <c r="G4127">
        <v>5</v>
      </c>
      <c r="H4127" s="7">
        <v>83.53</v>
      </c>
      <c r="I4127" t="s">
        <v>64</v>
      </c>
      <c r="J4127" t="s">
        <v>22</v>
      </c>
      <c r="K4127">
        <v>10</v>
      </c>
      <c r="L4127" s="7">
        <f t="shared" si="193"/>
        <v>417.65</v>
      </c>
      <c r="M4127" s="7"/>
      <c r="O4127">
        <f t="shared" si="194"/>
        <v>2</v>
      </c>
      <c r="Q4127" t="s">
        <v>65</v>
      </c>
    </row>
    <row r="4128" spans="1:17" x14ac:dyDescent="0.3">
      <c r="A4128" t="s">
        <v>5257</v>
      </c>
      <c r="B4128" s="6">
        <v>45105</v>
      </c>
      <c r="C4128" s="6" t="str">
        <f t="shared" si="192"/>
        <v>Jun</v>
      </c>
      <c r="D4128" t="s">
        <v>1995</v>
      </c>
      <c r="E4128" t="s">
        <v>62</v>
      </c>
      <c r="F4128" t="s">
        <v>222</v>
      </c>
      <c r="G4128">
        <v>1</v>
      </c>
      <c r="H4128" s="7">
        <v>159.78</v>
      </c>
      <c r="I4128" t="s">
        <v>32</v>
      </c>
      <c r="J4128" t="s">
        <v>42</v>
      </c>
      <c r="K4128">
        <v>0</v>
      </c>
      <c r="L4128" s="7">
        <f t="shared" si="193"/>
        <v>159.78</v>
      </c>
      <c r="M4128" s="7"/>
      <c r="O4128">
        <f t="shared" si="194"/>
        <v>2</v>
      </c>
      <c r="Q4128" t="s">
        <v>33</v>
      </c>
    </row>
    <row r="4129" spans="1:17" x14ac:dyDescent="0.3">
      <c r="A4129" t="s">
        <v>5258</v>
      </c>
      <c r="B4129" s="6">
        <v>45064</v>
      </c>
      <c r="C4129" s="6" t="str">
        <f t="shared" si="192"/>
        <v>May</v>
      </c>
      <c r="D4129" t="s">
        <v>1423</v>
      </c>
      <c r="E4129" t="s">
        <v>19</v>
      </c>
      <c r="F4129" t="s">
        <v>369</v>
      </c>
      <c r="G4129">
        <v>9</v>
      </c>
      <c r="H4129" s="7">
        <v>57.43</v>
      </c>
      <c r="I4129" t="s">
        <v>64</v>
      </c>
      <c r="J4129" t="s">
        <v>28</v>
      </c>
      <c r="K4129">
        <v>15</v>
      </c>
      <c r="L4129" s="7">
        <f t="shared" si="193"/>
        <v>516.87</v>
      </c>
      <c r="M4129" s="7"/>
      <c r="O4129">
        <f t="shared" si="194"/>
        <v>2</v>
      </c>
      <c r="Q4129" t="s">
        <v>65</v>
      </c>
    </row>
    <row r="4130" spans="1:17" x14ac:dyDescent="0.3">
      <c r="A4130" t="s">
        <v>5259</v>
      </c>
      <c r="B4130" s="6">
        <v>44957</v>
      </c>
      <c r="C4130" s="6" t="str">
        <f t="shared" si="192"/>
        <v>Jan</v>
      </c>
      <c r="D4130" t="s">
        <v>3732</v>
      </c>
      <c r="E4130" t="s">
        <v>19</v>
      </c>
      <c r="F4130" t="s">
        <v>363</v>
      </c>
      <c r="G4130">
        <v>7</v>
      </c>
      <c r="H4130" s="7">
        <v>252.16</v>
      </c>
      <c r="I4130" t="s">
        <v>103</v>
      </c>
      <c r="J4130" t="s">
        <v>87</v>
      </c>
      <c r="K4130">
        <v>20</v>
      </c>
      <c r="L4130" s="7">
        <f t="shared" si="193"/>
        <v>1765.12</v>
      </c>
      <c r="M4130" s="7"/>
      <c r="O4130">
        <f t="shared" si="194"/>
        <v>2</v>
      </c>
      <c r="Q4130" t="s">
        <v>104</v>
      </c>
    </row>
    <row r="4131" spans="1:17" x14ac:dyDescent="0.3">
      <c r="A4131" t="s">
        <v>5260</v>
      </c>
      <c r="B4131" s="6">
        <v>45023</v>
      </c>
      <c r="C4131" s="6" t="str">
        <f t="shared" si="192"/>
        <v>Apr</v>
      </c>
      <c r="D4131" t="s">
        <v>1323</v>
      </c>
      <c r="E4131" t="s">
        <v>50</v>
      </c>
      <c r="F4131" t="s">
        <v>37</v>
      </c>
      <c r="G4131">
        <v>2</v>
      </c>
      <c r="H4131" s="7">
        <v>252.16</v>
      </c>
      <c r="I4131" t="s">
        <v>19</v>
      </c>
      <c r="J4131" t="s">
        <v>28</v>
      </c>
      <c r="K4131">
        <v>0</v>
      </c>
      <c r="L4131" s="7">
        <f t="shared" si="193"/>
        <v>504.32</v>
      </c>
      <c r="M4131" s="7"/>
      <c r="O4131">
        <f t="shared" si="194"/>
        <v>2</v>
      </c>
      <c r="Q4131" t="s">
        <v>19</v>
      </c>
    </row>
    <row r="4132" spans="1:17" x14ac:dyDescent="0.3">
      <c r="A4132" t="s">
        <v>5261</v>
      </c>
      <c r="B4132" s="6">
        <v>45063</v>
      </c>
      <c r="C4132" s="6" t="str">
        <f t="shared" si="192"/>
        <v>May</v>
      </c>
      <c r="D4132" t="s">
        <v>553</v>
      </c>
      <c r="E4132" t="s">
        <v>50</v>
      </c>
      <c r="F4132" t="s">
        <v>160</v>
      </c>
      <c r="G4132">
        <v>6</v>
      </c>
      <c r="H4132" s="7">
        <v>73.260000000000005</v>
      </c>
      <c r="I4132" t="s">
        <v>19</v>
      </c>
      <c r="J4132" t="s">
        <v>28</v>
      </c>
      <c r="K4132">
        <v>10</v>
      </c>
      <c r="L4132" s="7">
        <f t="shared" si="193"/>
        <v>439.56000000000006</v>
      </c>
      <c r="M4132" s="7"/>
      <c r="O4132">
        <f t="shared" si="194"/>
        <v>2</v>
      </c>
      <c r="Q4132" t="s">
        <v>19</v>
      </c>
    </row>
    <row r="4133" spans="1:17" x14ac:dyDescent="0.3">
      <c r="A4133" t="s">
        <v>5262</v>
      </c>
      <c r="B4133" s="6">
        <v>44995</v>
      </c>
      <c r="C4133" s="6" t="str">
        <f t="shared" si="192"/>
        <v>Mar</v>
      </c>
      <c r="D4133" t="s">
        <v>167</v>
      </c>
      <c r="E4133" t="s">
        <v>50</v>
      </c>
      <c r="F4133" t="s">
        <v>68</v>
      </c>
      <c r="G4133">
        <v>2</v>
      </c>
      <c r="H4133" s="7">
        <v>389.11</v>
      </c>
      <c r="I4133" t="s">
        <v>103</v>
      </c>
      <c r="J4133" t="s">
        <v>42</v>
      </c>
      <c r="K4133">
        <v>15</v>
      </c>
      <c r="L4133" s="7">
        <f t="shared" si="193"/>
        <v>778.22</v>
      </c>
      <c r="M4133" s="7"/>
      <c r="O4133">
        <f t="shared" si="194"/>
        <v>2</v>
      </c>
      <c r="Q4133" t="s">
        <v>104</v>
      </c>
    </row>
    <row r="4134" spans="1:17" x14ac:dyDescent="0.3">
      <c r="A4134" t="s">
        <v>5263</v>
      </c>
      <c r="B4134" s="6">
        <v>44973</v>
      </c>
      <c r="C4134" s="6" t="str">
        <f t="shared" si="192"/>
        <v>Feb</v>
      </c>
      <c r="D4134" t="s">
        <v>1231</v>
      </c>
      <c r="E4134" t="s">
        <v>36</v>
      </c>
      <c r="F4134" t="s">
        <v>254</v>
      </c>
      <c r="G4134">
        <v>1</v>
      </c>
      <c r="H4134" s="7">
        <v>399.78</v>
      </c>
      <c r="I4134" t="s">
        <v>19</v>
      </c>
      <c r="J4134" t="s">
        <v>42</v>
      </c>
      <c r="K4134">
        <v>20</v>
      </c>
      <c r="L4134" s="7">
        <f t="shared" si="193"/>
        <v>399.78</v>
      </c>
      <c r="M4134" s="7"/>
      <c r="O4134">
        <f t="shared" si="194"/>
        <v>2</v>
      </c>
      <c r="Q4134" t="s">
        <v>19</v>
      </c>
    </row>
    <row r="4135" spans="1:17" x14ac:dyDescent="0.3">
      <c r="A4135" t="s">
        <v>5264</v>
      </c>
      <c r="B4135" s="6">
        <v>44952</v>
      </c>
      <c r="C4135" s="6" t="str">
        <f t="shared" si="192"/>
        <v>Jan</v>
      </c>
      <c r="D4135" t="s">
        <v>3751</v>
      </c>
      <c r="E4135" t="s">
        <v>62</v>
      </c>
      <c r="F4135" t="s">
        <v>1568</v>
      </c>
      <c r="G4135">
        <v>7</v>
      </c>
      <c r="H4135" s="7">
        <v>271.27</v>
      </c>
      <c r="I4135" t="s">
        <v>21</v>
      </c>
      <c r="J4135" t="s">
        <v>42</v>
      </c>
      <c r="K4135">
        <v>10</v>
      </c>
      <c r="L4135" s="7">
        <f t="shared" si="193"/>
        <v>1898.8899999999999</v>
      </c>
      <c r="M4135" s="7"/>
      <c r="O4135">
        <f t="shared" si="194"/>
        <v>2</v>
      </c>
      <c r="Q4135" t="s">
        <v>23</v>
      </c>
    </row>
    <row r="4136" spans="1:17" x14ac:dyDescent="0.3">
      <c r="A4136" t="s">
        <v>5265</v>
      </c>
      <c r="B4136" s="6">
        <v>44951</v>
      </c>
      <c r="C4136" s="6" t="str">
        <f t="shared" si="192"/>
        <v>Jan</v>
      </c>
      <c r="D4136" t="s">
        <v>3244</v>
      </c>
      <c r="E4136" t="s">
        <v>26</v>
      </c>
      <c r="F4136" t="s">
        <v>157</v>
      </c>
      <c r="G4136">
        <v>2</v>
      </c>
      <c r="H4136" s="7">
        <v>158.29</v>
      </c>
      <c r="I4136" t="s">
        <v>64</v>
      </c>
      <c r="J4136" t="s">
        <v>22</v>
      </c>
      <c r="K4136">
        <v>0</v>
      </c>
      <c r="L4136" s="7">
        <f t="shared" si="193"/>
        <v>316.58</v>
      </c>
      <c r="M4136" s="7"/>
      <c r="O4136">
        <f t="shared" si="194"/>
        <v>2</v>
      </c>
      <c r="Q4136" t="s">
        <v>65</v>
      </c>
    </row>
    <row r="4137" spans="1:17" x14ac:dyDescent="0.3">
      <c r="A4137" t="s">
        <v>5266</v>
      </c>
      <c r="B4137" s="6">
        <v>45191</v>
      </c>
      <c r="C4137" s="6" t="str">
        <f t="shared" si="192"/>
        <v>Sep</v>
      </c>
      <c r="D4137" t="s">
        <v>873</v>
      </c>
      <c r="E4137" t="s">
        <v>31</v>
      </c>
      <c r="F4137" t="s">
        <v>1063</v>
      </c>
      <c r="G4137">
        <v>2</v>
      </c>
      <c r="H4137" s="7">
        <v>76.790000000000006</v>
      </c>
      <c r="I4137" t="s">
        <v>19</v>
      </c>
      <c r="J4137" t="s">
        <v>87</v>
      </c>
      <c r="K4137">
        <v>20</v>
      </c>
      <c r="L4137" s="7">
        <f t="shared" si="193"/>
        <v>153.58000000000001</v>
      </c>
      <c r="M4137" s="7"/>
      <c r="O4137">
        <f t="shared" si="194"/>
        <v>2</v>
      </c>
      <c r="Q4137" t="s">
        <v>19</v>
      </c>
    </row>
    <row r="4138" spans="1:17" x14ac:dyDescent="0.3">
      <c r="A4138" t="s">
        <v>5267</v>
      </c>
      <c r="B4138" s="6">
        <v>44929</v>
      </c>
      <c r="C4138" s="6" t="str">
        <f t="shared" si="192"/>
        <v>Jan</v>
      </c>
      <c r="D4138" t="s">
        <v>471</v>
      </c>
      <c r="E4138" t="s">
        <v>36</v>
      </c>
      <c r="F4138" t="s">
        <v>59</v>
      </c>
      <c r="G4138">
        <v>5</v>
      </c>
      <c r="H4138" s="7">
        <v>369.72</v>
      </c>
      <c r="I4138" t="s">
        <v>64</v>
      </c>
      <c r="J4138" t="s">
        <v>28</v>
      </c>
      <c r="K4138">
        <v>10</v>
      </c>
      <c r="L4138" s="7">
        <f t="shared" si="193"/>
        <v>1848.6000000000001</v>
      </c>
      <c r="M4138" s="7"/>
      <c r="O4138">
        <f t="shared" si="194"/>
        <v>2</v>
      </c>
      <c r="Q4138" t="s">
        <v>65</v>
      </c>
    </row>
    <row r="4139" spans="1:17" x14ac:dyDescent="0.3">
      <c r="A4139" t="s">
        <v>5268</v>
      </c>
      <c r="B4139" s="6">
        <v>45091</v>
      </c>
      <c r="C4139" s="6" t="str">
        <f t="shared" si="192"/>
        <v>Jun</v>
      </c>
      <c r="D4139" t="s">
        <v>2652</v>
      </c>
      <c r="E4139" t="s">
        <v>31</v>
      </c>
      <c r="F4139" t="s">
        <v>1325</v>
      </c>
      <c r="G4139">
        <v>5</v>
      </c>
      <c r="H4139" s="7">
        <v>302.69</v>
      </c>
      <c r="I4139" t="s">
        <v>103</v>
      </c>
      <c r="J4139" t="s">
        <v>72</v>
      </c>
      <c r="K4139">
        <v>15</v>
      </c>
      <c r="L4139" s="7">
        <f t="shared" si="193"/>
        <v>1513.45</v>
      </c>
      <c r="M4139" s="7"/>
      <c r="O4139">
        <f t="shared" si="194"/>
        <v>2</v>
      </c>
      <c r="Q4139" t="s">
        <v>104</v>
      </c>
    </row>
    <row r="4140" spans="1:17" x14ac:dyDescent="0.3">
      <c r="A4140" t="s">
        <v>5269</v>
      </c>
      <c r="B4140" s="6">
        <v>45005</v>
      </c>
      <c r="C4140" s="6" t="str">
        <f t="shared" si="192"/>
        <v>Mar</v>
      </c>
      <c r="D4140" t="s">
        <v>2173</v>
      </c>
      <c r="E4140" t="s">
        <v>36</v>
      </c>
      <c r="F4140" t="s">
        <v>983</v>
      </c>
      <c r="G4140">
        <v>7</v>
      </c>
      <c r="H4140" s="7">
        <v>329.45</v>
      </c>
      <c r="I4140" t="s">
        <v>21</v>
      </c>
      <c r="J4140" t="s">
        <v>42</v>
      </c>
      <c r="K4140">
        <v>15</v>
      </c>
      <c r="L4140" s="7">
        <f t="shared" si="193"/>
        <v>2306.15</v>
      </c>
      <c r="M4140" s="7"/>
      <c r="O4140">
        <f t="shared" si="194"/>
        <v>2</v>
      </c>
      <c r="Q4140" t="s">
        <v>23</v>
      </c>
    </row>
    <row r="4141" spans="1:17" x14ac:dyDescent="0.3">
      <c r="A4141" t="s">
        <v>5270</v>
      </c>
      <c r="B4141" s="6">
        <v>45067</v>
      </c>
      <c r="C4141" s="6" t="str">
        <f t="shared" si="192"/>
        <v>May</v>
      </c>
      <c r="D4141" t="s">
        <v>533</v>
      </c>
      <c r="E4141" t="s">
        <v>36</v>
      </c>
      <c r="F4141" t="s">
        <v>383</v>
      </c>
      <c r="G4141">
        <v>1</v>
      </c>
      <c r="H4141" s="7">
        <v>9.2899999999999991</v>
      </c>
      <c r="I4141" t="s">
        <v>19</v>
      </c>
      <c r="J4141" t="s">
        <v>22</v>
      </c>
      <c r="K4141">
        <v>10</v>
      </c>
      <c r="L4141" s="7">
        <f t="shared" si="193"/>
        <v>9.2899999999999991</v>
      </c>
      <c r="M4141" s="7"/>
      <c r="O4141">
        <f t="shared" si="194"/>
        <v>2</v>
      </c>
      <c r="Q4141" t="s">
        <v>19</v>
      </c>
    </row>
    <row r="4142" spans="1:17" x14ac:dyDescent="0.3">
      <c r="A4142" t="s">
        <v>5271</v>
      </c>
      <c r="B4142" s="6">
        <v>45284</v>
      </c>
      <c r="C4142" s="6" t="str">
        <f t="shared" si="192"/>
        <v>Dec</v>
      </c>
      <c r="D4142" t="s">
        <v>2596</v>
      </c>
      <c r="E4142" t="s">
        <v>62</v>
      </c>
      <c r="F4142" t="s">
        <v>208</v>
      </c>
      <c r="G4142">
        <v>8</v>
      </c>
      <c r="H4142" s="7">
        <v>464.12</v>
      </c>
      <c r="I4142" t="s">
        <v>32</v>
      </c>
      <c r="J4142" t="s">
        <v>87</v>
      </c>
      <c r="K4142">
        <v>10</v>
      </c>
      <c r="L4142" s="7">
        <f t="shared" si="193"/>
        <v>3712.96</v>
      </c>
      <c r="M4142" s="7"/>
      <c r="O4142">
        <f t="shared" si="194"/>
        <v>5</v>
      </c>
      <c r="Q4142" t="s">
        <v>33</v>
      </c>
    </row>
    <row r="4143" spans="1:17" x14ac:dyDescent="0.3">
      <c r="A4143" t="s">
        <v>5272</v>
      </c>
      <c r="B4143" s="6">
        <v>45176</v>
      </c>
      <c r="C4143" s="6" t="str">
        <f t="shared" si="192"/>
        <v>Sep</v>
      </c>
      <c r="D4143" t="s">
        <v>1187</v>
      </c>
      <c r="E4143" t="s">
        <v>19</v>
      </c>
      <c r="F4143" t="s">
        <v>466</v>
      </c>
      <c r="G4143">
        <v>3</v>
      </c>
      <c r="H4143" s="7">
        <v>37.81</v>
      </c>
      <c r="I4143" t="s">
        <v>64</v>
      </c>
      <c r="J4143" t="s">
        <v>22</v>
      </c>
      <c r="K4143">
        <v>10</v>
      </c>
      <c r="L4143" s="7">
        <f t="shared" si="193"/>
        <v>113.43</v>
      </c>
      <c r="M4143" s="7"/>
      <c r="O4143">
        <f t="shared" si="194"/>
        <v>2</v>
      </c>
      <c r="Q4143" t="s">
        <v>65</v>
      </c>
    </row>
    <row r="4144" spans="1:17" x14ac:dyDescent="0.3">
      <c r="A4144" t="s">
        <v>5273</v>
      </c>
      <c r="B4144" s="6">
        <v>45087</v>
      </c>
      <c r="C4144" s="6" t="str">
        <f t="shared" si="192"/>
        <v>Jun</v>
      </c>
      <c r="D4144" t="s">
        <v>972</v>
      </c>
      <c r="E4144" t="s">
        <v>19</v>
      </c>
      <c r="F4144" t="s">
        <v>856</v>
      </c>
      <c r="G4144">
        <v>4</v>
      </c>
      <c r="H4144" s="7">
        <v>186.57</v>
      </c>
      <c r="I4144" t="s">
        <v>103</v>
      </c>
      <c r="J4144" t="s">
        <v>72</v>
      </c>
      <c r="K4144">
        <v>20</v>
      </c>
      <c r="L4144" s="7">
        <f t="shared" si="193"/>
        <v>746.28</v>
      </c>
      <c r="M4144" s="7"/>
      <c r="O4144">
        <f t="shared" si="194"/>
        <v>2</v>
      </c>
      <c r="Q4144" t="s">
        <v>104</v>
      </c>
    </row>
    <row r="4145" spans="1:17" x14ac:dyDescent="0.3">
      <c r="A4145" t="s">
        <v>5274</v>
      </c>
      <c r="B4145" s="6">
        <v>44930</v>
      </c>
      <c r="C4145" s="6" t="str">
        <f t="shared" si="192"/>
        <v>Jan</v>
      </c>
      <c r="D4145" t="s">
        <v>2569</v>
      </c>
      <c r="E4145" t="s">
        <v>19</v>
      </c>
      <c r="F4145" t="s">
        <v>325</v>
      </c>
      <c r="G4145">
        <v>9</v>
      </c>
      <c r="H4145" s="7">
        <v>204.34</v>
      </c>
      <c r="I4145" t="s">
        <v>21</v>
      </c>
      <c r="J4145" t="s">
        <v>42</v>
      </c>
      <c r="K4145">
        <v>0</v>
      </c>
      <c r="L4145" s="7">
        <f t="shared" si="193"/>
        <v>1839.06</v>
      </c>
      <c r="M4145" s="7"/>
      <c r="O4145">
        <f t="shared" si="194"/>
        <v>2</v>
      </c>
      <c r="Q4145" t="s">
        <v>23</v>
      </c>
    </row>
    <row r="4146" spans="1:17" x14ac:dyDescent="0.3">
      <c r="A4146" t="s">
        <v>5275</v>
      </c>
      <c r="B4146" s="6">
        <v>45252</v>
      </c>
      <c r="C4146" s="6" t="str">
        <f t="shared" si="192"/>
        <v>Nov</v>
      </c>
      <c r="D4146" t="s">
        <v>3652</v>
      </c>
      <c r="E4146" t="s">
        <v>26</v>
      </c>
      <c r="F4146" t="s">
        <v>257</v>
      </c>
      <c r="G4146">
        <v>4</v>
      </c>
      <c r="H4146" s="7">
        <v>5.67</v>
      </c>
      <c r="I4146" t="s">
        <v>46</v>
      </c>
      <c r="J4146" t="s">
        <v>22</v>
      </c>
      <c r="K4146">
        <v>5</v>
      </c>
      <c r="L4146" s="7">
        <f t="shared" si="193"/>
        <v>22.68</v>
      </c>
      <c r="M4146" s="7"/>
      <c r="O4146">
        <f t="shared" si="194"/>
        <v>2</v>
      </c>
      <c r="Q4146" t="s">
        <v>47</v>
      </c>
    </row>
    <row r="4147" spans="1:17" x14ac:dyDescent="0.3">
      <c r="A4147" t="s">
        <v>5276</v>
      </c>
      <c r="B4147" s="6">
        <v>45215</v>
      </c>
      <c r="C4147" s="6" t="str">
        <f t="shared" si="192"/>
        <v>Oct</v>
      </c>
      <c r="D4147" t="s">
        <v>1850</v>
      </c>
      <c r="E4147" t="s">
        <v>36</v>
      </c>
      <c r="F4147" t="s">
        <v>157</v>
      </c>
      <c r="G4147">
        <v>5</v>
      </c>
      <c r="H4147" s="7">
        <v>251.06</v>
      </c>
      <c r="I4147" t="s">
        <v>64</v>
      </c>
      <c r="J4147" t="s">
        <v>19</v>
      </c>
      <c r="K4147">
        <v>15</v>
      </c>
      <c r="L4147" s="7">
        <f t="shared" si="193"/>
        <v>1255.3</v>
      </c>
      <c r="M4147" s="7"/>
      <c r="O4147">
        <f t="shared" si="194"/>
        <v>2</v>
      </c>
      <c r="Q4147" t="s">
        <v>65</v>
      </c>
    </row>
    <row r="4148" spans="1:17" x14ac:dyDescent="0.3">
      <c r="A4148" t="s">
        <v>5277</v>
      </c>
      <c r="B4148" s="6">
        <v>45229</v>
      </c>
      <c r="C4148" s="6" t="str">
        <f t="shared" si="192"/>
        <v>Oct</v>
      </c>
      <c r="D4148" t="s">
        <v>725</v>
      </c>
      <c r="E4148" t="s">
        <v>19</v>
      </c>
      <c r="F4148" t="s">
        <v>20</v>
      </c>
      <c r="G4148">
        <v>7</v>
      </c>
      <c r="H4148" s="7">
        <v>377.64</v>
      </c>
      <c r="I4148" t="s">
        <v>103</v>
      </c>
      <c r="J4148" t="s">
        <v>22</v>
      </c>
      <c r="K4148">
        <v>5</v>
      </c>
      <c r="L4148" s="7">
        <f t="shared" si="193"/>
        <v>2643.48</v>
      </c>
      <c r="M4148" s="7"/>
      <c r="O4148">
        <f t="shared" si="194"/>
        <v>3</v>
      </c>
      <c r="Q4148" t="s">
        <v>104</v>
      </c>
    </row>
    <row r="4149" spans="1:17" x14ac:dyDescent="0.3">
      <c r="A4149" t="s">
        <v>5278</v>
      </c>
      <c r="B4149" s="6">
        <v>45080</v>
      </c>
      <c r="C4149" s="6" t="str">
        <f t="shared" si="192"/>
        <v>Jun</v>
      </c>
      <c r="D4149" t="s">
        <v>494</v>
      </c>
      <c r="E4149" t="s">
        <v>26</v>
      </c>
      <c r="F4149" t="s">
        <v>308</v>
      </c>
      <c r="G4149">
        <v>4</v>
      </c>
      <c r="H4149" s="7">
        <v>412.52</v>
      </c>
      <c r="I4149" t="s">
        <v>46</v>
      </c>
      <c r="J4149" t="s">
        <v>72</v>
      </c>
      <c r="K4149">
        <v>15</v>
      </c>
      <c r="L4149" s="7">
        <f t="shared" si="193"/>
        <v>1650.08</v>
      </c>
      <c r="M4149" s="7"/>
      <c r="O4149">
        <f t="shared" si="194"/>
        <v>2</v>
      </c>
      <c r="Q4149" t="s">
        <v>47</v>
      </c>
    </row>
    <row r="4150" spans="1:17" x14ac:dyDescent="0.3">
      <c r="A4150" t="s">
        <v>5279</v>
      </c>
      <c r="B4150" s="6">
        <v>44998</v>
      </c>
      <c r="C4150" s="6" t="str">
        <f t="shared" si="192"/>
        <v>Mar</v>
      </c>
      <c r="D4150" t="s">
        <v>1562</v>
      </c>
      <c r="E4150" t="s">
        <v>31</v>
      </c>
      <c r="F4150" t="s">
        <v>409</v>
      </c>
      <c r="G4150">
        <v>1</v>
      </c>
      <c r="H4150" s="7">
        <v>440.3</v>
      </c>
      <c r="I4150" t="s">
        <v>46</v>
      </c>
      <c r="J4150" t="s">
        <v>28</v>
      </c>
      <c r="K4150">
        <v>10</v>
      </c>
      <c r="L4150" s="7">
        <f t="shared" si="193"/>
        <v>440.3</v>
      </c>
      <c r="M4150" s="7"/>
      <c r="O4150">
        <f t="shared" si="194"/>
        <v>2</v>
      </c>
      <c r="Q4150" t="s">
        <v>47</v>
      </c>
    </row>
    <row r="4151" spans="1:17" x14ac:dyDescent="0.3">
      <c r="A4151" t="s">
        <v>5280</v>
      </c>
      <c r="B4151" s="6">
        <v>45076</v>
      </c>
      <c r="C4151" s="6" t="str">
        <f t="shared" si="192"/>
        <v>May</v>
      </c>
      <c r="D4151" t="s">
        <v>742</v>
      </c>
      <c r="E4151" t="s">
        <v>36</v>
      </c>
      <c r="F4151" t="s">
        <v>642</v>
      </c>
      <c r="G4151">
        <v>9</v>
      </c>
      <c r="H4151" s="7">
        <v>246.42</v>
      </c>
      <c r="I4151" t="s">
        <v>21</v>
      </c>
      <c r="J4151" t="s">
        <v>19</v>
      </c>
      <c r="K4151">
        <v>0</v>
      </c>
      <c r="L4151" s="7">
        <f t="shared" si="193"/>
        <v>2217.7799999999997</v>
      </c>
      <c r="M4151" s="7"/>
      <c r="O4151">
        <f t="shared" si="194"/>
        <v>2</v>
      </c>
      <c r="Q4151" t="s">
        <v>23</v>
      </c>
    </row>
    <row r="4152" spans="1:17" x14ac:dyDescent="0.3">
      <c r="A4152" t="s">
        <v>5281</v>
      </c>
      <c r="B4152" s="6">
        <v>45183</v>
      </c>
      <c r="C4152" s="6" t="str">
        <f t="shared" si="192"/>
        <v>Sep</v>
      </c>
      <c r="D4152" t="s">
        <v>1864</v>
      </c>
      <c r="E4152" t="s">
        <v>36</v>
      </c>
      <c r="F4152" t="s">
        <v>94</v>
      </c>
      <c r="G4152">
        <v>4</v>
      </c>
      <c r="H4152" s="7">
        <v>317.16000000000003</v>
      </c>
      <c r="I4152" t="s">
        <v>19</v>
      </c>
      <c r="J4152" t="s">
        <v>87</v>
      </c>
      <c r="K4152">
        <v>0</v>
      </c>
      <c r="L4152" s="7">
        <f t="shared" si="193"/>
        <v>1268.6400000000001</v>
      </c>
      <c r="M4152" s="7"/>
      <c r="O4152">
        <f t="shared" si="194"/>
        <v>2</v>
      </c>
      <c r="Q4152" t="s">
        <v>19</v>
      </c>
    </row>
    <row r="4153" spans="1:17" x14ac:dyDescent="0.3">
      <c r="A4153" t="s">
        <v>5282</v>
      </c>
      <c r="B4153" s="6">
        <v>45019</v>
      </c>
      <c r="C4153" s="6" t="str">
        <f t="shared" si="192"/>
        <v>Apr</v>
      </c>
      <c r="D4153" t="s">
        <v>1107</v>
      </c>
      <c r="E4153" t="s">
        <v>26</v>
      </c>
      <c r="F4153" t="s">
        <v>59</v>
      </c>
      <c r="G4153">
        <v>9</v>
      </c>
      <c r="H4153" s="7">
        <v>44.36</v>
      </c>
      <c r="I4153" t="s">
        <v>32</v>
      </c>
      <c r="J4153" t="s">
        <v>42</v>
      </c>
      <c r="K4153">
        <v>15</v>
      </c>
      <c r="L4153" s="7">
        <f t="shared" si="193"/>
        <v>399.24</v>
      </c>
      <c r="M4153" s="7"/>
      <c r="O4153">
        <f t="shared" si="194"/>
        <v>2</v>
      </c>
      <c r="Q4153" t="s">
        <v>33</v>
      </c>
    </row>
    <row r="4154" spans="1:17" x14ac:dyDescent="0.3">
      <c r="A4154" t="s">
        <v>5283</v>
      </c>
      <c r="B4154" s="6">
        <v>44950</v>
      </c>
      <c r="C4154" s="6" t="str">
        <f t="shared" si="192"/>
        <v>Jan</v>
      </c>
      <c r="D4154" t="s">
        <v>321</v>
      </c>
      <c r="E4154" t="s">
        <v>19</v>
      </c>
      <c r="F4154" t="s">
        <v>523</v>
      </c>
      <c r="G4154">
        <v>6</v>
      </c>
      <c r="H4154" s="7">
        <v>246.58</v>
      </c>
      <c r="I4154" t="s">
        <v>103</v>
      </c>
      <c r="J4154" t="s">
        <v>22</v>
      </c>
      <c r="K4154">
        <v>20</v>
      </c>
      <c r="L4154" s="7">
        <f t="shared" si="193"/>
        <v>1479.48</v>
      </c>
      <c r="M4154" s="7"/>
      <c r="O4154">
        <f t="shared" si="194"/>
        <v>2</v>
      </c>
      <c r="Q4154" t="s">
        <v>104</v>
      </c>
    </row>
    <row r="4155" spans="1:17" x14ac:dyDescent="0.3">
      <c r="A4155" t="s">
        <v>5284</v>
      </c>
      <c r="B4155" s="6">
        <v>45107</v>
      </c>
      <c r="C4155" s="6" t="str">
        <f t="shared" si="192"/>
        <v>Jun</v>
      </c>
      <c r="D4155" t="s">
        <v>327</v>
      </c>
      <c r="E4155" t="s">
        <v>31</v>
      </c>
      <c r="F4155" t="s">
        <v>176</v>
      </c>
      <c r="G4155">
        <v>1</v>
      </c>
      <c r="H4155" s="7">
        <v>81.63</v>
      </c>
      <c r="I4155" t="s">
        <v>103</v>
      </c>
      <c r="J4155" t="s">
        <v>72</v>
      </c>
      <c r="K4155">
        <v>10</v>
      </c>
      <c r="L4155" s="7">
        <f t="shared" si="193"/>
        <v>81.63</v>
      </c>
      <c r="M4155" s="7"/>
      <c r="O4155">
        <f t="shared" si="194"/>
        <v>2</v>
      </c>
      <c r="Q4155" t="s">
        <v>104</v>
      </c>
    </row>
    <row r="4156" spans="1:17" x14ac:dyDescent="0.3">
      <c r="A4156" t="s">
        <v>5285</v>
      </c>
      <c r="B4156" s="6">
        <v>45134</v>
      </c>
      <c r="C4156" s="6" t="str">
        <f t="shared" si="192"/>
        <v>Jul</v>
      </c>
      <c r="D4156" t="s">
        <v>3207</v>
      </c>
      <c r="E4156" t="s">
        <v>26</v>
      </c>
      <c r="F4156" t="s">
        <v>176</v>
      </c>
      <c r="G4156">
        <v>3</v>
      </c>
      <c r="H4156" s="7">
        <v>187.97</v>
      </c>
      <c r="I4156" t="s">
        <v>103</v>
      </c>
      <c r="J4156" t="s">
        <v>28</v>
      </c>
      <c r="K4156">
        <v>0</v>
      </c>
      <c r="L4156" s="7">
        <f t="shared" si="193"/>
        <v>563.91</v>
      </c>
      <c r="M4156" s="7"/>
      <c r="O4156">
        <f t="shared" si="194"/>
        <v>2</v>
      </c>
      <c r="Q4156" t="s">
        <v>104</v>
      </c>
    </row>
    <row r="4157" spans="1:17" x14ac:dyDescent="0.3">
      <c r="A4157" t="s">
        <v>5286</v>
      </c>
      <c r="B4157" s="6">
        <v>44973</v>
      </c>
      <c r="C4157" s="6" t="str">
        <f t="shared" si="192"/>
        <v>Feb</v>
      </c>
      <c r="D4157" t="s">
        <v>1261</v>
      </c>
      <c r="E4157" t="s">
        <v>40</v>
      </c>
      <c r="F4157" t="s">
        <v>800</v>
      </c>
      <c r="G4157">
        <v>2</v>
      </c>
      <c r="H4157" s="7">
        <v>168.01</v>
      </c>
      <c r="I4157" t="s">
        <v>103</v>
      </c>
      <c r="J4157" t="s">
        <v>22</v>
      </c>
      <c r="K4157">
        <v>0</v>
      </c>
      <c r="L4157" s="7">
        <f t="shared" si="193"/>
        <v>336.02</v>
      </c>
      <c r="M4157" s="7"/>
      <c r="O4157">
        <f t="shared" si="194"/>
        <v>2</v>
      </c>
      <c r="Q4157" t="s">
        <v>104</v>
      </c>
    </row>
    <row r="4158" spans="1:17" x14ac:dyDescent="0.3">
      <c r="A4158" t="s">
        <v>5287</v>
      </c>
      <c r="B4158" s="6">
        <v>45008</v>
      </c>
      <c r="C4158" s="6" t="str">
        <f t="shared" si="192"/>
        <v>Mar</v>
      </c>
      <c r="D4158" t="s">
        <v>1513</v>
      </c>
      <c r="E4158" t="s">
        <v>19</v>
      </c>
      <c r="F4158" t="s">
        <v>983</v>
      </c>
      <c r="G4158">
        <v>9</v>
      </c>
      <c r="H4158" s="7">
        <v>214.65</v>
      </c>
      <c r="I4158" t="s">
        <v>21</v>
      </c>
      <c r="J4158" t="s">
        <v>42</v>
      </c>
      <c r="K4158">
        <v>10</v>
      </c>
      <c r="L4158" s="7">
        <f t="shared" si="193"/>
        <v>1931.8500000000001</v>
      </c>
      <c r="M4158" s="7"/>
      <c r="O4158">
        <f t="shared" si="194"/>
        <v>2</v>
      </c>
      <c r="Q4158" t="s">
        <v>23</v>
      </c>
    </row>
    <row r="4159" spans="1:17" x14ac:dyDescent="0.3">
      <c r="A4159" t="s">
        <v>5288</v>
      </c>
      <c r="B4159" s="6">
        <v>45009</v>
      </c>
      <c r="C4159" s="6" t="str">
        <f t="shared" si="192"/>
        <v>Mar</v>
      </c>
      <c r="D4159" t="s">
        <v>3409</v>
      </c>
      <c r="E4159" t="s">
        <v>40</v>
      </c>
      <c r="F4159" t="s">
        <v>51</v>
      </c>
      <c r="G4159">
        <v>1</v>
      </c>
      <c r="H4159" s="7">
        <v>287.95999999999998</v>
      </c>
      <c r="I4159" t="s">
        <v>21</v>
      </c>
      <c r="J4159" t="s">
        <v>87</v>
      </c>
      <c r="K4159">
        <v>0</v>
      </c>
      <c r="L4159" s="7">
        <f t="shared" si="193"/>
        <v>287.95999999999998</v>
      </c>
      <c r="M4159" s="7"/>
      <c r="O4159">
        <f t="shared" si="194"/>
        <v>2</v>
      </c>
      <c r="Q4159" t="s">
        <v>23</v>
      </c>
    </row>
    <row r="4160" spans="1:17" x14ac:dyDescent="0.3">
      <c r="A4160" t="s">
        <v>5289</v>
      </c>
      <c r="B4160" s="6">
        <v>45051</v>
      </c>
      <c r="C4160" s="6" t="str">
        <f t="shared" si="192"/>
        <v>May</v>
      </c>
      <c r="D4160" t="s">
        <v>1818</v>
      </c>
      <c r="E4160" t="s">
        <v>19</v>
      </c>
      <c r="F4160" t="s">
        <v>693</v>
      </c>
      <c r="G4160">
        <v>9</v>
      </c>
      <c r="H4160" s="7">
        <v>451.92</v>
      </c>
      <c r="I4160" t="s">
        <v>21</v>
      </c>
      <c r="J4160" t="s">
        <v>22</v>
      </c>
      <c r="K4160">
        <v>10</v>
      </c>
      <c r="L4160" s="7">
        <f t="shared" si="193"/>
        <v>4067.28</v>
      </c>
      <c r="M4160" s="7"/>
      <c r="O4160">
        <f t="shared" si="194"/>
        <v>5</v>
      </c>
      <c r="Q4160" t="s">
        <v>23</v>
      </c>
    </row>
    <row r="4161" spans="1:17" x14ac:dyDescent="0.3">
      <c r="A4161" t="s">
        <v>5290</v>
      </c>
      <c r="B4161" s="6">
        <v>44950</v>
      </c>
      <c r="C4161" s="6" t="str">
        <f t="shared" si="192"/>
        <v>Jan</v>
      </c>
      <c r="D4161" t="s">
        <v>2076</v>
      </c>
      <c r="E4161" t="s">
        <v>50</v>
      </c>
      <c r="F4161" t="s">
        <v>139</v>
      </c>
      <c r="G4161">
        <v>9</v>
      </c>
      <c r="H4161" s="7">
        <v>200.27</v>
      </c>
      <c r="I4161" t="s">
        <v>21</v>
      </c>
      <c r="J4161" t="s">
        <v>42</v>
      </c>
      <c r="K4161">
        <v>0</v>
      </c>
      <c r="L4161" s="7">
        <f t="shared" si="193"/>
        <v>1802.43</v>
      </c>
      <c r="M4161" s="7"/>
      <c r="O4161">
        <f t="shared" si="194"/>
        <v>2</v>
      </c>
      <c r="Q4161" t="s">
        <v>23</v>
      </c>
    </row>
    <row r="4162" spans="1:17" x14ac:dyDescent="0.3">
      <c r="A4162" t="s">
        <v>5291</v>
      </c>
      <c r="B4162" s="6">
        <v>45209</v>
      </c>
      <c r="C4162" s="6" t="str">
        <f t="shared" si="192"/>
        <v>Oct</v>
      </c>
      <c r="D4162" t="s">
        <v>785</v>
      </c>
      <c r="E4162" t="s">
        <v>50</v>
      </c>
      <c r="F4162" t="s">
        <v>706</v>
      </c>
      <c r="G4162">
        <v>8</v>
      </c>
      <c r="H4162" s="7">
        <v>490.66</v>
      </c>
      <c r="I4162" t="s">
        <v>32</v>
      </c>
      <c r="J4162" t="s">
        <v>72</v>
      </c>
      <c r="K4162">
        <v>0</v>
      </c>
      <c r="L4162" s="7">
        <f t="shared" si="193"/>
        <v>3925.28</v>
      </c>
      <c r="M4162" s="7"/>
      <c r="O4162">
        <f t="shared" si="194"/>
        <v>5</v>
      </c>
      <c r="Q4162" t="s">
        <v>33</v>
      </c>
    </row>
    <row r="4163" spans="1:17" x14ac:dyDescent="0.3">
      <c r="A4163" t="s">
        <v>5292</v>
      </c>
      <c r="B4163" s="6">
        <v>45192</v>
      </c>
      <c r="C4163" s="6" t="str">
        <f t="shared" ref="C4163:C4226" si="195">TEXT(B4163,"MMM")</f>
        <v>Sep</v>
      </c>
      <c r="D4163" t="s">
        <v>1240</v>
      </c>
      <c r="E4163" t="s">
        <v>36</v>
      </c>
      <c r="F4163" t="s">
        <v>713</v>
      </c>
      <c r="G4163">
        <v>8</v>
      </c>
      <c r="H4163" s="7">
        <v>380.72</v>
      </c>
      <c r="I4163" t="s">
        <v>32</v>
      </c>
      <c r="J4163" t="s">
        <v>22</v>
      </c>
      <c r="K4163">
        <v>20</v>
      </c>
      <c r="L4163" s="7">
        <f t="shared" ref="L4163:L4226" si="196">G4163*H4163</f>
        <v>3045.76</v>
      </c>
      <c r="M4163" s="7"/>
      <c r="O4163">
        <f t="shared" si="194"/>
        <v>4</v>
      </c>
      <c r="Q4163" t="s">
        <v>33</v>
      </c>
    </row>
    <row r="4164" spans="1:17" x14ac:dyDescent="0.3">
      <c r="A4164" t="s">
        <v>5293</v>
      </c>
      <c r="B4164" s="6">
        <v>45073</v>
      </c>
      <c r="C4164" s="6" t="str">
        <f t="shared" si="195"/>
        <v>May</v>
      </c>
      <c r="D4164" t="s">
        <v>956</v>
      </c>
      <c r="E4164" t="s">
        <v>31</v>
      </c>
      <c r="F4164" t="s">
        <v>789</v>
      </c>
      <c r="G4164">
        <v>1</v>
      </c>
      <c r="H4164" s="7">
        <v>258.18</v>
      </c>
      <c r="I4164" t="s">
        <v>21</v>
      </c>
      <c r="J4164" t="s">
        <v>42</v>
      </c>
      <c r="K4164">
        <v>20</v>
      </c>
      <c r="L4164" s="7">
        <f t="shared" si="196"/>
        <v>258.18</v>
      </c>
      <c r="M4164" s="7"/>
      <c r="O4164">
        <f t="shared" ref="O4164:O4227" si="197">IF(L4164&gt;3500,5,IF(L4164&gt;3000,4,IF(L4164&gt;2500,3,IF(L4164&gt;2000,2,IF(L4164&gt;1000,2,2)))))</f>
        <v>2</v>
      </c>
      <c r="Q4164" t="s">
        <v>23</v>
      </c>
    </row>
    <row r="4165" spans="1:17" x14ac:dyDescent="0.3">
      <c r="A4165" t="s">
        <v>5294</v>
      </c>
      <c r="B4165" s="6">
        <v>45073</v>
      </c>
      <c r="C4165" s="6" t="str">
        <f t="shared" si="195"/>
        <v>May</v>
      </c>
      <c r="D4165" t="s">
        <v>2420</v>
      </c>
      <c r="E4165" t="s">
        <v>19</v>
      </c>
      <c r="F4165" t="s">
        <v>833</v>
      </c>
      <c r="G4165">
        <v>8</v>
      </c>
      <c r="H4165" s="7">
        <v>323.79000000000002</v>
      </c>
      <c r="I4165" t="s">
        <v>46</v>
      </c>
      <c r="J4165" t="s">
        <v>72</v>
      </c>
      <c r="K4165">
        <v>10</v>
      </c>
      <c r="L4165" s="7">
        <f t="shared" si="196"/>
        <v>2590.3200000000002</v>
      </c>
      <c r="M4165" s="7"/>
      <c r="O4165">
        <f t="shared" si="197"/>
        <v>3</v>
      </c>
      <c r="Q4165" t="s">
        <v>47</v>
      </c>
    </row>
    <row r="4166" spans="1:17" x14ac:dyDescent="0.3">
      <c r="A4166" t="s">
        <v>5295</v>
      </c>
      <c r="B4166" s="6">
        <v>45257</v>
      </c>
      <c r="C4166" s="6" t="str">
        <f t="shared" si="195"/>
        <v>Nov</v>
      </c>
      <c r="D4166" t="s">
        <v>3090</v>
      </c>
      <c r="E4166" t="s">
        <v>31</v>
      </c>
      <c r="F4166" t="s">
        <v>356</v>
      </c>
      <c r="G4166">
        <v>3</v>
      </c>
      <c r="H4166" s="7">
        <v>55.6</v>
      </c>
      <c r="I4166" t="s">
        <v>64</v>
      </c>
      <c r="J4166" t="s">
        <v>42</v>
      </c>
      <c r="K4166">
        <v>0</v>
      </c>
      <c r="L4166" s="7">
        <f t="shared" si="196"/>
        <v>166.8</v>
      </c>
      <c r="M4166" s="7"/>
      <c r="O4166">
        <f t="shared" si="197"/>
        <v>2</v>
      </c>
      <c r="Q4166" t="s">
        <v>65</v>
      </c>
    </row>
    <row r="4167" spans="1:17" x14ac:dyDescent="0.3">
      <c r="A4167" t="s">
        <v>5296</v>
      </c>
      <c r="B4167" s="6">
        <v>45150</v>
      </c>
      <c r="C4167" s="6" t="str">
        <f t="shared" si="195"/>
        <v>Aug</v>
      </c>
      <c r="D4167" t="s">
        <v>1620</v>
      </c>
      <c r="E4167" t="s">
        <v>50</v>
      </c>
      <c r="F4167" t="s">
        <v>328</v>
      </c>
      <c r="G4167">
        <v>7</v>
      </c>
      <c r="H4167" s="7">
        <v>423.04</v>
      </c>
      <c r="I4167" t="s">
        <v>19</v>
      </c>
      <c r="J4167" t="s">
        <v>72</v>
      </c>
      <c r="K4167">
        <v>10</v>
      </c>
      <c r="L4167" s="7">
        <f t="shared" si="196"/>
        <v>2961.28</v>
      </c>
      <c r="M4167" s="7"/>
      <c r="O4167">
        <f t="shared" si="197"/>
        <v>3</v>
      </c>
      <c r="Q4167" t="s">
        <v>19</v>
      </c>
    </row>
    <row r="4168" spans="1:17" x14ac:dyDescent="0.3">
      <c r="A4168" t="s">
        <v>5297</v>
      </c>
      <c r="B4168" s="6">
        <v>44996</v>
      </c>
      <c r="C4168" s="6" t="str">
        <f t="shared" si="195"/>
        <v>Mar</v>
      </c>
      <c r="D4168" t="s">
        <v>162</v>
      </c>
      <c r="E4168" t="s">
        <v>36</v>
      </c>
      <c r="F4168" t="s">
        <v>254</v>
      </c>
      <c r="G4168">
        <v>1</v>
      </c>
      <c r="H4168" s="7">
        <v>293.27</v>
      </c>
      <c r="I4168" t="s">
        <v>32</v>
      </c>
      <c r="J4168" t="s">
        <v>22</v>
      </c>
      <c r="K4168">
        <v>10</v>
      </c>
      <c r="L4168" s="7">
        <f t="shared" si="196"/>
        <v>293.27</v>
      </c>
      <c r="M4168" s="7"/>
      <c r="O4168">
        <f t="shared" si="197"/>
        <v>2</v>
      </c>
      <c r="Q4168" t="s">
        <v>33</v>
      </c>
    </row>
    <row r="4169" spans="1:17" x14ac:dyDescent="0.3">
      <c r="A4169" t="s">
        <v>5298</v>
      </c>
      <c r="B4169" s="6">
        <v>45160</v>
      </c>
      <c r="C4169" s="6" t="str">
        <f t="shared" si="195"/>
        <v>Aug</v>
      </c>
      <c r="D4169" t="s">
        <v>1809</v>
      </c>
      <c r="E4169" t="s">
        <v>36</v>
      </c>
      <c r="F4169" t="s">
        <v>833</v>
      </c>
      <c r="G4169">
        <v>1</v>
      </c>
      <c r="H4169" s="7">
        <v>493.1</v>
      </c>
      <c r="I4169" t="s">
        <v>21</v>
      </c>
      <c r="J4169" t="s">
        <v>28</v>
      </c>
      <c r="K4169">
        <v>10</v>
      </c>
      <c r="L4169" s="7">
        <f t="shared" si="196"/>
        <v>493.1</v>
      </c>
      <c r="M4169" s="7"/>
      <c r="O4169">
        <f t="shared" si="197"/>
        <v>2</v>
      </c>
      <c r="Q4169" t="s">
        <v>23</v>
      </c>
    </row>
    <row r="4170" spans="1:17" x14ac:dyDescent="0.3">
      <c r="A4170" t="s">
        <v>5299</v>
      </c>
      <c r="B4170" s="6">
        <v>45154</v>
      </c>
      <c r="C4170" s="6" t="str">
        <f t="shared" si="195"/>
        <v>Aug</v>
      </c>
      <c r="D4170" t="s">
        <v>1156</v>
      </c>
      <c r="E4170" t="s">
        <v>19</v>
      </c>
      <c r="F4170" t="s">
        <v>254</v>
      </c>
      <c r="G4170">
        <v>5</v>
      </c>
      <c r="H4170" s="7">
        <v>320.02999999999997</v>
      </c>
      <c r="I4170" t="s">
        <v>21</v>
      </c>
      <c r="J4170" t="s">
        <v>22</v>
      </c>
      <c r="K4170">
        <v>10</v>
      </c>
      <c r="L4170" s="7">
        <f t="shared" si="196"/>
        <v>1600.1499999999999</v>
      </c>
      <c r="M4170" s="7"/>
      <c r="O4170">
        <f t="shared" si="197"/>
        <v>2</v>
      </c>
      <c r="Q4170" t="s">
        <v>23</v>
      </c>
    </row>
    <row r="4171" spans="1:17" x14ac:dyDescent="0.3">
      <c r="A4171" t="s">
        <v>5300</v>
      </c>
      <c r="B4171" s="6">
        <v>45183</v>
      </c>
      <c r="C4171" s="6" t="str">
        <f t="shared" si="195"/>
        <v>Sep</v>
      </c>
      <c r="D4171" t="s">
        <v>1556</v>
      </c>
      <c r="E4171" t="s">
        <v>62</v>
      </c>
      <c r="F4171" t="s">
        <v>800</v>
      </c>
      <c r="G4171">
        <v>5</v>
      </c>
      <c r="H4171" s="7">
        <v>417.89</v>
      </c>
      <c r="I4171" t="s">
        <v>32</v>
      </c>
      <c r="J4171" t="s">
        <v>42</v>
      </c>
      <c r="K4171">
        <v>15</v>
      </c>
      <c r="L4171" s="7">
        <f t="shared" si="196"/>
        <v>2089.4499999999998</v>
      </c>
      <c r="M4171" s="7"/>
      <c r="O4171">
        <f t="shared" si="197"/>
        <v>2</v>
      </c>
      <c r="Q4171" t="s">
        <v>33</v>
      </c>
    </row>
    <row r="4172" spans="1:17" x14ac:dyDescent="0.3">
      <c r="A4172" t="s">
        <v>5301</v>
      </c>
      <c r="B4172" s="6">
        <v>45088</v>
      </c>
      <c r="C4172" s="6" t="str">
        <f t="shared" si="195"/>
        <v>Jun</v>
      </c>
      <c r="D4172" t="s">
        <v>2365</v>
      </c>
      <c r="E4172" t="s">
        <v>62</v>
      </c>
      <c r="F4172" t="s">
        <v>412</v>
      </c>
      <c r="G4172">
        <v>8</v>
      </c>
      <c r="H4172" s="7">
        <v>400.88</v>
      </c>
      <c r="I4172" t="s">
        <v>103</v>
      </c>
      <c r="J4172" t="s">
        <v>72</v>
      </c>
      <c r="K4172">
        <v>15</v>
      </c>
      <c r="L4172" s="7">
        <f t="shared" si="196"/>
        <v>3207.04</v>
      </c>
      <c r="M4172" s="7"/>
      <c r="O4172">
        <f t="shared" si="197"/>
        <v>4</v>
      </c>
      <c r="Q4172" t="s">
        <v>104</v>
      </c>
    </row>
    <row r="4173" spans="1:17" x14ac:dyDescent="0.3">
      <c r="A4173" t="s">
        <v>5302</v>
      </c>
      <c r="B4173" s="6">
        <v>45249</v>
      </c>
      <c r="C4173" s="6" t="str">
        <f t="shared" si="195"/>
        <v>Nov</v>
      </c>
      <c r="D4173" t="s">
        <v>737</v>
      </c>
      <c r="E4173" t="s">
        <v>62</v>
      </c>
      <c r="F4173" t="s">
        <v>119</v>
      </c>
      <c r="G4173">
        <v>7</v>
      </c>
      <c r="H4173" s="7">
        <v>176</v>
      </c>
      <c r="I4173" t="s">
        <v>32</v>
      </c>
      <c r="J4173" t="s">
        <v>42</v>
      </c>
      <c r="K4173">
        <v>0</v>
      </c>
      <c r="L4173" s="7">
        <f t="shared" si="196"/>
        <v>1232</v>
      </c>
      <c r="M4173" s="7"/>
      <c r="O4173">
        <f t="shared" si="197"/>
        <v>2</v>
      </c>
      <c r="Q4173" t="s">
        <v>33</v>
      </c>
    </row>
    <row r="4174" spans="1:17" x14ac:dyDescent="0.3">
      <c r="A4174" t="s">
        <v>5303</v>
      </c>
      <c r="B4174" s="6">
        <v>45047</v>
      </c>
      <c r="C4174" s="6" t="str">
        <f t="shared" si="195"/>
        <v>May</v>
      </c>
      <c r="D4174" t="s">
        <v>294</v>
      </c>
      <c r="E4174" t="s">
        <v>19</v>
      </c>
      <c r="F4174" t="s">
        <v>366</v>
      </c>
      <c r="G4174">
        <v>8</v>
      </c>
      <c r="H4174" s="7">
        <v>133.51</v>
      </c>
      <c r="I4174" t="s">
        <v>103</v>
      </c>
      <c r="J4174" t="s">
        <v>22</v>
      </c>
      <c r="K4174">
        <v>15</v>
      </c>
      <c r="L4174" s="7">
        <f t="shared" si="196"/>
        <v>1068.08</v>
      </c>
      <c r="M4174" s="7"/>
      <c r="O4174">
        <f t="shared" si="197"/>
        <v>2</v>
      </c>
      <c r="Q4174" t="s">
        <v>104</v>
      </c>
    </row>
    <row r="4175" spans="1:17" x14ac:dyDescent="0.3">
      <c r="A4175" t="s">
        <v>5304</v>
      </c>
      <c r="B4175" s="6">
        <v>45157</v>
      </c>
      <c r="C4175" s="6" t="str">
        <f t="shared" si="195"/>
        <v>Aug</v>
      </c>
      <c r="D4175" t="s">
        <v>3110</v>
      </c>
      <c r="E4175" t="s">
        <v>26</v>
      </c>
      <c r="F4175" t="s">
        <v>789</v>
      </c>
      <c r="G4175">
        <v>6</v>
      </c>
      <c r="H4175" s="7">
        <v>218.09</v>
      </c>
      <c r="I4175" t="s">
        <v>103</v>
      </c>
      <c r="J4175" t="s">
        <v>28</v>
      </c>
      <c r="K4175">
        <v>0</v>
      </c>
      <c r="L4175" s="7">
        <f t="shared" si="196"/>
        <v>1308.54</v>
      </c>
      <c r="M4175" s="7"/>
      <c r="O4175">
        <f t="shared" si="197"/>
        <v>2</v>
      </c>
      <c r="Q4175" t="s">
        <v>104</v>
      </c>
    </row>
    <row r="4176" spans="1:17" x14ac:dyDescent="0.3">
      <c r="A4176" t="s">
        <v>5305</v>
      </c>
      <c r="B4176" s="6">
        <v>45160</v>
      </c>
      <c r="C4176" s="6" t="str">
        <f t="shared" si="195"/>
        <v>Aug</v>
      </c>
      <c r="D4176" t="s">
        <v>3187</v>
      </c>
      <c r="E4176" t="s">
        <v>19</v>
      </c>
      <c r="F4176" t="s">
        <v>254</v>
      </c>
      <c r="G4176">
        <v>6</v>
      </c>
      <c r="H4176" s="7">
        <v>252.16</v>
      </c>
      <c r="I4176" t="s">
        <v>32</v>
      </c>
      <c r="J4176" t="s">
        <v>28</v>
      </c>
      <c r="K4176">
        <v>20</v>
      </c>
      <c r="L4176" s="7">
        <f t="shared" si="196"/>
        <v>1512.96</v>
      </c>
      <c r="M4176" s="7"/>
      <c r="O4176">
        <f t="shared" si="197"/>
        <v>2</v>
      </c>
      <c r="Q4176" t="s">
        <v>33</v>
      </c>
    </row>
    <row r="4177" spans="1:17" x14ac:dyDescent="0.3">
      <c r="A4177" t="s">
        <v>5306</v>
      </c>
      <c r="B4177" s="6">
        <v>45028</v>
      </c>
      <c r="C4177" s="6" t="str">
        <f t="shared" si="195"/>
        <v>Apr</v>
      </c>
      <c r="D4177" t="s">
        <v>181</v>
      </c>
      <c r="E4177" t="s">
        <v>40</v>
      </c>
      <c r="F4177" t="s">
        <v>222</v>
      </c>
      <c r="G4177">
        <v>2</v>
      </c>
      <c r="H4177" s="7">
        <v>123.84</v>
      </c>
      <c r="I4177" t="s">
        <v>103</v>
      </c>
      <c r="J4177" t="s">
        <v>87</v>
      </c>
      <c r="K4177">
        <v>5</v>
      </c>
      <c r="L4177" s="7">
        <f t="shared" si="196"/>
        <v>247.68</v>
      </c>
      <c r="M4177" s="7"/>
      <c r="O4177">
        <f t="shared" si="197"/>
        <v>2</v>
      </c>
      <c r="Q4177" t="s">
        <v>104</v>
      </c>
    </row>
    <row r="4178" spans="1:17" x14ac:dyDescent="0.3">
      <c r="A4178" t="s">
        <v>5307</v>
      </c>
      <c r="B4178" s="6">
        <v>44940</v>
      </c>
      <c r="C4178" s="6" t="str">
        <f t="shared" si="195"/>
        <v>Jan</v>
      </c>
      <c r="D4178" t="s">
        <v>3825</v>
      </c>
      <c r="E4178" t="s">
        <v>36</v>
      </c>
      <c r="F4178" t="s">
        <v>160</v>
      </c>
      <c r="G4178">
        <v>6</v>
      </c>
      <c r="H4178" s="7">
        <v>447.83</v>
      </c>
      <c r="I4178" t="s">
        <v>32</v>
      </c>
      <c r="J4178" t="s">
        <v>28</v>
      </c>
      <c r="K4178">
        <v>10</v>
      </c>
      <c r="L4178" s="7">
        <f t="shared" si="196"/>
        <v>2686.98</v>
      </c>
      <c r="M4178" s="7"/>
      <c r="O4178">
        <f t="shared" si="197"/>
        <v>3</v>
      </c>
      <c r="Q4178" t="s">
        <v>33</v>
      </c>
    </row>
    <row r="4179" spans="1:17" x14ac:dyDescent="0.3">
      <c r="A4179" t="s">
        <v>5308</v>
      </c>
      <c r="B4179" s="6">
        <v>45159</v>
      </c>
      <c r="C4179" s="6" t="str">
        <f t="shared" si="195"/>
        <v>Aug</v>
      </c>
      <c r="D4179" t="s">
        <v>700</v>
      </c>
      <c r="E4179" t="s">
        <v>19</v>
      </c>
      <c r="F4179" t="s">
        <v>356</v>
      </c>
      <c r="G4179">
        <v>5</v>
      </c>
      <c r="H4179" s="7">
        <v>273.56</v>
      </c>
      <c r="I4179" t="s">
        <v>21</v>
      </c>
      <c r="J4179" t="s">
        <v>22</v>
      </c>
      <c r="K4179">
        <v>15</v>
      </c>
      <c r="L4179" s="7">
        <f t="shared" si="196"/>
        <v>1367.8</v>
      </c>
      <c r="M4179" s="7"/>
      <c r="O4179">
        <f t="shared" si="197"/>
        <v>2</v>
      </c>
      <c r="Q4179" t="s">
        <v>23</v>
      </c>
    </row>
    <row r="4180" spans="1:17" x14ac:dyDescent="0.3">
      <c r="A4180" t="s">
        <v>5309</v>
      </c>
      <c r="B4180" s="6">
        <v>44967</v>
      </c>
      <c r="C4180" s="6" t="str">
        <f t="shared" si="195"/>
        <v>Feb</v>
      </c>
      <c r="D4180" t="s">
        <v>4048</v>
      </c>
      <c r="E4180" t="s">
        <v>19</v>
      </c>
      <c r="F4180" t="s">
        <v>474</v>
      </c>
      <c r="G4180">
        <v>3</v>
      </c>
      <c r="H4180" s="7">
        <v>489.33</v>
      </c>
      <c r="I4180" t="s">
        <v>21</v>
      </c>
      <c r="J4180" t="s">
        <v>42</v>
      </c>
      <c r="K4180">
        <v>15</v>
      </c>
      <c r="L4180" s="7">
        <f t="shared" si="196"/>
        <v>1467.99</v>
      </c>
      <c r="M4180" s="7"/>
      <c r="O4180">
        <f t="shared" si="197"/>
        <v>2</v>
      </c>
      <c r="Q4180" t="s">
        <v>23</v>
      </c>
    </row>
    <row r="4181" spans="1:17" x14ac:dyDescent="0.3">
      <c r="A4181" t="s">
        <v>5310</v>
      </c>
      <c r="B4181" s="6">
        <v>45000</v>
      </c>
      <c r="C4181" s="6" t="str">
        <f t="shared" si="195"/>
        <v>Mar</v>
      </c>
      <c r="D4181" t="s">
        <v>669</v>
      </c>
      <c r="E4181" t="s">
        <v>31</v>
      </c>
      <c r="F4181" t="s">
        <v>983</v>
      </c>
      <c r="G4181">
        <v>6</v>
      </c>
      <c r="H4181" s="7">
        <v>405.96</v>
      </c>
      <c r="I4181" t="s">
        <v>46</v>
      </c>
      <c r="J4181" t="s">
        <v>72</v>
      </c>
      <c r="K4181">
        <v>20</v>
      </c>
      <c r="L4181" s="7">
        <f t="shared" si="196"/>
        <v>2435.7599999999998</v>
      </c>
      <c r="M4181" s="7"/>
      <c r="O4181">
        <f t="shared" si="197"/>
        <v>2</v>
      </c>
      <c r="Q4181" t="s">
        <v>47</v>
      </c>
    </row>
    <row r="4182" spans="1:17" x14ac:dyDescent="0.3">
      <c r="A4182" t="s">
        <v>5311</v>
      </c>
      <c r="B4182" s="6">
        <v>44982</v>
      </c>
      <c r="C4182" s="6" t="str">
        <f t="shared" si="195"/>
        <v>Feb</v>
      </c>
      <c r="D4182" t="s">
        <v>395</v>
      </c>
      <c r="E4182" t="s">
        <v>26</v>
      </c>
      <c r="F4182" t="s">
        <v>102</v>
      </c>
      <c r="G4182">
        <v>8</v>
      </c>
      <c r="H4182" s="7">
        <v>280.07</v>
      </c>
      <c r="I4182" t="s">
        <v>21</v>
      </c>
      <c r="J4182" t="s">
        <v>42</v>
      </c>
      <c r="K4182">
        <v>15</v>
      </c>
      <c r="L4182" s="7">
        <f t="shared" si="196"/>
        <v>2240.56</v>
      </c>
      <c r="M4182" s="7"/>
      <c r="O4182">
        <f t="shared" si="197"/>
        <v>2</v>
      </c>
      <c r="Q4182" t="s">
        <v>23</v>
      </c>
    </row>
    <row r="4183" spans="1:17" x14ac:dyDescent="0.3">
      <c r="A4183" t="s">
        <v>5312</v>
      </c>
      <c r="B4183" s="6">
        <v>45253</v>
      </c>
      <c r="C4183" s="6" t="str">
        <f t="shared" si="195"/>
        <v>Nov</v>
      </c>
      <c r="D4183" t="s">
        <v>1309</v>
      </c>
      <c r="E4183" t="s">
        <v>40</v>
      </c>
      <c r="F4183" t="s">
        <v>822</v>
      </c>
      <c r="G4183">
        <v>9</v>
      </c>
      <c r="H4183" s="7">
        <v>473.78</v>
      </c>
      <c r="I4183" t="s">
        <v>103</v>
      </c>
      <c r="J4183" t="s">
        <v>87</v>
      </c>
      <c r="K4183">
        <v>0</v>
      </c>
      <c r="L4183" s="7">
        <f t="shared" si="196"/>
        <v>4264.0199999999995</v>
      </c>
      <c r="M4183" s="7"/>
      <c r="O4183">
        <f t="shared" si="197"/>
        <v>5</v>
      </c>
      <c r="Q4183" t="s">
        <v>104</v>
      </c>
    </row>
    <row r="4184" spans="1:17" x14ac:dyDescent="0.3">
      <c r="A4184" t="s">
        <v>5313</v>
      </c>
      <c r="B4184" s="6">
        <v>44986</v>
      </c>
      <c r="C4184" s="6" t="str">
        <f t="shared" si="195"/>
        <v>Mar</v>
      </c>
      <c r="D4184" t="s">
        <v>667</v>
      </c>
      <c r="E4184" t="s">
        <v>19</v>
      </c>
      <c r="F4184" t="s">
        <v>386</v>
      </c>
      <c r="G4184">
        <v>1</v>
      </c>
      <c r="H4184" s="7">
        <v>254.91</v>
      </c>
      <c r="I4184" t="s">
        <v>21</v>
      </c>
      <c r="J4184" t="s">
        <v>72</v>
      </c>
      <c r="K4184">
        <v>0</v>
      </c>
      <c r="L4184" s="7">
        <f t="shared" si="196"/>
        <v>254.91</v>
      </c>
      <c r="M4184" s="7"/>
      <c r="O4184">
        <f t="shared" si="197"/>
        <v>2</v>
      </c>
      <c r="Q4184" t="s">
        <v>23</v>
      </c>
    </row>
    <row r="4185" spans="1:17" x14ac:dyDescent="0.3">
      <c r="A4185" t="s">
        <v>5314</v>
      </c>
      <c r="B4185" s="6">
        <v>45053</v>
      </c>
      <c r="C4185" s="6" t="str">
        <f t="shared" si="195"/>
        <v>May</v>
      </c>
      <c r="D4185" t="s">
        <v>1056</v>
      </c>
      <c r="E4185" t="s">
        <v>26</v>
      </c>
      <c r="F4185" t="s">
        <v>37</v>
      </c>
      <c r="G4185">
        <v>3</v>
      </c>
      <c r="H4185" s="7">
        <v>444.12</v>
      </c>
      <c r="I4185" t="s">
        <v>46</v>
      </c>
      <c r="J4185" t="s">
        <v>87</v>
      </c>
      <c r="K4185">
        <v>5</v>
      </c>
      <c r="L4185" s="7">
        <f t="shared" si="196"/>
        <v>1332.3600000000001</v>
      </c>
      <c r="M4185" s="7"/>
      <c r="O4185">
        <f t="shared" si="197"/>
        <v>2</v>
      </c>
      <c r="Q4185" t="s">
        <v>47</v>
      </c>
    </row>
    <row r="4186" spans="1:17" x14ac:dyDescent="0.3">
      <c r="A4186" t="s">
        <v>5315</v>
      </c>
      <c r="B4186" s="6">
        <v>44999</v>
      </c>
      <c r="C4186" s="6" t="str">
        <f t="shared" si="195"/>
        <v>Mar</v>
      </c>
      <c r="D4186" t="s">
        <v>2236</v>
      </c>
      <c r="E4186" t="s">
        <v>50</v>
      </c>
      <c r="F4186" t="s">
        <v>398</v>
      </c>
      <c r="G4186">
        <v>3</v>
      </c>
      <c r="H4186" s="7">
        <v>182.28</v>
      </c>
      <c r="I4186" t="s">
        <v>21</v>
      </c>
      <c r="J4186" t="s">
        <v>22</v>
      </c>
      <c r="K4186">
        <v>5</v>
      </c>
      <c r="L4186" s="7">
        <f t="shared" si="196"/>
        <v>546.84</v>
      </c>
      <c r="M4186" s="7"/>
      <c r="O4186">
        <f t="shared" si="197"/>
        <v>2</v>
      </c>
      <c r="Q4186" t="s">
        <v>23</v>
      </c>
    </row>
    <row r="4187" spans="1:17" x14ac:dyDescent="0.3">
      <c r="A4187" t="s">
        <v>5316</v>
      </c>
      <c r="B4187" s="6">
        <v>45230</v>
      </c>
      <c r="C4187" s="6" t="str">
        <f t="shared" si="195"/>
        <v>Oct</v>
      </c>
      <c r="D4187" t="s">
        <v>1011</v>
      </c>
      <c r="E4187" t="s">
        <v>36</v>
      </c>
      <c r="F4187" t="s">
        <v>749</v>
      </c>
      <c r="G4187">
        <v>8</v>
      </c>
      <c r="H4187" s="7">
        <v>192.43</v>
      </c>
      <c r="I4187" t="s">
        <v>21</v>
      </c>
      <c r="J4187" t="s">
        <v>72</v>
      </c>
      <c r="K4187">
        <v>5</v>
      </c>
      <c r="L4187" s="7">
        <f t="shared" si="196"/>
        <v>1539.44</v>
      </c>
      <c r="M4187" s="7"/>
      <c r="O4187">
        <f t="shared" si="197"/>
        <v>2</v>
      </c>
      <c r="Q4187" t="s">
        <v>23</v>
      </c>
    </row>
    <row r="4188" spans="1:17" x14ac:dyDescent="0.3">
      <c r="A4188" t="s">
        <v>5317</v>
      </c>
      <c r="B4188" s="6">
        <v>45137</v>
      </c>
      <c r="C4188" s="6" t="str">
        <f t="shared" si="195"/>
        <v>Jul</v>
      </c>
      <c r="D4188" t="s">
        <v>318</v>
      </c>
      <c r="E4188" t="s">
        <v>19</v>
      </c>
      <c r="F4188" t="s">
        <v>538</v>
      </c>
      <c r="G4188">
        <v>1</v>
      </c>
      <c r="H4188" s="7">
        <v>211.97</v>
      </c>
      <c r="I4188" t="s">
        <v>46</v>
      </c>
      <c r="J4188" t="s">
        <v>42</v>
      </c>
      <c r="K4188">
        <v>0</v>
      </c>
      <c r="L4188" s="7">
        <f t="shared" si="196"/>
        <v>211.97</v>
      </c>
      <c r="M4188" s="7"/>
      <c r="O4188">
        <f t="shared" si="197"/>
        <v>2</v>
      </c>
      <c r="Q4188" t="s">
        <v>47</v>
      </c>
    </row>
    <row r="4189" spans="1:17" x14ac:dyDescent="0.3">
      <c r="A4189" t="s">
        <v>5318</v>
      </c>
      <c r="B4189" s="6">
        <v>45088</v>
      </c>
      <c r="C4189" s="6" t="str">
        <f t="shared" si="195"/>
        <v>Jun</v>
      </c>
      <c r="D4189" t="s">
        <v>766</v>
      </c>
      <c r="E4189" t="s">
        <v>36</v>
      </c>
      <c r="F4189" t="s">
        <v>246</v>
      </c>
      <c r="G4189">
        <v>5</v>
      </c>
      <c r="H4189" s="7">
        <v>275.58</v>
      </c>
      <c r="I4189" t="s">
        <v>64</v>
      </c>
      <c r="J4189" t="s">
        <v>72</v>
      </c>
      <c r="K4189">
        <v>10</v>
      </c>
      <c r="L4189" s="7">
        <f t="shared" si="196"/>
        <v>1377.8999999999999</v>
      </c>
      <c r="M4189" s="7"/>
      <c r="O4189">
        <f t="shared" si="197"/>
        <v>2</v>
      </c>
      <c r="Q4189" t="s">
        <v>65</v>
      </c>
    </row>
    <row r="4190" spans="1:17" x14ac:dyDescent="0.3">
      <c r="A4190" t="s">
        <v>5319</v>
      </c>
      <c r="B4190" s="6">
        <v>45235</v>
      </c>
      <c r="C4190" s="6" t="str">
        <f t="shared" si="195"/>
        <v>Nov</v>
      </c>
      <c r="D4190" t="s">
        <v>2621</v>
      </c>
      <c r="E4190" t="s">
        <v>26</v>
      </c>
      <c r="F4190" t="s">
        <v>887</v>
      </c>
      <c r="G4190">
        <v>3</v>
      </c>
      <c r="H4190" s="7">
        <v>278.98</v>
      </c>
      <c r="I4190" t="s">
        <v>21</v>
      </c>
      <c r="J4190" t="s">
        <v>42</v>
      </c>
      <c r="K4190">
        <v>10</v>
      </c>
      <c r="L4190" s="7">
        <f t="shared" si="196"/>
        <v>836.94</v>
      </c>
      <c r="M4190" s="7"/>
      <c r="O4190">
        <f t="shared" si="197"/>
        <v>2</v>
      </c>
      <c r="Q4190" t="s">
        <v>23</v>
      </c>
    </row>
    <row r="4191" spans="1:17" x14ac:dyDescent="0.3">
      <c r="A4191" t="s">
        <v>5320</v>
      </c>
      <c r="B4191" s="6">
        <v>45088</v>
      </c>
      <c r="C4191" s="6" t="str">
        <f t="shared" si="195"/>
        <v>Jun</v>
      </c>
      <c r="D4191" t="s">
        <v>821</v>
      </c>
      <c r="E4191" t="s">
        <v>36</v>
      </c>
      <c r="F4191" t="s">
        <v>833</v>
      </c>
      <c r="G4191">
        <v>2</v>
      </c>
      <c r="H4191" s="7">
        <v>250.72</v>
      </c>
      <c r="I4191" t="s">
        <v>103</v>
      </c>
      <c r="J4191" t="s">
        <v>72</v>
      </c>
      <c r="K4191">
        <v>5</v>
      </c>
      <c r="L4191" s="7">
        <f t="shared" si="196"/>
        <v>501.44</v>
      </c>
      <c r="M4191" s="7"/>
      <c r="O4191">
        <f t="shared" si="197"/>
        <v>2</v>
      </c>
      <c r="Q4191" t="s">
        <v>104</v>
      </c>
    </row>
    <row r="4192" spans="1:17" x14ac:dyDescent="0.3">
      <c r="A4192" t="s">
        <v>5321</v>
      </c>
      <c r="B4192" s="6">
        <v>45273</v>
      </c>
      <c r="C4192" s="6" t="str">
        <f t="shared" si="195"/>
        <v>Dec</v>
      </c>
      <c r="D4192" t="s">
        <v>641</v>
      </c>
      <c r="E4192" t="s">
        <v>31</v>
      </c>
      <c r="F4192" t="s">
        <v>99</v>
      </c>
      <c r="G4192">
        <v>8</v>
      </c>
      <c r="H4192" s="7">
        <v>156.47</v>
      </c>
      <c r="I4192" t="s">
        <v>46</v>
      </c>
      <c r="J4192" t="s">
        <v>42</v>
      </c>
      <c r="K4192">
        <v>5</v>
      </c>
      <c r="L4192" s="7">
        <f t="shared" si="196"/>
        <v>1251.76</v>
      </c>
      <c r="M4192" s="7"/>
      <c r="O4192">
        <f t="shared" si="197"/>
        <v>2</v>
      </c>
      <c r="Q4192" t="s">
        <v>47</v>
      </c>
    </row>
    <row r="4193" spans="1:17" x14ac:dyDescent="0.3">
      <c r="A4193" t="s">
        <v>5322</v>
      </c>
      <c r="B4193" s="6">
        <v>45125</v>
      </c>
      <c r="C4193" s="6" t="str">
        <f t="shared" si="195"/>
        <v>Jul</v>
      </c>
      <c r="D4193" t="s">
        <v>1236</v>
      </c>
      <c r="E4193" t="s">
        <v>36</v>
      </c>
      <c r="F4193" t="s">
        <v>1851</v>
      </c>
      <c r="G4193">
        <v>3</v>
      </c>
      <c r="H4193" s="7">
        <v>463.97</v>
      </c>
      <c r="I4193" t="s">
        <v>21</v>
      </c>
      <c r="J4193" t="s">
        <v>19</v>
      </c>
      <c r="K4193">
        <v>0</v>
      </c>
      <c r="L4193" s="7">
        <f t="shared" si="196"/>
        <v>1391.91</v>
      </c>
      <c r="M4193" s="7"/>
      <c r="O4193">
        <f t="shared" si="197"/>
        <v>2</v>
      </c>
      <c r="Q4193" t="s">
        <v>23</v>
      </c>
    </row>
    <row r="4194" spans="1:17" x14ac:dyDescent="0.3">
      <c r="A4194" t="s">
        <v>5323</v>
      </c>
      <c r="B4194" s="6">
        <v>45140</v>
      </c>
      <c r="C4194" s="6" t="str">
        <f t="shared" si="195"/>
        <v>Aug</v>
      </c>
      <c r="D4194" t="s">
        <v>213</v>
      </c>
      <c r="E4194" t="s">
        <v>62</v>
      </c>
      <c r="F4194" t="s">
        <v>99</v>
      </c>
      <c r="G4194">
        <v>7</v>
      </c>
      <c r="H4194" s="7">
        <v>296.35000000000002</v>
      </c>
      <c r="I4194" t="s">
        <v>46</v>
      </c>
      <c r="J4194" t="s">
        <v>87</v>
      </c>
      <c r="K4194">
        <v>20</v>
      </c>
      <c r="L4194" s="7">
        <f t="shared" si="196"/>
        <v>2074.4500000000003</v>
      </c>
      <c r="M4194" s="7"/>
      <c r="O4194">
        <f t="shared" si="197"/>
        <v>2</v>
      </c>
      <c r="Q4194" t="s">
        <v>47</v>
      </c>
    </row>
    <row r="4195" spans="1:17" x14ac:dyDescent="0.3">
      <c r="A4195" t="s">
        <v>5324</v>
      </c>
      <c r="B4195" s="6">
        <v>45000</v>
      </c>
      <c r="C4195" s="6" t="str">
        <f t="shared" si="195"/>
        <v>Mar</v>
      </c>
      <c r="D4195" t="s">
        <v>1266</v>
      </c>
      <c r="E4195" t="s">
        <v>19</v>
      </c>
      <c r="F4195" t="s">
        <v>122</v>
      </c>
      <c r="G4195">
        <v>5</v>
      </c>
      <c r="H4195" s="7">
        <v>206.83</v>
      </c>
      <c r="I4195" t="s">
        <v>46</v>
      </c>
      <c r="J4195" t="s">
        <v>87</v>
      </c>
      <c r="K4195">
        <v>15</v>
      </c>
      <c r="L4195" s="7">
        <f t="shared" si="196"/>
        <v>1034.1500000000001</v>
      </c>
      <c r="M4195" s="7"/>
      <c r="O4195">
        <f t="shared" si="197"/>
        <v>2</v>
      </c>
      <c r="Q4195" t="s">
        <v>47</v>
      </c>
    </row>
    <row r="4196" spans="1:17" x14ac:dyDescent="0.3">
      <c r="A4196" t="s">
        <v>5325</v>
      </c>
      <c r="B4196" s="6">
        <v>45052</v>
      </c>
      <c r="C4196" s="6" t="str">
        <f t="shared" si="195"/>
        <v>May</v>
      </c>
      <c r="D4196" t="s">
        <v>1398</v>
      </c>
      <c r="E4196" t="s">
        <v>40</v>
      </c>
      <c r="F4196" t="s">
        <v>222</v>
      </c>
      <c r="G4196">
        <v>6</v>
      </c>
      <c r="H4196" s="7">
        <v>327.33</v>
      </c>
      <c r="I4196" t="s">
        <v>64</v>
      </c>
      <c r="J4196" t="s">
        <v>22</v>
      </c>
      <c r="K4196">
        <v>10</v>
      </c>
      <c r="L4196" s="7">
        <f t="shared" si="196"/>
        <v>1963.98</v>
      </c>
      <c r="M4196" s="7"/>
      <c r="O4196">
        <f t="shared" si="197"/>
        <v>2</v>
      </c>
      <c r="Q4196" t="s">
        <v>65</v>
      </c>
    </row>
    <row r="4197" spans="1:17" x14ac:dyDescent="0.3">
      <c r="A4197" t="s">
        <v>5326</v>
      </c>
      <c r="B4197" s="6">
        <v>44954</v>
      </c>
      <c r="C4197" s="6" t="str">
        <f t="shared" si="195"/>
        <v>Jan</v>
      </c>
      <c r="D4197" t="s">
        <v>2411</v>
      </c>
      <c r="E4197" t="s">
        <v>62</v>
      </c>
      <c r="F4197" t="s">
        <v>698</v>
      </c>
      <c r="G4197">
        <v>3</v>
      </c>
      <c r="H4197" s="7">
        <v>385.14</v>
      </c>
      <c r="I4197" t="s">
        <v>32</v>
      </c>
      <c r="J4197" t="s">
        <v>72</v>
      </c>
      <c r="K4197">
        <v>10</v>
      </c>
      <c r="L4197" s="7">
        <f t="shared" si="196"/>
        <v>1155.42</v>
      </c>
      <c r="M4197" s="7"/>
      <c r="O4197">
        <f t="shared" si="197"/>
        <v>2</v>
      </c>
      <c r="Q4197" t="s">
        <v>33</v>
      </c>
    </row>
    <row r="4198" spans="1:17" x14ac:dyDescent="0.3">
      <c r="A4198" t="s">
        <v>5327</v>
      </c>
      <c r="B4198" s="6">
        <v>45094</v>
      </c>
      <c r="C4198" s="6" t="str">
        <f t="shared" si="195"/>
        <v>Jun</v>
      </c>
      <c r="D4198" t="s">
        <v>338</v>
      </c>
      <c r="E4198" t="s">
        <v>50</v>
      </c>
      <c r="F4198" t="s">
        <v>406</v>
      </c>
      <c r="G4198">
        <v>8</v>
      </c>
      <c r="H4198" s="7">
        <v>480.56</v>
      </c>
      <c r="I4198" t="s">
        <v>103</v>
      </c>
      <c r="J4198" t="s">
        <v>42</v>
      </c>
      <c r="K4198">
        <v>10</v>
      </c>
      <c r="L4198" s="7">
        <f t="shared" si="196"/>
        <v>3844.48</v>
      </c>
      <c r="M4198" s="7"/>
      <c r="O4198">
        <f t="shared" si="197"/>
        <v>5</v>
      </c>
      <c r="Q4198" t="s">
        <v>104</v>
      </c>
    </row>
    <row r="4199" spans="1:17" x14ac:dyDescent="0.3">
      <c r="A4199" t="s">
        <v>5328</v>
      </c>
      <c r="B4199" s="6">
        <v>45099</v>
      </c>
      <c r="C4199" s="6" t="str">
        <f t="shared" si="195"/>
        <v>Jun</v>
      </c>
      <c r="D4199" t="s">
        <v>1359</v>
      </c>
      <c r="E4199" t="s">
        <v>26</v>
      </c>
      <c r="F4199" t="s">
        <v>549</v>
      </c>
      <c r="G4199">
        <v>5</v>
      </c>
      <c r="H4199" s="7">
        <v>252.28</v>
      </c>
      <c r="I4199" t="s">
        <v>46</v>
      </c>
      <c r="J4199" t="s">
        <v>19</v>
      </c>
      <c r="K4199">
        <v>0</v>
      </c>
      <c r="L4199" s="7">
        <f t="shared" si="196"/>
        <v>1261.4000000000001</v>
      </c>
      <c r="M4199" s="7"/>
      <c r="O4199">
        <f t="shared" si="197"/>
        <v>2</v>
      </c>
      <c r="Q4199" t="s">
        <v>47</v>
      </c>
    </row>
    <row r="4200" spans="1:17" x14ac:dyDescent="0.3">
      <c r="A4200" t="s">
        <v>5329</v>
      </c>
      <c r="B4200" s="6">
        <v>45036</v>
      </c>
      <c r="C4200" s="6" t="str">
        <f t="shared" si="195"/>
        <v>Apr</v>
      </c>
      <c r="D4200" t="s">
        <v>1412</v>
      </c>
      <c r="E4200" t="s">
        <v>62</v>
      </c>
      <c r="F4200" t="s">
        <v>722</v>
      </c>
      <c r="G4200">
        <v>2</v>
      </c>
      <c r="H4200" s="7">
        <v>60.49</v>
      </c>
      <c r="I4200" t="s">
        <v>19</v>
      </c>
      <c r="J4200" t="s">
        <v>19</v>
      </c>
      <c r="K4200">
        <v>0</v>
      </c>
      <c r="L4200" s="7">
        <f t="shared" si="196"/>
        <v>120.98</v>
      </c>
      <c r="M4200" s="7"/>
      <c r="O4200">
        <f t="shared" si="197"/>
        <v>2</v>
      </c>
      <c r="Q4200" t="s">
        <v>19</v>
      </c>
    </row>
    <row r="4201" spans="1:17" x14ac:dyDescent="0.3">
      <c r="A4201" t="s">
        <v>5330</v>
      </c>
      <c r="B4201" s="6">
        <v>45046</v>
      </c>
      <c r="C4201" s="6" t="str">
        <f t="shared" si="195"/>
        <v>Apr</v>
      </c>
      <c r="D4201" t="s">
        <v>1673</v>
      </c>
      <c r="E4201" t="s">
        <v>26</v>
      </c>
      <c r="F4201" t="s">
        <v>122</v>
      </c>
      <c r="G4201">
        <v>6</v>
      </c>
      <c r="H4201" s="7">
        <v>223.18</v>
      </c>
      <c r="I4201" t="s">
        <v>19</v>
      </c>
      <c r="J4201" t="s">
        <v>72</v>
      </c>
      <c r="K4201">
        <v>10</v>
      </c>
      <c r="L4201" s="7">
        <f t="shared" si="196"/>
        <v>1339.08</v>
      </c>
      <c r="M4201" s="7"/>
      <c r="O4201">
        <f t="shared" si="197"/>
        <v>2</v>
      </c>
      <c r="Q4201" t="s">
        <v>19</v>
      </c>
    </row>
    <row r="4202" spans="1:17" x14ac:dyDescent="0.3">
      <c r="A4202" t="s">
        <v>5331</v>
      </c>
      <c r="B4202" s="6">
        <v>45069</v>
      </c>
      <c r="C4202" s="6" t="str">
        <f t="shared" si="195"/>
        <v>May</v>
      </c>
      <c r="D4202" t="s">
        <v>1067</v>
      </c>
      <c r="E4202" t="s">
        <v>62</v>
      </c>
      <c r="F4202" t="s">
        <v>472</v>
      </c>
      <c r="G4202">
        <v>7</v>
      </c>
      <c r="H4202" s="7">
        <v>242.09</v>
      </c>
      <c r="I4202" t="s">
        <v>46</v>
      </c>
      <c r="J4202" t="s">
        <v>87</v>
      </c>
      <c r="K4202">
        <v>10</v>
      </c>
      <c r="L4202" s="7">
        <f t="shared" si="196"/>
        <v>1694.63</v>
      </c>
      <c r="M4202" s="7"/>
      <c r="O4202">
        <f t="shared" si="197"/>
        <v>2</v>
      </c>
      <c r="Q4202" t="s">
        <v>47</v>
      </c>
    </row>
    <row r="4203" spans="1:17" x14ac:dyDescent="0.3">
      <c r="A4203" t="s">
        <v>5332</v>
      </c>
      <c r="B4203" s="6">
        <v>45062</v>
      </c>
      <c r="C4203" s="6" t="str">
        <f t="shared" si="195"/>
        <v>May</v>
      </c>
      <c r="D4203" t="s">
        <v>1433</v>
      </c>
      <c r="E4203" t="s">
        <v>19</v>
      </c>
      <c r="F4203" t="s">
        <v>642</v>
      </c>
      <c r="G4203">
        <v>5</v>
      </c>
      <c r="H4203" s="7">
        <v>449.01</v>
      </c>
      <c r="I4203" t="s">
        <v>19</v>
      </c>
      <c r="J4203" t="s">
        <v>19</v>
      </c>
      <c r="K4203">
        <v>5</v>
      </c>
      <c r="L4203" s="7">
        <f t="shared" si="196"/>
        <v>2245.0500000000002</v>
      </c>
      <c r="M4203" s="7"/>
      <c r="O4203">
        <f t="shared" si="197"/>
        <v>2</v>
      </c>
      <c r="Q4203" t="s">
        <v>19</v>
      </c>
    </row>
    <row r="4204" spans="1:17" x14ac:dyDescent="0.3">
      <c r="A4204" t="s">
        <v>5333</v>
      </c>
      <c r="B4204" s="6">
        <v>44941</v>
      </c>
      <c r="C4204" s="6" t="str">
        <f t="shared" si="195"/>
        <v>Jan</v>
      </c>
      <c r="D4204" t="s">
        <v>307</v>
      </c>
      <c r="E4204" t="s">
        <v>62</v>
      </c>
      <c r="F4204" t="s">
        <v>2185</v>
      </c>
      <c r="G4204">
        <v>3</v>
      </c>
      <c r="H4204" s="7">
        <v>200.43</v>
      </c>
      <c r="I4204" t="s">
        <v>32</v>
      </c>
      <c r="J4204" t="s">
        <v>19</v>
      </c>
      <c r="K4204">
        <v>10</v>
      </c>
      <c r="L4204" s="7">
        <f t="shared" si="196"/>
        <v>601.29</v>
      </c>
      <c r="M4204" s="7"/>
      <c r="O4204">
        <f t="shared" si="197"/>
        <v>2</v>
      </c>
      <c r="Q4204" t="s">
        <v>33</v>
      </c>
    </row>
    <row r="4205" spans="1:17" x14ac:dyDescent="0.3">
      <c r="A4205" t="s">
        <v>5334</v>
      </c>
      <c r="B4205" s="6">
        <v>45284</v>
      </c>
      <c r="C4205" s="6" t="str">
        <f t="shared" si="195"/>
        <v>Dec</v>
      </c>
      <c r="D4205" t="s">
        <v>1219</v>
      </c>
      <c r="E4205" t="s">
        <v>40</v>
      </c>
      <c r="F4205" t="s">
        <v>214</v>
      </c>
      <c r="G4205">
        <v>4</v>
      </c>
      <c r="H4205" s="7">
        <v>476.9</v>
      </c>
      <c r="I4205" t="s">
        <v>103</v>
      </c>
      <c r="J4205" t="s">
        <v>87</v>
      </c>
      <c r="K4205">
        <v>15</v>
      </c>
      <c r="L4205" s="7">
        <f t="shared" si="196"/>
        <v>1907.6</v>
      </c>
      <c r="M4205" s="7"/>
      <c r="O4205">
        <f t="shared" si="197"/>
        <v>2</v>
      </c>
      <c r="Q4205" t="s">
        <v>104</v>
      </c>
    </row>
    <row r="4206" spans="1:17" x14ac:dyDescent="0.3">
      <c r="A4206" t="s">
        <v>5335</v>
      </c>
      <c r="B4206" s="6">
        <v>45012</v>
      </c>
      <c r="C4206" s="6" t="str">
        <f t="shared" si="195"/>
        <v>Mar</v>
      </c>
      <c r="D4206" t="s">
        <v>689</v>
      </c>
      <c r="E4206" t="s">
        <v>26</v>
      </c>
      <c r="F4206" t="s">
        <v>75</v>
      </c>
      <c r="G4206">
        <v>4</v>
      </c>
      <c r="H4206" s="7">
        <v>245.14</v>
      </c>
      <c r="I4206" t="s">
        <v>46</v>
      </c>
      <c r="J4206" t="s">
        <v>22</v>
      </c>
      <c r="K4206">
        <v>15</v>
      </c>
      <c r="L4206" s="7">
        <f t="shared" si="196"/>
        <v>980.56</v>
      </c>
      <c r="M4206" s="7"/>
      <c r="O4206">
        <f t="shared" si="197"/>
        <v>2</v>
      </c>
      <c r="Q4206" t="s">
        <v>47</v>
      </c>
    </row>
    <row r="4207" spans="1:17" x14ac:dyDescent="0.3">
      <c r="A4207" t="s">
        <v>5336</v>
      </c>
      <c r="B4207" s="6">
        <v>45049</v>
      </c>
      <c r="C4207" s="6" t="str">
        <f t="shared" si="195"/>
        <v>May</v>
      </c>
      <c r="D4207" t="s">
        <v>2843</v>
      </c>
      <c r="E4207" t="s">
        <v>50</v>
      </c>
      <c r="F4207" t="s">
        <v>231</v>
      </c>
      <c r="G4207">
        <v>6</v>
      </c>
      <c r="H4207" s="7">
        <v>487.02</v>
      </c>
      <c r="I4207" t="s">
        <v>32</v>
      </c>
      <c r="J4207" t="s">
        <v>19</v>
      </c>
      <c r="K4207">
        <v>10</v>
      </c>
      <c r="L4207" s="7">
        <f t="shared" si="196"/>
        <v>2922.12</v>
      </c>
      <c r="M4207" s="7"/>
      <c r="O4207">
        <f t="shared" si="197"/>
        <v>3</v>
      </c>
      <c r="Q4207" t="s">
        <v>33</v>
      </c>
    </row>
    <row r="4208" spans="1:17" x14ac:dyDescent="0.3">
      <c r="A4208" t="s">
        <v>5337</v>
      </c>
      <c r="B4208" s="6">
        <v>44932</v>
      </c>
      <c r="C4208" s="6" t="str">
        <f t="shared" si="195"/>
        <v>Jan</v>
      </c>
      <c r="D4208" t="s">
        <v>1418</v>
      </c>
      <c r="E4208" t="s">
        <v>26</v>
      </c>
      <c r="F4208" t="s">
        <v>298</v>
      </c>
      <c r="G4208">
        <v>1</v>
      </c>
      <c r="H4208" s="7">
        <v>9.06</v>
      </c>
      <c r="I4208" t="s">
        <v>32</v>
      </c>
      <c r="J4208" t="s">
        <v>28</v>
      </c>
      <c r="K4208">
        <v>15</v>
      </c>
      <c r="L4208" s="7">
        <f t="shared" si="196"/>
        <v>9.06</v>
      </c>
      <c r="M4208" s="7"/>
      <c r="O4208">
        <f t="shared" si="197"/>
        <v>2</v>
      </c>
      <c r="Q4208" t="s">
        <v>33</v>
      </c>
    </row>
    <row r="4209" spans="1:17" x14ac:dyDescent="0.3">
      <c r="A4209" t="s">
        <v>5338</v>
      </c>
      <c r="B4209" s="6">
        <v>45147</v>
      </c>
      <c r="C4209" s="6" t="str">
        <f t="shared" si="195"/>
        <v>Aug</v>
      </c>
      <c r="D4209" t="s">
        <v>315</v>
      </c>
      <c r="E4209" t="s">
        <v>50</v>
      </c>
      <c r="F4209" t="s">
        <v>1461</v>
      </c>
      <c r="G4209">
        <v>4</v>
      </c>
      <c r="H4209" s="7">
        <v>252.16</v>
      </c>
      <c r="I4209" t="s">
        <v>19</v>
      </c>
      <c r="J4209" t="s">
        <v>22</v>
      </c>
      <c r="K4209">
        <v>15</v>
      </c>
      <c r="L4209" s="7">
        <f t="shared" si="196"/>
        <v>1008.64</v>
      </c>
      <c r="M4209" s="7"/>
      <c r="O4209">
        <f t="shared" si="197"/>
        <v>2</v>
      </c>
      <c r="Q4209" t="s">
        <v>19</v>
      </c>
    </row>
    <row r="4210" spans="1:17" x14ac:dyDescent="0.3">
      <c r="A4210" t="s">
        <v>5339</v>
      </c>
      <c r="B4210" s="6">
        <v>45187</v>
      </c>
      <c r="C4210" s="6" t="str">
        <f t="shared" si="195"/>
        <v>Sep</v>
      </c>
      <c r="D4210" t="s">
        <v>452</v>
      </c>
      <c r="E4210" t="s">
        <v>19</v>
      </c>
      <c r="F4210" t="s">
        <v>151</v>
      </c>
      <c r="G4210">
        <v>5</v>
      </c>
      <c r="H4210" s="7">
        <v>465.9</v>
      </c>
      <c r="I4210" t="s">
        <v>21</v>
      </c>
      <c r="J4210" t="s">
        <v>72</v>
      </c>
      <c r="K4210">
        <v>15</v>
      </c>
      <c r="L4210" s="7">
        <f t="shared" si="196"/>
        <v>2329.5</v>
      </c>
      <c r="M4210" s="7"/>
      <c r="O4210">
        <f t="shared" si="197"/>
        <v>2</v>
      </c>
      <c r="Q4210" t="s">
        <v>23</v>
      </c>
    </row>
    <row r="4211" spans="1:17" x14ac:dyDescent="0.3">
      <c r="A4211" t="s">
        <v>5340</v>
      </c>
      <c r="B4211" s="6">
        <v>45024</v>
      </c>
      <c r="C4211" s="6" t="str">
        <f t="shared" si="195"/>
        <v>Apr</v>
      </c>
      <c r="D4211" t="s">
        <v>1030</v>
      </c>
      <c r="E4211" t="s">
        <v>19</v>
      </c>
      <c r="F4211" t="s">
        <v>514</v>
      </c>
      <c r="G4211">
        <v>1</v>
      </c>
      <c r="H4211" s="7">
        <v>480.71</v>
      </c>
      <c r="I4211" t="s">
        <v>64</v>
      </c>
      <c r="J4211" t="s">
        <v>19</v>
      </c>
      <c r="K4211">
        <v>5</v>
      </c>
      <c r="L4211" s="7">
        <f t="shared" si="196"/>
        <v>480.71</v>
      </c>
      <c r="M4211" s="7"/>
      <c r="O4211">
        <f t="shared" si="197"/>
        <v>2</v>
      </c>
      <c r="Q4211" t="s">
        <v>65</v>
      </c>
    </row>
    <row r="4212" spans="1:17" x14ac:dyDescent="0.3">
      <c r="A4212" t="s">
        <v>5341</v>
      </c>
      <c r="B4212" s="6">
        <v>45248</v>
      </c>
      <c r="C4212" s="6" t="str">
        <f t="shared" si="195"/>
        <v>Nov</v>
      </c>
      <c r="D4212" t="s">
        <v>858</v>
      </c>
      <c r="E4212" t="s">
        <v>31</v>
      </c>
      <c r="F4212" t="s">
        <v>657</v>
      </c>
      <c r="G4212">
        <v>9</v>
      </c>
      <c r="H4212" s="7">
        <v>11.47</v>
      </c>
      <c r="I4212" t="s">
        <v>64</v>
      </c>
      <c r="J4212" t="s">
        <v>42</v>
      </c>
      <c r="K4212">
        <v>10</v>
      </c>
      <c r="L4212" s="7">
        <f t="shared" si="196"/>
        <v>103.23</v>
      </c>
      <c r="M4212" s="7"/>
      <c r="O4212">
        <f t="shared" si="197"/>
        <v>2</v>
      </c>
      <c r="Q4212" t="s">
        <v>65</v>
      </c>
    </row>
    <row r="4213" spans="1:17" x14ac:dyDescent="0.3">
      <c r="A4213" t="s">
        <v>5342</v>
      </c>
      <c r="B4213" s="6">
        <v>45226</v>
      </c>
      <c r="C4213" s="6" t="str">
        <f t="shared" si="195"/>
        <v>Oct</v>
      </c>
      <c r="D4213" t="s">
        <v>2450</v>
      </c>
      <c r="E4213" t="s">
        <v>62</v>
      </c>
      <c r="F4213" t="s">
        <v>319</v>
      </c>
      <c r="G4213">
        <v>4</v>
      </c>
      <c r="H4213" s="7">
        <v>89.99</v>
      </c>
      <c r="I4213" t="s">
        <v>64</v>
      </c>
      <c r="J4213" t="s">
        <v>19</v>
      </c>
      <c r="K4213">
        <v>0</v>
      </c>
      <c r="L4213" s="7">
        <f t="shared" si="196"/>
        <v>359.96</v>
      </c>
      <c r="M4213" s="7"/>
      <c r="O4213">
        <f t="shared" si="197"/>
        <v>2</v>
      </c>
      <c r="Q4213" t="s">
        <v>65</v>
      </c>
    </row>
    <row r="4214" spans="1:17" x14ac:dyDescent="0.3">
      <c r="A4214" t="s">
        <v>5343</v>
      </c>
      <c r="B4214" s="6">
        <v>45131</v>
      </c>
      <c r="C4214" s="6" t="str">
        <f t="shared" si="195"/>
        <v>Jul</v>
      </c>
      <c r="D4214" t="s">
        <v>3474</v>
      </c>
      <c r="E4214" t="s">
        <v>19</v>
      </c>
      <c r="F4214" t="s">
        <v>2185</v>
      </c>
      <c r="G4214">
        <v>7</v>
      </c>
      <c r="H4214" s="7">
        <v>328.61</v>
      </c>
      <c r="I4214" t="s">
        <v>46</v>
      </c>
      <c r="J4214" t="s">
        <v>87</v>
      </c>
      <c r="K4214">
        <v>10</v>
      </c>
      <c r="L4214" s="7">
        <f t="shared" si="196"/>
        <v>2300.27</v>
      </c>
      <c r="M4214" s="7"/>
      <c r="O4214">
        <f t="shared" si="197"/>
        <v>2</v>
      </c>
      <c r="Q4214" t="s">
        <v>47</v>
      </c>
    </row>
    <row r="4215" spans="1:17" x14ac:dyDescent="0.3">
      <c r="A4215" t="s">
        <v>5344</v>
      </c>
      <c r="B4215" s="6">
        <v>44948</v>
      </c>
      <c r="C4215" s="6" t="str">
        <f t="shared" si="195"/>
        <v>Jan</v>
      </c>
      <c r="D4215" t="s">
        <v>1516</v>
      </c>
      <c r="E4215" t="s">
        <v>36</v>
      </c>
      <c r="F4215" t="s">
        <v>45</v>
      </c>
      <c r="G4215">
        <v>3</v>
      </c>
      <c r="H4215" s="7">
        <v>17.61</v>
      </c>
      <c r="I4215" t="s">
        <v>46</v>
      </c>
      <c r="J4215" t="s">
        <v>72</v>
      </c>
      <c r="K4215">
        <v>10</v>
      </c>
      <c r="L4215" s="7">
        <f t="shared" si="196"/>
        <v>52.83</v>
      </c>
      <c r="M4215" s="7"/>
      <c r="O4215">
        <f t="shared" si="197"/>
        <v>2</v>
      </c>
      <c r="Q4215" t="s">
        <v>47</v>
      </c>
    </row>
    <row r="4216" spans="1:17" x14ac:dyDescent="0.3">
      <c r="A4216" t="s">
        <v>5345</v>
      </c>
      <c r="B4216" s="6">
        <v>45224</v>
      </c>
      <c r="C4216" s="6" t="str">
        <f t="shared" si="195"/>
        <v>Oct</v>
      </c>
      <c r="D4216" t="s">
        <v>1131</v>
      </c>
      <c r="E4216" t="s">
        <v>19</v>
      </c>
      <c r="F4216" t="s">
        <v>749</v>
      </c>
      <c r="G4216">
        <v>3</v>
      </c>
      <c r="H4216" s="7">
        <v>36.49</v>
      </c>
      <c r="I4216" t="s">
        <v>19</v>
      </c>
      <c r="J4216" t="s">
        <v>28</v>
      </c>
      <c r="K4216">
        <v>10</v>
      </c>
      <c r="L4216" s="7">
        <f t="shared" si="196"/>
        <v>109.47</v>
      </c>
      <c r="M4216" s="7"/>
      <c r="O4216">
        <f t="shared" si="197"/>
        <v>2</v>
      </c>
      <c r="Q4216" t="s">
        <v>19</v>
      </c>
    </row>
    <row r="4217" spans="1:17" x14ac:dyDescent="0.3">
      <c r="A4217" t="s">
        <v>5346</v>
      </c>
      <c r="B4217" s="6">
        <v>45051</v>
      </c>
      <c r="C4217" s="6" t="str">
        <f t="shared" si="195"/>
        <v>May</v>
      </c>
      <c r="D4217" t="s">
        <v>951</v>
      </c>
      <c r="E4217" t="s">
        <v>31</v>
      </c>
      <c r="F4217" t="s">
        <v>499</v>
      </c>
      <c r="G4217">
        <v>8</v>
      </c>
      <c r="H4217" s="7">
        <v>114.43</v>
      </c>
      <c r="I4217" t="s">
        <v>46</v>
      </c>
      <c r="J4217" t="s">
        <v>22</v>
      </c>
      <c r="K4217">
        <v>10</v>
      </c>
      <c r="L4217" s="7">
        <f t="shared" si="196"/>
        <v>915.44</v>
      </c>
      <c r="M4217" s="7"/>
      <c r="O4217">
        <f t="shared" si="197"/>
        <v>2</v>
      </c>
      <c r="Q4217" t="s">
        <v>47</v>
      </c>
    </row>
    <row r="4218" spans="1:17" x14ac:dyDescent="0.3">
      <c r="A4218" t="s">
        <v>5347</v>
      </c>
      <c r="B4218" s="6">
        <v>45205</v>
      </c>
      <c r="C4218" s="6" t="str">
        <f t="shared" si="195"/>
        <v>Oct</v>
      </c>
      <c r="D4218" t="s">
        <v>1073</v>
      </c>
      <c r="E4218" t="s">
        <v>26</v>
      </c>
      <c r="F4218" t="s">
        <v>1206</v>
      </c>
      <c r="G4218">
        <v>8</v>
      </c>
      <c r="H4218" s="7">
        <v>258.66000000000003</v>
      </c>
      <c r="I4218" t="s">
        <v>103</v>
      </c>
      <c r="J4218" t="s">
        <v>42</v>
      </c>
      <c r="K4218">
        <v>0</v>
      </c>
      <c r="L4218" s="7">
        <f t="shared" si="196"/>
        <v>2069.2800000000002</v>
      </c>
      <c r="M4218" s="7"/>
      <c r="O4218">
        <f t="shared" si="197"/>
        <v>2</v>
      </c>
      <c r="Q4218" t="s">
        <v>104</v>
      </c>
    </row>
    <row r="4219" spans="1:17" x14ac:dyDescent="0.3">
      <c r="A4219" t="s">
        <v>5348</v>
      </c>
      <c r="B4219" s="6">
        <v>45208</v>
      </c>
      <c r="C4219" s="6" t="str">
        <f t="shared" si="195"/>
        <v>Oct</v>
      </c>
      <c r="D4219" t="s">
        <v>2138</v>
      </c>
      <c r="E4219" t="s">
        <v>40</v>
      </c>
      <c r="F4219" t="s">
        <v>359</v>
      </c>
      <c r="G4219">
        <v>1</v>
      </c>
      <c r="H4219" s="7">
        <v>275.22000000000003</v>
      </c>
      <c r="I4219" t="s">
        <v>19</v>
      </c>
      <c r="J4219" t="s">
        <v>72</v>
      </c>
      <c r="K4219">
        <v>10</v>
      </c>
      <c r="L4219" s="7">
        <f t="shared" si="196"/>
        <v>275.22000000000003</v>
      </c>
      <c r="M4219" s="7"/>
      <c r="O4219">
        <f t="shared" si="197"/>
        <v>2</v>
      </c>
      <c r="Q4219" t="s">
        <v>19</v>
      </c>
    </row>
    <row r="4220" spans="1:17" x14ac:dyDescent="0.3">
      <c r="A4220" t="s">
        <v>5349</v>
      </c>
      <c r="B4220" s="6">
        <v>45180</v>
      </c>
      <c r="C4220" s="6" t="str">
        <f t="shared" si="195"/>
        <v>Sep</v>
      </c>
      <c r="D4220" t="s">
        <v>863</v>
      </c>
      <c r="E4220" t="s">
        <v>40</v>
      </c>
      <c r="F4220" t="s">
        <v>363</v>
      </c>
      <c r="G4220">
        <v>2</v>
      </c>
      <c r="H4220" s="7">
        <v>21.96</v>
      </c>
      <c r="I4220" t="s">
        <v>32</v>
      </c>
      <c r="J4220" t="s">
        <v>19</v>
      </c>
      <c r="K4220">
        <v>5</v>
      </c>
      <c r="L4220" s="7">
        <f t="shared" si="196"/>
        <v>43.92</v>
      </c>
      <c r="M4220" s="7"/>
      <c r="O4220">
        <f t="shared" si="197"/>
        <v>2</v>
      </c>
      <c r="Q4220" t="s">
        <v>33</v>
      </c>
    </row>
    <row r="4221" spans="1:17" x14ac:dyDescent="0.3">
      <c r="A4221" t="s">
        <v>5350</v>
      </c>
      <c r="B4221" s="6">
        <v>45042</v>
      </c>
      <c r="C4221" s="6" t="str">
        <f t="shared" si="195"/>
        <v>Apr</v>
      </c>
      <c r="D4221" t="s">
        <v>2581</v>
      </c>
      <c r="E4221" t="s">
        <v>40</v>
      </c>
      <c r="F4221" t="s">
        <v>1374</v>
      </c>
      <c r="G4221">
        <v>8</v>
      </c>
      <c r="H4221" s="7">
        <v>89.33</v>
      </c>
      <c r="I4221" t="s">
        <v>32</v>
      </c>
      <c r="J4221" t="s">
        <v>19</v>
      </c>
      <c r="K4221">
        <v>5</v>
      </c>
      <c r="L4221" s="7">
        <f t="shared" si="196"/>
        <v>714.64</v>
      </c>
      <c r="M4221" s="7"/>
      <c r="O4221">
        <f t="shared" si="197"/>
        <v>2</v>
      </c>
      <c r="Q4221" t="s">
        <v>33</v>
      </c>
    </row>
    <row r="4222" spans="1:17" x14ac:dyDescent="0.3">
      <c r="A4222" t="s">
        <v>5351</v>
      </c>
      <c r="B4222" s="6">
        <v>45072</v>
      </c>
      <c r="C4222" s="6" t="str">
        <f t="shared" si="195"/>
        <v>May</v>
      </c>
      <c r="D4222" t="s">
        <v>1309</v>
      </c>
      <c r="E4222" t="s">
        <v>19</v>
      </c>
      <c r="F4222" t="s">
        <v>113</v>
      </c>
      <c r="G4222">
        <v>1</v>
      </c>
      <c r="H4222" s="7">
        <v>252.35</v>
      </c>
      <c r="I4222" t="s">
        <v>21</v>
      </c>
      <c r="J4222" t="s">
        <v>42</v>
      </c>
      <c r="K4222">
        <v>20</v>
      </c>
      <c r="L4222" s="7">
        <f t="shared" si="196"/>
        <v>252.35</v>
      </c>
      <c r="M4222" s="7"/>
      <c r="O4222">
        <f t="shared" si="197"/>
        <v>2</v>
      </c>
      <c r="Q4222" t="s">
        <v>23</v>
      </c>
    </row>
    <row r="4223" spans="1:17" x14ac:dyDescent="0.3">
      <c r="A4223" t="s">
        <v>5352</v>
      </c>
      <c r="B4223" s="6">
        <v>45175</v>
      </c>
      <c r="C4223" s="6" t="str">
        <f t="shared" si="195"/>
        <v>Sep</v>
      </c>
      <c r="D4223" t="s">
        <v>324</v>
      </c>
      <c r="E4223" t="s">
        <v>31</v>
      </c>
      <c r="F4223" t="s">
        <v>246</v>
      </c>
      <c r="G4223">
        <v>8</v>
      </c>
      <c r="H4223" s="7">
        <v>299</v>
      </c>
      <c r="I4223" t="s">
        <v>32</v>
      </c>
      <c r="J4223" t="s">
        <v>19</v>
      </c>
      <c r="K4223">
        <v>20</v>
      </c>
      <c r="L4223" s="7">
        <f t="shared" si="196"/>
        <v>2392</v>
      </c>
      <c r="M4223" s="7"/>
      <c r="O4223">
        <f t="shared" si="197"/>
        <v>2</v>
      </c>
      <c r="Q4223" t="s">
        <v>33</v>
      </c>
    </row>
    <row r="4224" spans="1:17" x14ac:dyDescent="0.3">
      <c r="A4224" t="s">
        <v>5353</v>
      </c>
      <c r="B4224" s="6">
        <v>45247</v>
      </c>
      <c r="C4224" s="6" t="str">
        <f t="shared" si="195"/>
        <v>Nov</v>
      </c>
      <c r="D4224" t="s">
        <v>1135</v>
      </c>
      <c r="E4224" t="s">
        <v>26</v>
      </c>
      <c r="F4224" t="s">
        <v>389</v>
      </c>
      <c r="G4224">
        <v>8</v>
      </c>
      <c r="H4224" s="7">
        <v>78.459999999999994</v>
      </c>
      <c r="I4224" t="s">
        <v>64</v>
      </c>
      <c r="J4224" t="s">
        <v>87</v>
      </c>
      <c r="K4224">
        <v>5</v>
      </c>
      <c r="L4224" s="7">
        <f t="shared" si="196"/>
        <v>627.67999999999995</v>
      </c>
      <c r="M4224" s="7"/>
      <c r="O4224">
        <f t="shared" si="197"/>
        <v>2</v>
      </c>
      <c r="Q4224" t="s">
        <v>65</v>
      </c>
    </row>
    <row r="4225" spans="1:17" x14ac:dyDescent="0.3">
      <c r="A4225" t="s">
        <v>5354</v>
      </c>
      <c r="B4225" s="6">
        <v>44931</v>
      </c>
      <c r="C4225" s="6" t="str">
        <f t="shared" si="195"/>
        <v>Jan</v>
      </c>
      <c r="D4225" t="s">
        <v>3771</v>
      </c>
      <c r="E4225" t="s">
        <v>36</v>
      </c>
      <c r="F4225" t="s">
        <v>693</v>
      </c>
      <c r="G4225">
        <v>2</v>
      </c>
      <c r="H4225" s="7">
        <v>202.43</v>
      </c>
      <c r="I4225" t="s">
        <v>32</v>
      </c>
      <c r="J4225" t="s">
        <v>42</v>
      </c>
      <c r="K4225">
        <v>5</v>
      </c>
      <c r="L4225" s="7">
        <f t="shared" si="196"/>
        <v>404.86</v>
      </c>
      <c r="M4225" s="7"/>
      <c r="O4225">
        <f t="shared" si="197"/>
        <v>2</v>
      </c>
      <c r="Q4225" t="s">
        <v>33</v>
      </c>
    </row>
    <row r="4226" spans="1:17" x14ac:dyDescent="0.3">
      <c r="A4226" t="s">
        <v>5355</v>
      </c>
      <c r="B4226" s="6">
        <v>44964</v>
      </c>
      <c r="C4226" s="6" t="str">
        <f t="shared" si="195"/>
        <v>Feb</v>
      </c>
      <c r="D4226" t="s">
        <v>4523</v>
      </c>
      <c r="E4226" t="s">
        <v>19</v>
      </c>
      <c r="F4226" t="s">
        <v>520</v>
      </c>
      <c r="G4226">
        <v>4</v>
      </c>
      <c r="H4226" s="7">
        <v>452.68</v>
      </c>
      <c r="I4226" t="s">
        <v>46</v>
      </c>
      <c r="J4226" t="s">
        <v>28</v>
      </c>
      <c r="K4226">
        <v>10</v>
      </c>
      <c r="L4226" s="7">
        <f t="shared" si="196"/>
        <v>1810.72</v>
      </c>
      <c r="M4226" s="7"/>
      <c r="O4226">
        <f t="shared" si="197"/>
        <v>2</v>
      </c>
      <c r="Q4226" t="s">
        <v>47</v>
      </c>
    </row>
    <row r="4227" spans="1:17" x14ac:dyDescent="0.3">
      <c r="A4227" t="s">
        <v>5356</v>
      </c>
      <c r="B4227" s="6">
        <v>44964</v>
      </c>
      <c r="C4227" s="6" t="str">
        <f t="shared" ref="C4227:C4290" si="198">TEXT(B4227,"MMM")</f>
        <v>Feb</v>
      </c>
      <c r="D4227" t="s">
        <v>305</v>
      </c>
      <c r="E4227" t="s">
        <v>19</v>
      </c>
      <c r="F4227" t="s">
        <v>1146</v>
      </c>
      <c r="G4227">
        <v>6</v>
      </c>
      <c r="H4227" s="7">
        <v>499.46</v>
      </c>
      <c r="I4227" t="s">
        <v>32</v>
      </c>
      <c r="J4227" t="s">
        <v>28</v>
      </c>
      <c r="K4227">
        <v>5</v>
      </c>
      <c r="L4227" s="7">
        <f t="shared" ref="L4227:L4290" si="199">G4227*H4227</f>
        <v>2996.7599999999998</v>
      </c>
      <c r="M4227" s="7"/>
      <c r="O4227">
        <f t="shared" si="197"/>
        <v>3</v>
      </c>
      <c r="Q4227" t="s">
        <v>33</v>
      </c>
    </row>
    <row r="4228" spans="1:17" x14ac:dyDescent="0.3">
      <c r="A4228" t="s">
        <v>5357</v>
      </c>
      <c r="B4228" s="6">
        <v>45223</v>
      </c>
      <c r="C4228" s="6" t="str">
        <f t="shared" si="198"/>
        <v>Oct</v>
      </c>
      <c r="D4228" t="s">
        <v>1135</v>
      </c>
      <c r="E4228" t="s">
        <v>26</v>
      </c>
      <c r="F4228" t="s">
        <v>308</v>
      </c>
      <c r="G4228">
        <v>9</v>
      </c>
      <c r="H4228" s="7">
        <v>493.67</v>
      </c>
      <c r="I4228" t="s">
        <v>46</v>
      </c>
      <c r="J4228" t="s">
        <v>28</v>
      </c>
      <c r="K4228">
        <v>0</v>
      </c>
      <c r="L4228" s="7">
        <f t="shared" si="199"/>
        <v>4443.03</v>
      </c>
      <c r="M4228" s="7"/>
      <c r="O4228">
        <f t="shared" ref="O4228:O4291" si="200">IF(L4228&gt;3500,5,IF(L4228&gt;3000,4,IF(L4228&gt;2500,3,IF(L4228&gt;2000,2,IF(L4228&gt;1000,2,2)))))</f>
        <v>5</v>
      </c>
      <c r="Q4228" t="s">
        <v>47</v>
      </c>
    </row>
    <row r="4229" spans="1:17" x14ac:dyDescent="0.3">
      <c r="A4229" t="s">
        <v>5358</v>
      </c>
      <c r="B4229" s="6">
        <v>45186</v>
      </c>
      <c r="C4229" s="6" t="str">
        <f t="shared" si="198"/>
        <v>Sep</v>
      </c>
      <c r="D4229" t="s">
        <v>926</v>
      </c>
      <c r="E4229" t="s">
        <v>26</v>
      </c>
      <c r="F4229" t="s">
        <v>102</v>
      </c>
      <c r="G4229">
        <v>8</v>
      </c>
      <c r="H4229" s="7">
        <v>441.43</v>
      </c>
      <c r="I4229" t="s">
        <v>32</v>
      </c>
      <c r="J4229" t="s">
        <v>72</v>
      </c>
      <c r="K4229">
        <v>10</v>
      </c>
      <c r="L4229" s="7">
        <f t="shared" si="199"/>
        <v>3531.44</v>
      </c>
      <c r="M4229" s="7"/>
      <c r="O4229">
        <f t="shared" si="200"/>
        <v>5</v>
      </c>
      <c r="Q4229" t="s">
        <v>33</v>
      </c>
    </row>
    <row r="4230" spans="1:17" x14ac:dyDescent="0.3">
      <c r="A4230" t="s">
        <v>5359</v>
      </c>
      <c r="B4230" s="6">
        <v>45154</v>
      </c>
      <c r="C4230" s="6" t="str">
        <f t="shared" si="198"/>
        <v>Aug</v>
      </c>
      <c r="D4230" t="s">
        <v>1129</v>
      </c>
      <c r="E4230" t="s">
        <v>19</v>
      </c>
      <c r="F4230" t="s">
        <v>308</v>
      </c>
      <c r="G4230">
        <v>8</v>
      </c>
      <c r="H4230" s="7">
        <v>200.36</v>
      </c>
      <c r="I4230" t="s">
        <v>64</v>
      </c>
      <c r="J4230" t="s">
        <v>19</v>
      </c>
      <c r="K4230">
        <v>5</v>
      </c>
      <c r="L4230" s="7">
        <f t="shared" si="199"/>
        <v>1602.88</v>
      </c>
      <c r="M4230" s="7"/>
      <c r="O4230">
        <f t="shared" si="200"/>
        <v>2</v>
      </c>
      <c r="Q4230" t="s">
        <v>65</v>
      </c>
    </row>
    <row r="4231" spans="1:17" x14ac:dyDescent="0.3">
      <c r="A4231" t="s">
        <v>5360</v>
      </c>
      <c r="B4231" s="6">
        <v>45215</v>
      </c>
      <c r="C4231" s="6" t="str">
        <f t="shared" si="198"/>
        <v>Oct</v>
      </c>
      <c r="D4231" t="s">
        <v>609</v>
      </c>
      <c r="E4231" t="s">
        <v>50</v>
      </c>
      <c r="F4231" t="s">
        <v>403</v>
      </c>
      <c r="G4231">
        <v>7</v>
      </c>
      <c r="H4231" s="7">
        <v>344.85</v>
      </c>
      <c r="I4231" t="s">
        <v>64</v>
      </c>
      <c r="J4231" t="s">
        <v>28</v>
      </c>
      <c r="K4231">
        <v>10</v>
      </c>
      <c r="L4231" s="7">
        <f t="shared" si="199"/>
        <v>2413.9500000000003</v>
      </c>
      <c r="M4231" s="7"/>
      <c r="O4231">
        <f t="shared" si="200"/>
        <v>2</v>
      </c>
      <c r="Q4231" t="s">
        <v>65</v>
      </c>
    </row>
    <row r="4232" spans="1:17" x14ac:dyDescent="0.3">
      <c r="A4232" t="s">
        <v>5361</v>
      </c>
      <c r="B4232" s="6">
        <v>45021</v>
      </c>
      <c r="C4232" s="6" t="str">
        <f t="shared" si="198"/>
        <v>Apr</v>
      </c>
      <c r="D4232" t="s">
        <v>2365</v>
      </c>
      <c r="E4232" t="s">
        <v>40</v>
      </c>
      <c r="F4232" t="s">
        <v>538</v>
      </c>
      <c r="G4232">
        <v>5</v>
      </c>
      <c r="H4232" s="7">
        <v>211.21</v>
      </c>
      <c r="I4232" t="s">
        <v>46</v>
      </c>
      <c r="J4232" t="s">
        <v>19</v>
      </c>
      <c r="K4232">
        <v>10</v>
      </c>
      <c r="L4232" s="7">
        <f t="shared" si="199"/>
        <v>1056.05</v>
      </c>
      <c r="M4232" s="7"/>
      <c r="O4232">
        <f t="shared" si="200"/>
        <v>2</v>
      </c>
      <c r="Q4232" t="s">
        <v>47</v>
      </c>
    </row>
    <row r="4233" spans="1:17" x14ac:dyDescent="0.3">
      <c r="A4233" t="s">
        <v>5362</v>
      </c>
      <c r="B4233" s="6">
        <v>44978</v>
      </c>
      <c r="C4233" s="6" t="str">
        <f t="shared" si="198"/>
        <v>Feb</v>
      </c>
      <c r="D4233" t="s">
        <v>3444</v>
      </c>
      <c r="E4233" t="s">
        <v>19</v>
      </c>
      <c r="F4233" t="s">
        <v>722</v>
      </c>
      <c r="G4233">
        <v>2</v>
      </c>
      <c r="H4233" s="7">
        <v>252.16</v>
      </c>
      <c r="I4233" t="s">
        <v>64</v>
      </c>
      <c r="J4233" t="s">
        <v>72</v>
      </c>
      <c r="K4233">
        <v>15</v>
      </c>
      <c r="L4233" s="7">
        <f t="shared" si="199"/>
        <v>504.32</v>
      </c>
      <c r="M4233" s="7"/>
      <c r="O4233">
        <f t="shared" si="200"/>
        <v>2</v>
      </c>
      <c r="Q4233" t="s">
        <v>65</v>
      </c>
    </row>
    <row r="4234" spans="1:17" x14ac:dyDescent="0.3">
      <c r="A4234" t="s">
        <v>5363</v>
      </c>
      <c r="B4234" s="6">
        <v>45063</v>
      </c>
      <c r="C4234" s="6" t="str">
        <f t="shared" si="198"/>
        <v>May</v>
      </c>
      <c r="D4234" t="s">
        <v>1430</v>
      </c>
      <c r="E4234" t="s">
        <v>31</v>
      </c>
      <c r="F4234" t="s">
        <v>469</v>
      </c>
      <c r="G4234">
        <v>3</v>
      </c>
      <c r="H4234" s="7">
        <v>158.16999999999999</v>
      </c>
      <c r="I4234" t="s">
        <v>103</v>
      </c>
      <c r="J4234" t="s">
        <v>19</v>
      </c>
      <c r="K4234">
        <v>20</v>
      </c>
      <c r="L4234" s="7">
        <f t="shared" si="199"/>
        <v>474.51</v>
      </c>
      <c r="M4234" s="7"/>
      <c r="O4234">
        <f t="shared" si="200"/>
        <v>2</v>
      </c>
      <c r="Q4234" t="s">
        <v>104</v>
      </c>
    </row>
    <row r="4235" spans="1:17" x14ac:dyDescent="0.3">
      <c r="A4235" t="s">
        <v>5364</v>
      </c>
      <c r="B4235" s="6">
        <v>44976</v>
      </c>
      <c r="C4235" s="6" t="str">
        <f t="shared" si="198"/>
        <v>Feb</v>
      </c>
      <c r="D4235" t="s">
        <v>760</v>
      </c>
      <c r="E4235" t="s">
        <v>50</v>
      </c>
      <c r="F4235" t="s">
        <v>693</v>
      </c>
      <c r="G4235">
        <v>8</v>
      </c>
      <c r="H4235" s="7">
        <v>305.07</v>
      </c>
      <c r="I4235" t="s">
        <v>19</v>
      </c>
      <c r="J4235" t="s">
        <v>72</v>
      </c>
      <c r="K4235">
        <v>10</v>
      </c>
      <c r="L4235" s="7">
        <f t="shared" si="199"/>
        <v>2440.56</v>
      </c>
      <c r="M4235" s="7"/>
      <c r="O4235">
        <f t="shared" si="200"/>
        <v>2</v>
      </c>
      <c r="Q4235" t="s">
        <v>19</v>
      </c>
    </row>
    <row r="4236" spans="1:17" x14ac:dyDescent="0.3">
      <c r="A4236" t="s">
        <v>5365</v>
      </c>
      <c r="B4236" s="6">
        <v>45018</v>
      </c>
      <c r="C4236" s="6" t="str">
        <f t="shared" si="198"/>
        <v>Apr</v>
      </c>
      <c r="D4236" t="s">
        <v>3130</v>
      </c>
      <c r="E4236" t="s">
        <v>40</v>
      </c>
      <c r="F4236" t="s">
        <v>107</v>
      </c>
      <c r="G4236">
        <v>6</v>
      </c>
      <c r="H4236" s="7">
        <v>264.26</v>
      </c>
      <c r="I4236" t="s">
        <v>32</v>
      </c>
      <c r="J4236" t="s">
        <v>22</v>
      </c>
      <c r="K4236">
        <v>10</v>
      </c>
      <c r="L4236" s="7">
        <f t="shared" si="199"/>
        <v>1585.56</v>
      </c>
      <c r="M4236" s="7"/>
      <c r="O4236">
        <f t="shared" si="200"/>
        <v>2</v>
      </c>
      <c r="Q4236" t="s">
        <v>33</v>
      </c>
    </row>
    <row r="4237" spans="1:17" x14ac:dyDescent="0.3">
      <c r="A4237" t="s">
        <v>5366</v>
      </c>
      <c r="B4237" s="6">
        <v>45139</v>
      </c>
      <c r="C4237" s="6" t="str">
        <f t="shared" si="198"/>
        <v>Aug</v>
      </c>
      <c r="D4237" t="s">
        <v>2883</v>
      </c>
      <c r="E4237" t="s">
        <v>31</v>
      </c>
      <c r="F4237" t="s">
        <v>693</v>
      </c>
      <c r="G4237">
        <v>9</v>
      </c>
      <c r="H4237" s="7">
        <v>17.12</v>
      </c>
      <c r="I4237" t="s">
        <v>21</v>
      </c>
      <c r="J4237" t="s">
        <v>28</v>
      </c>
      <c r="K4237">
        <v>10</v>
      </c>
      <c r="L4237" s="7">
        <f t="shared" si="199"/>
        <v>154.08000000000001</v>
      </c>
      <c r="M4237" s="7"/>
      <c r="O4237">
        <f t="shared" si="200"/>
        <v>2</v>
      </c>
      <c r="Q4237" t="s">
        <v>23</v>
      </c>
    </row>
    <row r="4238" spans="1:17" x14ac:dyDescent="0.3">
      <c r="A4238" t="s">
        <v>5367</v>
      </c>
      <c r="B4238" s="6">
        <v>45214</v>
      </c>
      <c r="C4238" s="6" t="str">
        <f t="shared" si="198"/>
        <v>Oct</v>
      </c>
      <c r="D4238" t="s">
        <v>2817</v>
      </c>
      <c r="E4238" t="s">
        <v>19</v>
      </c>
      <c r="F4238" t="s">
        <v>861</v>
      </c>
      <c r="G4238">
        <v>4</v>
      </c>
      <c r="H4238" s="7">
        <v>396.4</v>
      </c>
      <c r="I4238" t="s">
        <v>32</v>
      </c>
      <c r="J4238" t="s">
        <v>42</v>
      </c>
      <c r="K4238">
        <v>10</v>
      </c>
      <c r="L4238" s="7">
        <f t="shared" si="199"/>
        <v>1585.6</v>
      </c>
      <c r="M4238" s="7"/>
      <c r="O4238">
        <f t="shared" si="200"/>
        <v>2</v>
      </c>
      <c r="Q4238" t="s">
        <v>33</v>
      </c>
    </row>
    <row r="4239" spans="1:17" x14ac:dyDescent="0.3">
      <c r="A4239" t="s">
        <v>5368</v>
      </c>
      <c r="B4239" s="6">
        <v>45000</v>
      </c>
      <c r="C4239" s="6" t="str">
        <f t="shared" si="198"/>
        <v>Mar</v>
      </c>
      <c r="D4239" t="s">
        <v>1520</v>
      </c>
      <c r="E4239" t="s">
        <v>40</v>
      </c>
      <c r="F4239" t="s">
        <v>486</v>
      </c>
      <c r="G4239">
        <v>8</v>
      </c>
      <c r="H4239" s="7">
        <v>10.89</v>
      </c>
      <c r="I4239" t="s">
        <v>46</v>
      </c>
      <c r="J4239" t="s">
        <v>42</v>
      </c>
      <c r="K4239">
        <v>15</v>
      </c>
      <c r="L4239" s="7">
        <f t="shared" si="199"/>
        <v>87.12</v>
      </c>
      <c r="M4239" s="7"/>
      <c r="O4239">
        <f t="shared" si="200"/>
        <v>2</v>
      </c>
      <c r="Q4239" t="s">
        <v>47</v>
      </c>
    </row>
    <row r="4240" spans="1:17" x14ac:dyDescent="0.3">
      <c r="A4240" t="s">
        <v>5369</v>
      </c>
      <c r="B4240" s="6">
        <v>45155</v>
      </c>
      <c r="C4240" s="6" t="str">
        <f t="shared" si="198"/>
        <v>Aug</v>
      </c>
      <c r="D4240" t="s">
        <v>3259</v>
      </c>
      <c r="E4240" t="s">
        <v>36</v>
      </c>
      <c r="F4240" t="s">
        <v>511</v>
      </c>
      <c r="G4240">
        <v>3</v>
      </c>
      <c r="H4240" s="7">
        <v>150.11000000000001</v>
      </c>
      <c r="I4240" t="s">
        <v>32</v>
      </c>
      <c r="J4240" t="s">
        <v>87</v>
      </c>
      <c r="K4240">
        <v>5</v>
      </c>
      <c r="L4240" s="7">
        <f t="shared" si="199"/>
        <v>450.33000000000004</v>
      </c>
      <c r="M4240" s="7"/>
      <c r="O4240">
        <f t="shared" si="200"/>
        <v>2</v>
      </c>
      <c r="Q4240" t="s">
        <v>33</v>
      </c>
    </row>
    <row r="4241" spans="1:17" x14ac:dyDescent="0.3">
      <c r="A4241" t="s">
        <v>5370</v>
      </c>
      <c r="B4241" s="6">
        <v>45288</v>
      </c>
      <c r="C4241" s="6" t="str">
        <f t="shared" si="198"/>
        <v>Dec</v>
      </c>
      <c r="D4241" t="s">
        <v>1077</v>
      </c>
      <c r="E4241" t="s">
        <v>40</v>
      </c>
      <c r="F4241" t="s">
        <v>78</v>
      </c>
      <c r="G4241">
        <v>3</v>
      </c>
      <c r="H4241" s="7">
        <v>7.93</v>
      </c>
      <c r="I4241" t="s">
        <v>103</v>
      </c>
      <c r="J4241" t="s">
        <v>19</v>
      </c>
      <c r="K4241">
        <v>10</v>
      </c>
      <c r="L4241" s="7">
        <f t="shared" si="199"/>
        <v>23.79</v>
      </c>
      <c r="M4241" s="7"/>
      <c r="O4241">
        <f t="shared" si="200"/>
        <v>2</v>
      </c>
      <c r="Q4241" t="s">
        <v>104</v>
      </c>
    </row>
    <row r="4242" spans="1:17" x14ac:dyDescent="0.3">
      <c r="A4242" t="s">
        <v>5371</v>
      </c>
      <c r="B4242" s="6">
        <v>44932</v>
      </c>
      <c r="C4242" s="6" t="str">
        <f t="shared" si="198"/>
        <v>Jan</v>
      </c>
      <c r="D4242" t="s">
        <v>2154</v>
      </c>
      <c r="E4242" t="s">
        <v>26</v>
      </c>
      <c r="F4242" t="s">
        <v>423</v>
      </c>
      <c r="G4242">
        <v>8</v>
      </c>
      <c r="H4242" s="7">
        <v>191.22</v>
      </c>
      <c r="I4242" t="s">
        <v>19</v>
      </c>
      <c r="J4242" t="s">
        <v>28</v>
      </c>
      <c r="K4242">
        <v>15</v>
      </c>
      <c r="L4242" s="7">
        <f t="shared" si="199"/>
        <v>1529.76</v>
      </c>
      <c r="M4242" s="7"/>
      <c r="O4242">
        <f t="shared" si="200"/>
        <v>2</v>
      </c>
      <c r="Q4242" t="s">
        <v>19</v>
      </c>
    </row>
    <row r="4243" spans="1:17" x14ac:dyDescent="0.3">
      <c r="A4243" t="s">
        <v>5372</v>
      </c>
      <c r="B4243" s="6">
        <v>45277</v>
      </c>
      <c r="C4243" s="6" t="str">
        <f t="shared" si="198"/>
        <v>Dec</v>
      </c>
      <c r="D4243" t="s">
        <v>3522</v>
      </c>
      <c r="E4243" t="s">
        <v>19</v>
      </c>
      <c r="F4243" t="s">
        <v>369</v>
      </c>
      <c r="G4243">
        <v>5</v>
      </c>
      <c r="H4243" s="7">
        <v>36.26</v>
      </c>
      <c r="I4243" t="s">
        <v>21</v>
      </c>
      <c r="J4243" t="s">
        <v>87</v>
      </c>
      <c r="K4243">
        <v>0</v>
      </c>
      <c r="L4243" s="7">
        <f t="shared" si="199"/>
        <v>181.29999999999998</v>
      </c>
      <c r="M4243" s="7"/>
      <c r="O4243">
        <f t="shared" si="200"/>
        <v>2</v>
      </c>
      <c r="Q4243" t="s">
        <v>23</v>
      </c>
    </row>
    <row r="4244" spans="1:17" x14ac:dyDescent="0.3">
      <c r="A4244" t="s">
        <v>5373</v>
      </c>
      <c r="B4244" s="6">
        <v>45047</v>
      </c>
      <c r="C4244" s="6" t="str">
        <f t="shared" si="198"/>
        <v>May</v>
      </c>
      <c r="D4244" t="s">
        <v>4680</v>
      </c>
      <c r="E4244" t="s">
        <v>31</v>
      </c>
      <c r="F4244" t="s">
        <v>45</v>
      </c>
      <c r="G4244">
        <v>3</v>
      </c>
      <c r="H4244" s="7">
        <v>457.19</v>
      </c>
      <c r="I4244" t="s">
        <v>103</v>
      </c>
      <c r="J4244" t="s">
        <v>19</v>
      </c>
      <c r="K4244">
        <v>15</v>
      </c>
      <c r="L4244" s="7">
        <f t="shared" si="199"/>
        <v>1371.57</v>
      </c>
      <c r="M4244" s="7"/>
      <c r="O4244">
        <f t="shared" si="200"/>
        <v>2</v>
      </c>
      <c r="Q4244" t="s">
        <v>104</v>
      </c>
    </row>
    <row r="4245" spans="1:17" x14ac:dyDescent="0.3">
      <c r="A4245" t="s">
        <v>5374</v>
      </c>
      <c r="B4245" s="6">
        <v>45119</v>
      </c>
      <c r="C4245" s="6" t="str">
        <f t="shared" si="198"/>
        <v>Jul</v>
      </c>
      <c r="D4245" t="s">
        <v>1205</v>
      </c>
      <c r="E4245" t="s">
        <v>36</v>
      </c>
      <c r="F4245" t="s">
        <v>214</v>
      </c>
      <c r="G4245">
        <v>1</v>
      </c>
      <c r="H4245" s="7">
        <v>210.76</v>
      </c>
      <c r="I4245" t="s">
        <v>19</v>
      </c>
      <c r="J4245" t="s">
        <v>19</v>
      </c>
      <c r="K4245">
        <v>20</v>
      </c>
      <c r="L4245" s="7">
        <f t="shared" si="199"/>
        <v>210.76</v>
      </c>
      <c r="M4245" s="7"/>
      <c r="O4245">
        <f t="shared" si="200"/>
        <v>2</v>
      </c>
      <c r="Q4245" t="s">
        <v>19</v>
      </c>
    </row>
    <row r="4246" spans="1:17" x14ac:dyDescent="0.3">
      <c r="A4246" t="s">
        <v>5375</v>
      </c>
      <c r="B4246" s="6">
        <v>45161</v>
      </c>
      <c r="C4246" s="6" t="str">
        <f t="shared" si="198"/>
        <v>Aug</v>
      </c>
      <c r="D4246" t="s">
        <v>1015</v>
      </c>
      <c r="E4246" t="s">
        <v>31</v>
      </c>
      <c r="F4246" t="s">
        <v>281</v>
      </c>
      <c r="G4246">
        <v>3</v>
      </c>
      <c r="H4246" s="7">
        <v>232.45</v>
      </c>
      <c r="I4246" t="s">
        <v>21</v>
      </c>
      <c r="J4246" t="s">
        <v>22</v>
      </c>
      <c r="K4246">
        <v>20</v>
      </c>
      <c r="L4246" s="7">
        <f t="shared" si="199"/>
        <v>697.34999999999991</v>
      </c>
      <c r="M4246" s="7"/>
      <c r="O4246">
        <f t="shared" si="200"/>
        <v>2</v>
      </c>
      <c r="Q4246" t="s">
        <v>23</v>
      </c>
    </row>
    <row r="4247" spans="1:17" x14ac:dyDescent="0.3">
      <c r="A4247" t="s">
        <v>5376</v>
      </c>
      <c r="B4247" s="6">
        <v>45057</v>
      </c>
      <c r="C4247" s="6" t="str">
        <f t="shared" si="198"/>
        <v>May</v>
      </c>
      <c r="D4247" t="s">
        <v>4459</v>
      </c>
      <c r="E4247" t="s">
        <v>31</v>
      </c>
      <c r="F4247" t="s">
        <v>63</v>
      </c>
      <c r="G4247">
        <v>9</v>
      </c>
      <c r="H4247" s="7">
        <v>178.18</v>
      </c>
      <c r="I4247" t="s">
        <v>21</v>
      </c>
      <c r="J4247" t="s">
        <v>22</v>
      </c>
      <c r="K4247">
        <v>5</v>
      </c>
      <c r="L4247" s="7">
        <f t="shared" si="199"/>
        <v>1603.6200000000001</v>
      </c>
      <c r="M4247" s="7"/>
      <c r="O4247">
        <f t="shared" si="200"/>
        <v>2</v>
      </c>
      <c r="Q4247" t="s">
        <v>23</v>
      </c>
    </row>
    <row r="4248" spans="1:17" x14ac:dyDescent="0.3">
      <c r="A4248" t="s">
        <v>5377</v>
      </c>
      <c r="B4248" s="6">
        <v>45227</v>
      </c>
      <c r="C4248" s="6" t="str">
        <f t="shared" si="198"/>
        <v>Oct</v>
      </c>
      <c r="D4248" t="s">
        <v>1710</v>
      </c>
      <c r="E4248" t="s">
        <v>26</v>
      </c>
      <c r="F4248" t="s">
        <v>63</v>
      </c>
      <c r="G4248">
        <v>5</v>
      </c>
      <c r="H4248" s="7">
        <v>315.62</v>
      </c>
      <c r="I4248" t="s">
        <v>19</v>
      </c>
      <c r="J4248" t="s">
        <v>28</v>
      </c>
      <c r="K4248">
        <v>10</v>
      </c>
      <c r="L4248" s="7">
        <f t="shared" si="199"/>
        <v>1578.1</v>
      </c>
      <c r="M4248" s="7"/>
      <c r="O4248">
        <f t="shared" si="200"/>
        <v>2</v>
      </c>
      <c r="Q4248" t="s">
        <v>19</v>
      </c>
    </row>
    <row r="4249" spans="1:17" x14ac:dyDescent="0.3">
      <c r="A4249" t="s">
        <v>5378</v>
      </c>
      <c r="B4249" s="6">
        <v>45017</v>
      </c>
      <c r="C4249" s="6" t="str">
        <f t="shared" si="198"/>
        <v>Apr</v>
      </c>
      <c r="D4249" t="s">
        <v>2684</v>
      </c>
      <c r="E4249" t="s">
        <v>19</v>
      </c>
      <c r="F4249" t="s">
        <v>627</v>
      </c>
      <c r="G4249">
        <v>2</v>
      </c>
      <c r="H4249" s="7">
        <v>393.28</v>
      </c>
      <c r="I4249" t="s">
        <v>19</v>
      </c>
      <c r="J4249" t="s">
        <v>28</v>
      </c>
      <c r="K4249">
        <v>5</v>
      </c>
      <c r="L4249" s="7">
        <f t="shared" si="199"/>
        <v>786.56</v>
      </c>
      <c r="M4249" s="7"/>
      <c r="O4249">
        <f t="shared" si="200"/>
        <v>2</v>
      </c>
      <c r="Q4249" t="s">
        <v>19</v>
      </c>
    </row>
    <row r="4250" spans="1:17" x14ac:dyDescent="0.3">
      <c r="A4250" t="s">
        <v>5379</v>
      </c>
      <c r="B4250" s="6">
        <v>45129</v>
      </c>
      <c r="C4250" s="6" t="str">
        <f t="shared" si="198"/>
        <v>Jul</v>
      </c>
      <c r="D4250" t="s">
        <v>2474</v>
      </c>
      <c r="E4250" t="s">
        <v>19</v>
      </c>
      <c r="F4250" t="s">
        <v>434</v>
      </c>
      <c r="G4250">
        <v>7</v>
      </c>
      <c r="H4250" s="7">
        <v>325.83</v>
      </c>
      <c r="I4250" t="s">
        <v>21</v>
      </c>
      <c r="J4250" t="s">
        <v>72</v>
      </c>
      <c r="K4250">
        <v>10</v>
      </c>
      <c r="L4250" s="7">
        <f t="shared" si="199"/>
        <v>2280.81</v>
      </c>
      <c r="M4250" s="7"/>
      <c r="O4250">
        <f t="shared" si="200"/>
        <v>2</v>
      </c>
      <c r="Q4250" t="s">
        <v>23</v>
      </c>
    </row>
    <row r="4251" spans="1:17" x14ac:dyDescent="0.3">
      <c r="A4251" t="s">
        <v>5380</v>
      </c>
      <c r="B4251" s="6">
        <v>44978</v>
      </c>
      <c r="C4251" s="6" t="str">
        <f t="shared" si="198"/>
        <v>Feb</v>
      </c>
      <c r="D4251" t="s">
        <v>492</v>
      </c>
      <c r="E4251" t="s">
        <v>36</v>
      </c>
      <c r="F4251" t="s">
        <v>284</v>
      </c>
      <c r="G4251">
        <v>2</v>
      </c>
      <c r="H4251" s="7">
        <v>375.36</v>
      </c>
      <c r="I4251" t="s">
        <v>64</v>
      </c>
      <c r="J4251" t="s">
        <v>19</v>
      </c>
      <c r="K4251">
        <v>10</v>
      </c>
      <c r="L4251" s="7">
        <f t="shared" si="199"/>
        <v>750.72</v>
      </c>
      <c r="M4251" s="7"/>
      <c r="O4251">
        <f t="shared" si="200"/>
        <v>2</v>
      </c>
      <c r="Q4251" t="s">
        <v>65</v>
      </c>
    </row>
    <row r="4252" spans="1:17" x14ac:dyDescent="0.3">
      <c r="A4252" t="s">
        <v>5381</v>
      </c>
      <c r="B4252" s="6">
        <v>45022</v>
      </c>
      <c r="C4252" s="6" t="str">
        <f t="shared" si="198"/>
        <v>Apr</v>
      </c>
      <c r="D4252" t="s">
        <v>56</v>
      </c>
      <c r="E4252" t="s">
        <v>26</v>
      </c>
      <c r="F4252" t="s">
        <v>687</v>
      </c>
      <c r="G4252">
        <v>5</v>
      </c>
      <c r="H4252" s="7">
        <v>453.46</v>
      </c>
      <c r="I4252" t="s">
        <v>21</v>
      </c>
      <c r="J4252" t="s">
        <v>87</v>
      </c>
      <c r="K4252">
        <v>10</v>
      </c>
      <c r="L4252" s="7">
        <f t="shared" si="199"/>
        <v>2267.2999999999997</v>
      </c>
      <c r="M4252" s="7"/>
      <c r="O4252">
        <f t="shared" si="200"/>
        <v>2</v>
      </c>
      <c r="Q4252" t="s">
        <v>23</v>
      </c>
    </row>
    <row r="4253" spans="1:17" x14ac:dyDescent="0.3">
      <c r="A4253" t="s">
        <v>5382</v>
      </c>
      <c r="B4253" s="6">
        <v>44986</v>
      </c>
      <c r="C4253" s="6" t="str">
        <f t="shared" si="198"/>
        <v>Mar</v>
      </c>
      <c r="D4253" t="s">
        <v>1718</v>
      </c>
      <c r="E4253" t="s">
        <v>40</v>
      </c>
      <c r="F4253" t="s">
        <v>1142</v>
      </c>
      <c r="G4253">
        <v>7</v>
      </c>
      <c r="H4253" s="7">
        <v>432.46</v>
      </c>
      <c r="I4253" t="s">
        <v>21</v>
      </c>
      <c r="J4253" t="s">
        <v>22</v>
      </c>
      <c r="K4253">
        <v>10</v>
      </c>
      <c r="L4253" s="7">
        <f t="shared" si="199"/>
        <v>3027.22</v>
      </c>
      <c r="M4253" s="7"/>
      <c r="O4253">
        <f t="shared" si="200"/>
        <v>4</v>
      </c>
      <c r="Q4253" t="s">
        <v>23</v>
      </c>
    </row>
    <row r="4254" spans="1:17" x14ac:dyDescent="0.3">
      <c r="A4254" t="s">
        <v>5383</v>
      </c>
      <c r="B4254" s="6">
        <v>45148</v>
      </c>
      <c r="C4254" s="6" t="str">
        <f t="shared" si="198"/>
        <v>Aug</v>
      </c>
      <c r="D4254" t="s">
        <v>809</v>
      </c>
      <c r="E4254" t="s">
        <v>36</v>
      </c>
      <c r="F4254" t="s">
        <v>334</v>
      </c>
      <c r="G4254">
        <v>4</v>
      </c>
      <c r="H4254" s="7">
        <v>338.66</v>
      </c>
      <c r="I4254" t="s">
        <v>19</v>
      </c>
      <c r="J4254" t="s">
        <v>19</v>
      </c>
      <c r="K4254">
        <v>20</v>
      </c>
      <c r="L4254" s="7">
        <f t="shared" si="199"/>
        <v>1354.64</v>
      </c>
      <c r="M4254" s="7"/>
      <c r="O4254">
        <f t="shared" si="200"/>
        <v>2</v>
      </c>
      <c r="Q4254" t="s">
        <v>19</v>
      </c>
    </row>
    <row r="4255" spans="1:17" x14ac:dyDescent="0.3">
      <c r="A4255" t="s">
        <v>5384</v>
      </c>
      <c r="B4255" s="6">
        <v>45126</v>
      </c>
      <c r="C4255" s="6" t="str">
        <f t="shared" si="198"/>
        <v>Jul</v>
      </c>
      <c r="D4255" t="s">
        <v>1209</v>
      </c>
      <c r="E4255" t="s">
        <v>19</v>
      </c>
      <c r="F4255" t="s">
        <v>363</v>
      </c>
      <c r="G4255">
        <v>7</v>
      </c>
      <c r="H4255" s="7">
        <v>111.25</v>
      </c>
      <c r="I4255" t="s">
        <v>103</v>
      </c>
      <c r="J4255" t="s">
        <v>28</v>
      </c>
      <c r="K4255">
        <v>20</v>
      </c>
      <c r="L4255" s="7">
        <f t="shared" si="199"/>
        <v>778.75</v>
      </c>
      <c r="M4255" s="7"/>
      <c r="O4255">
        <f t="shared" si="200"/>
        <v>2</v>
      </c>
      <c r="Q4255" t="s">
        <v>104</v>
      </c>
    </row>
    <row r="4256" spans="1:17" x14ac:dyDescent="0.3">
      <c r="A4256" t="s">
        <v>5385</v>
      </c>
      <c r="B4256" s="6">
        <v>44952</v>
      </c>
      <c r="C4256" s="6" t="str">
        <f t="shared" si="198"/>
        <v>Jan</v>
      </c>
      <c r="D4256" t="s">
        <v>616</v>
      </c>
      <c r="E4256" t="s">
        <v>36</v>
      </c>
      <c r="F4256" t="s">
        <v>134</v>
      </c>
      <c r="G4256">
        <v>7</v>
      </c>
      <c r="H4256" s="7">
        <v>320.66000000000003</v>
      </c>
      <c r="I4256" t="s">
        <v>103</v>
      </c>
      <c r="J4256" t="s">
        <v>28</v>
      </c>
      <c r="K4256">
        <v>10</v>
      </c>
      <c r="L4256" s="7">
        <f t="shared" si="199"/>
        <v>2244.6200000000003</v>
      </c>
      <c r="M4256" s="7"/>
      <c r="O4256">
        <f t="shared" si="200"/>
        <v>2</v>
      </c>
      <c r="Q4256" t="s">
        <v>104</v>
      </c>
    </row>
    <row r="4257" spans="1:17" x14ac:dyDescent="0.3">
      <c r="A4257" t="s">
        <v>5386</v>
      </c>
      <c r="B4257" s="6">
        <v>45202</v>
      </c>
      <c r="C4257" s="6" t="str">
        <f t="shared" si="198"/>
        <v>Oct</v>
      </c>
      <c r="D4257" t="s">
        <v>629</v>
      </c>
      <c r="E4257" t="s">
        <v>19</v>
      </c>
      <c r="F4257" t="s">
        <v>469</v>
      </c>
      <c r="G4257">
        <v>1</v>
      </c>
      <c r="H4257" s="7">
        <v>255.51</v>
      </c>
      <c r="I4257" t="s">
        <v>19</v>
      </c>
      <c r="J4257" t="s">
        <v>28</v>
      </c>
      <c r="K4257">
        <v>20</v>
      </c>
      <c r="L4257" s="7">
        <f t="shared" si="199"/>
        <v>255.51</v>
      </c>
      <c r="M4257" s="7"/>
      <c r="O4257">
        <f t="shared" si="200"/>
        <v>2</v>
      </c>
      <c r="Q4257" t="s">
        <v>19</v>
      </c>
    </row>
    <row r="4258" spans="1:17" x14ac:dyDescent="0.3">
      <c r="A4258" t="s">
        <v>5387</v>
      </c>
      <c r="B4258" s="6">
        <v>45056</v>
      </c>
      <c r="C4258" s="6" t="str">
        <f t="shared" si="198"/>
        <v>May</v>
      </c>
      <c r="D4258" t="s">
        <v>503</v>
      </c>
      <c r="E4258" t="s">
        <v>19</v>
      </c>
      <c r="F4258" t="s">
        <v>237</v>
      </c>
      <c r="G4258">
        <v>6</v>
      </c>
      <c r="H4258" s="7">
        <v>360.02</v>
      </c>
      <c r="I4258" t="s">
        <v>103</v>
      </c>
      <c r="J4258" t="s">
        <v>19</v>
      </c>
      <c r="K4258">
        <v>5</v>
      </c>
      <c r="L4258" s="7">
        <f t="shared" si="199"/>
        <v>2160.12</v>
      </c>
      <c r="M4258" s="7"/>
      <c r="O4258">
        <f t="shared" si="200"/>
        <v>2</v>
      </c>
      <c r="Q4258" t="s">
        <v>104</v>
      </c>
    </row>
    <row r="4259" spans="1:17" x14ac:dyDescent="0.3">
      <c r="A4259" t="s">
        <v>5388</v>
      </c>
      <c r="B4259" s="6">
        <v>45120</v>
      </c>
      <c r="C4259" s="6" t="str">
        <f t="shared" si="198"/>
        <v>Jul</v>
      </c>
      <c r="D4259" t="s">
        <v>324</v>
      </c>
      <c r="E4259" t="s">
        <v>26</v>
      </c>
      <c r="F4259" t="s">
        <v>165</v>
      </c>
      <c r="G4259">
        <v>9</v>
      </c>
      <c r="H4259" s="7">
        <v>417.3</v>
      </c>
      <c r="I4259" t="s">
        <v>19</v>
      </c>
      <c r="J4259" t="s">
        <v>28</v>
      </c>
      <c r="K4259">
        <v>20</v>
      </c>
      <c r="L4259" s="7">
        <f t="shared" si="199"/>
        <v>3755.7000000000003</v>
      </c>
      <c r="M4259" s="7"/>
      <c r="O4259">
        <f t="shared" si="200"/>
        <v>5</v>
      </c>
      <c r="Q4259" t="s">
        <v>19</v>
      </c>
    </row>
    <row r="4260" spans="1:17" x14ac:dyDescent="0.3">
      <c r="A4260" t="s">
        <v>5389</v>
      </c>
      <c r="B4260" s="6">
        <v>45257</v>
      </c>
      <c r="C4260" s="6" t="str">
        <f t="shared" si="198"/>
        <v>Nov</v>
      </c>
      <c r="D4260" t="s">
        <v>250</v>
      </c>
      <c r="E4260" t="s">
        <v>40</v>
      </c>
      <c r="F4260" t="s">
        <v>409</v>
      </c>
      <c r="G4260">
        <v>2</v>
      </c>
      <c r="H4260" s="7">
        <v>372.65</v>
      </c>
      <c r="I4260" t="s">
        <v>32</v>
      </c>
      <c r="J4260" t="s">
        <v>22</v>
      </c>
      <c r="K4260">
        <v>5</v>
      </c>
      <c r="L4260" s="7">
        <f t="shared" si="199"/>
        <v>745.3</v>
      </c>
      <c r="M4260" s="7"/>
      <c r="O4260">
        <f t="shared" si="200"/>
        <v>2</v>
      </c>
      <c r="Q4260" t="s">
        <v>33</v>
      </c>
    </row>
    <row r="4261" spans="1:17" x14ac:dyDescent="0.3">
      <c r="A4261" t="s">
        <v>5390</v>
      </c>
      <c r="B4261" s="6">
        <v>45022</v>
      </c>
      <c r="C4261" s="6" t="str">
        <f t="shared" si="198"/>
        <v>Apr</v>
      </c>
      <c r="D4261" t="s">
        <v>2535</v>
      </c>
      <c r="E4261" t="s">
        <v>50</v>
      </c>
      <c r="F4261" t="s">
        <v>160</v>
      </c>
      <c r="G4261">
        <v>3</v>
      </c>
      <c r="H4261" s="7">
        <v>424.05</v>
      </c>
      <c r="I4261" t="s">
        <v>21</v>
      </c>
      <c r="J4261" t="s">
        <v>72</v>
      </c>
      <c r="K4261">
        <v>0</v>
      </c>
      <c r="L4261" s="7">
        <f t="shared" si="199"/>
        <v>1272.1500000000001</v>
      </c>
      <c r="M4261" s="7"/>
      <c r="O4261">
        <f t="shared" si="200"/>
        <v>2</v>
      </c>
      <c r="Q4261" t="s">
        <v>23</v>
      </c>
    </row>
    <row r="4262" spans="1:17" x14ac:dyDescent="0.3">
      <c r="A4262" t="s">
        <v>5391</v>
      </c>
      <c r="B4262" s="6">
        <v>44987</v>
      </c>
      <c r="C4262" s="6" t="str">
        <f t="shared" si="198"/>
        <v>Mar</v>
      </c>
      <c r="D4262" t="s">
        <v>1859</v>
      </c>
      <c r="E4262" t="s">
        <v>26</v>
      </c>
      <c r="F4262" t="s">
        <v>366</v>
      </c>
      <c r="G4262">
        <v>5</v>
      </c>
      <c r="H4262" s="7">
        <v>36.61</v>
      </c>
      <c r="I4262" t="s">
        <v>21</v>
      </c>
      <c r="J4262" t="s">
        <v>42</v>
      </c>
      <c r="K4262">
        <v>20</v>
      </c>
      <c r="L4262" s="7">
        <f t="shared" si="199"/>
        <v>183.05</v>
      </c>
      <c r="M4262" s="7"/>
      <c r="O4262">
        <f t="shared" si="200"/>
        <v>2</v>
      </c>
      <c r="Q4262" t="s">
        <v>23</v>
      </c>
    </row>
    <row r="4263" spans="1:17" x14ac:dyDescent="0.3">
      <c r="A4263" t="s">
        <v>5392</v>
      </c>
      <c r="B4263" s="6">
        <v>45015</v>
      </c>
      <c r="C4263" s="6" t="str">
        <f t="shared" si="198"/>
        <v>Mar</v>
      </c>
      <c r="D4263" t="s">
        <v>230</v>
      </c>
      <c r="E4263" t="s">
        <v>36</v>
      </c>
      <c r="F4263" t="s">
        <v>211</v>
      </c>
      <c r="G4263">
        <v>9</v>
      </c>
      <c r="H4263" s="7">
        <v>20.65</v>
      </c>
      <c r="I4263" t="s">
        <v>19</v>
      </c>
      <c r="J4263" t="s">
        <v>28</v>
      </c>
      <c r="K4263">
        <v>5</v>
      </c>
      <c r="L4263" s="7">
        <f t="shared" si="199"/>
        <v>185.85</v>
      </c>
      <c r="M4263" s="7"/>
      <c r="O4263">
        <f t="shared" si="200"/>
        <v>2</v>
      </c>
      <c r="Q4263" t="s">
        <v>19</v>
      </c>
    </row>
    <row r="4264" spans="1:17" x14ac:dyDescent="0.3">
      <c r="A4264" t="s">
        <v>5393</v>
      </c>
      <c r="B4264" s="6">
        <v>45172</v>
      </c>
      <c r="C4264" s="6" t="str">
        <f t="shared" si="198"/>
        <v>Sep</v>
      </c>
      <c r="D4264" t="s">
        <v>633</v>
      </c>
      <c r="E4264" t="s">
        <v>36</v>
      </c>
      <c r="F4264" t="s">
        <v>1328</v>
      </c>
      <c r="G4264">
        <v>4</v>
      </c>
      <c r="H4264" s="7">
        <v>132.96</v>
      </c>
      <c r="I4264" t="s">
        <v>19</v>
      </c>
      <c r="J4264" t="s">
        <v>22</v>
      </c>
      <c r="K4264">
        <v>10</v>
      </c>
      <c r="L4264" s="7">
        <f t="shared" si="199"/>
        <v>531.84</v>
      </c>
      <c r="M4264" s="7"/>
      <c r="O4264">
        <f t="shared" si="200"/>
        <v>2</v>
      </c>
      <c r="Q4264" t="s">
        <v>19</v>
      </c>
    </row>
    <row r="4265" spans="1:17" x14ac:dyDescent="0.3">
      <c r="A4265" t="s">
        <v>5394</v>
      </c>
      <c r="B4265" s="6">
        <v>45020</v>
      </c>
      <c r="C4265" s="6" t="str">
        <f t="shared" si="198"/>
        <v>Apr</v>
      </c>
      <c r="D4265" t="s">
        <v>641</v>
      </c>
      <c r="E4265" t="s">
        <v>40</v>
      </c>
      <c r="F4265" t="s">
        <v>316</v>
      </c>
      <c r="G4265">
        <v>1</v>
      </c>
      <c r="H4265" s="7">
        <v>252.16</v>
      </c>
      <c r="I4265" t="s">
        <v>64</v>
      </c>
      <c r="J4265" t="s">
        <v>22</v>
      </c>
      <c r="K4265">
        <v>15</v>
      </c>
      <c r="L4265" s="7">
        <f t="shared" si="199"/>
        <v>252.16</v>
      </c>
      <c r="M4265" s="7"/>
      <c r="O4265">
        <f t="shared" si="200"/>
        <v>2</v>
      </c>
      <c r="Q4265" t="s">
        <v>65</v>
      </c>
    </row>
    <row r="4266" spans="1:17" x14ac:dyDescent="0.3">
      <c r="A4266" t="s">
        <v>5395</v>
      </c>
      <c r="B4266" s="6">
        <v>45123</v>
      </c>
      <c r="C4266" s="6" t="str">
        <f t="shared" si="198"/>
        <v>Jul</v>
      </c>
      <c r="D4266" t="s">
        <v>650</v>
      </c>
      <c r="E4266" t="s">
        <v>36</v>
      </c>
      <c r="F4266" t="s">
        <v>383</v>
      </c>
      <c r="G4266">
        <v>4</v>
      </c>
      <c r="H4266" s="7">
        <v>412.71</v>
      </c>
      <c r="I4266" t="s">
        <v>21</v>
      </c>
      <c r="J4266" t="s">
        <v>87</v>
      </c>
      <c r="K4266">
        <v>10</v>
      </c>
      <c r="L4266" s="7">
        <f t="shared" si="199"/>
        <v>1650.84</v>
      </c>
      <c r="M4266" s="7"/>
      <c r="O4266">
        <f t="shared" si="200"/>
        <v>2</v>
      </c>
      <c r="Q4266" t="s">
        <v>23</v>
      </c>
    </row>
    <row r="4267" spans="1:17" x14ac:dyDescent="0.3">
      <c r="A4267" t="s">
        <v>5396</v>
      </c>
      <c r="B4267" s="6">
        <v>45102</v>
      </c>
      <c r="C4267" s="6" t="str">
        <f t="shared" si="198"/>
        <v>Jun</v>
      </c>
      <c r="D4267" t="s">
        <v>2017</v>
      </c>
      <c r="E4267" t="s">
        <v>36</v>
      </c>
      <c r="F4267" t="s">
        <v>363</v>
      </c>
      <c r="G4267">
        <v>6</v>
      </c>
      <c r="H4267" s="7">
        <v>342.95</v>
      </c>
      <c r="I4267" t="s">
        <v>32</v>
      </c>
      <c r="J4267" t="s">
        <v>72</v>
      </c>
      <c r="K4267">
        <v>10</v>
      </c>
      <c r="L4267" s="7">
        <f t="shared" si="199"/>
        <v>2057.6999999999998</v>
      </c>
      <c r="M4267" s="7"/>
      <c r="O4267">
        <f t="shared" si="200"/>
        <v>2</v>
      </c>
      <c r="Q4267" t="s">
        <v>33</v>
      </c>
    </row>
    <row r="4268" spans="1:17" x14ac:dyDescent="0.3">
      <c r="A4268" t="s">
        <v>5397</v>
      </c>
      <c r="B4268" s="6">
        <v>45026</v>
      </c>
      <c r="C4268" s="6" t="str">
        <f t="shared" si="198"/>
        <v>Apr</v>
      </c>
      <c r="D4268" t="s">
        <v>661</v>
      </c>
      <c r="E4268" t="s">
        <v>62</v>
      </c>
      <c r="F4268" t="s">
        <v>696</v>
      </c>
      <c r="G4268">
        <v>5</v>
      </c>
      <c r="H4268" s="7">
        <v>252.16</v>
      </c>
      <c r="I4268" t="s">
        <v>103</v>
      </c>
      <c r="J4268" t="s">
        <v>22</v>
      </c>
      <c r="K4268">
        <v>5</v>
      </c>
      <c r="L4268" s="7">
        <f t="shared" si="199"/>
        <v>1260.8</v>
      </c>
      <c r="M4268" s="7"/>
      <c r="O4268">
        <f t="shared" si="200"/>
        <v>2</v>
      </c>
      <c r="Q4268" t="s">
        <v>104</v>
      </c>
    </row>
    <row r="4269" spans="1:17" x14ac:dyDescent="0.3">
      <c r="A4269" t="s">
        <v>5398</v>
      </c>
      <c r="B4269" s="6">
        <v>45196</v>
      </c>
      <c r="C4269" s="6" t="str">
        <f t="shared" si="198"/>
        <v>Sep</v>
      </c>
      <c r="D4269" t="s">
        <v>2178</v>
      </c>
      <c r="E4269" t="s">
        <v>62</v>
      </c>
      <c r="F4269" t="s">
        <v>575</v>
      </c>
      <c r="G4269">
        <v>1</v>
      </c>
      <c r="H4269" s="7">
        <v>364.7</v>
      </c>
      <c r="I4269" t="s">
        <v>64</v>
      </c>
      <c r="J4269" t="s">
        <v>72</v>
      </c>
      <c r="K4269">
        <v>10</v>
      </c>
      <c r="L4269" s="7">
        <f t="shared" si="199"/>
        <v>364.7</v>
      </c>
      <c r="M4269" s="7"/>
      <c r="O4269">
        <f t="shared" si="200"/>
        <v>2</v>
      </c>
      <c r="Q4269" t="s">
        <v>65</v>
      </c>
    </row>
    <row r="4270" spans="1:17" x14ac:dyDescent="0.3">
      <c r="A4270" t="s">
        <v>5399</v>
      </c>
      <c r="B4270" s="6">
        <v>45194</v>
      </c>
      <c r="C4270" s="6" t="str">
        <f t="shared" si="198"/>
        <v>Sep</v>
      </c>
      <c r="D4270" t="s">
        <v>1779</v>
      </c>
      <c r="E4270" t="s">
        <v>19</v>
      </c>
      <c r="F4270" t="s">
        <v>2185</v>
      </c>
      <c r="G4270">
        <v>5</v>
      </c>
      <c r="H4270" s="7">
        <v>471.59</v>
      </c>
      <c r="I4270" t="s">
        <v>32</v>
      </c>
      <c r="J4270" t="s">
        <v>22</v>
      </c>
      <c r="K4270">
        <v>20</v>
      </c>
      <c r="L4270" s="7">
        <f t="shared" si="199"/>
        <v>2357.9499999999998</v>
      </c>
      <c r="M4270" s="7"/>
      <c r="O4270">
        <f t="shared" si="200"/>
        <v>2</v>
      </c>
      <c r="Q4270" t="s">
        <v>33</v>
      </c>
    </row>
    <row r="4271" spans="1:17" x14ac:dyDescent="0.3">
      <c r="A4271" t="s">
        <v>5400</v>
      </c>
      <c r="B4271" s="6">
        <v>45029</v>
      </c>
      <c r="C4271" s="6" t="str">
        <f t="shared" si="198"/>
        <v>Apr</v>
      </c>
      <c r="D4271" t="s">
        <v>4289</v>
      </c>
      <c r="E4271" t="s">
        <v>31</v>
      </c>
      <c r="F4271" t="s">
        <v>975</v>
      </c>
      <c r="G4271">
        <v>6</v>
      </c>
      <c r="H4271" s="7">
        <v>416.93</v>
      </c>
      <c r="I4271" t="s">
        <v>19</v>
      </c>
      <c r="J4271" t="s">
        <v>22</v>
      </c>
      <c r="K4271">
        <v>20</v>
      </c>
      <c r="L4271" s="7">
        <f t="shared" si="199"/>
        <v>2501.58</v>
      </c>
      <c r="M4271" s="7"/>
      <c r="O4271">
        <f t="shared" si="200"/>
        <v>3</v>
      </c>
      <c r="Q4271" t="s">
        <v>19</v>
      </c>
    </row>
    <row r="4272" spans="1:17" x14ac:dyDescent="0.3">
      <c r="A4272" t="s">
        <v>5401</v>
      </c>
      <c r="B4272" s="6">
        <v>45272</v>
      </c>
      <c r="C4272" s="6" t="str">
        <f t="shared" si="198"/>
        <v>Dec</v>
      </c>
      <c r="D4272" t="s">
        <v>2059</v>
      </c>
      <c r="E4272" t="s">
        <v>19</v>
      </c>
      <c r="F4272" t="s">
        <v>308</v>
      </c>
      <c r="G4272">
        <v>4</v>
      </c>
      <c r="H4272" s="7">
        <v>313.58</v>
      </c>
      <c r="I4272" t="s">
        <v>19</v>
      </c>
      <c r="J4272" t="s">
        <v>28</v>
      </c>
      <c r="K4272">
        <v>0</v>
      </c>
      <c r="L4272" s="7">
        <f t="shared" si="199"/>
        <v>1254.32</v>
      </c>
      <c r="M4272" s="7"/>
      <c r="O4272">
        <f t="shared" si="200"/>
        <v>2</v>
      </c>
      <c r="Q4272" t="s">
        <v>19</v>
      </c>
    </row>
    <row r="4273" spans="1:17" x14ac:dyDescent="0.3">
      <c r="A4273" t="s">
        <v>5402</v>
      </c>
      <c r="B4273" s="6">
        <v>45222</v>
      </c>
      <c r="C4273" s="6" t="str">
        <f t="shared" si="198"/>
        <v>Oct</v>
      </c>
      <c r="D4273" t="s">
        <v>2158</v>
      </c>
      <c r="E4273" t="s">
        <v>19</v>
      </c>
      <c r="F4273" t="s">
        <v>270</v>
      </c>
      <c r="G4273">
        <v>9</v>
      </c>
      <c r="H4273" s="7">
        <v>334.53</v>
      </c>
      <c r="I4273" t="s">
        <v>19</v>
      </c>
      <c r="J4273" t="s">
        <v>42</v>
      </c>
      <c r="K4273">
        <v>15</v>
      </c>
      <c r="L4273" s="7">
        <f t="shared" si="199"/>
        <v>3010.7699999999995</v>
      </c>
      <c r="M4273" s="7"/>
      <c r="O4273">
        <f t="shared" si="200"/>
        <v>4</v>
      </c>
      <c r="Q4273" t="s">
        <v>19</v>
      </c>
    </row>
    <row r="4274" spans="1:17" x14ac:dyDescent="0.3">
      <c r="A4274" t="s">
        <v>5403</v>
      </c>
      <c r="B4274" s="6">
        <v>45085</v>
      </c>
      <c r="C4274" s="6" t="str">
        <f t="shared" si="198"/>
        <v>Jun</v>
      </c>
      <c r="D4274" t="s">
        <v>1801</v>
      </c>
      <c r="E4274" t="s">
        <v>19</v>
      </c>
      <c r="F4274" t="s">
        <v>217</v>
      </c>
      <c r="G4274">
        <v>5</v>
      </c>
      <c r="H4274" s="7">
        <v>110.8</v>
      </c>
      <c r="I4274" t="s">
        <v>103</v>
      </c>
      <c r="J4274" t="s">
        <v>28</v>
      </c>
      <c r="K4274">
        <v>5</v>
      </c>
      <c r="L4274" s="7">
        <f t="shared" si="199"/>
        <v>554</v>
      </c>
      <c r="M4274" s="7"/>
      <c r="O4274">
        <f t="shared" si="200"/>
        <v>2</v>
      </c>
      <c r="Q4274" t="s">
        <v>104</v>
      </c>
    </row>
    <row r="4275" spans="1:17" x14ac:dyDescent="0.3">
      <c r="A4275" t="s">
        <v>5404</v>
      </c>
      <c r="B4275" s="6">
        <v>45118</v>
      </c>
      <c r="C4275" s="6" t="str">
        <f t="shared" si="198"/>
        <v>Jul</v>
      </c>
      <c r="D4275" t="s">
        <v>460</v>
      </c>
      <c r="E4275" t="s">
        <v>31</v>
      </c>
      <c r="F4275" t="s">
        <v>316</v>
      </c>
      <c r="G4275">
        <v>8</v>
      </c>
      <c r="H4275" s="7">
        <v>330.37</v>
      </c>
      <c r="I4275" t="s">
        <v>21</v>
      </c>
      <c r="J4275" t="s">
        <v>72</v>
      </c>
      <c r="K4275">
        <v>10</v>
      </c>
      <c r="L4275" s="7">
        <f t="shared" si="199"/>
        <v>2642.96</v>
      </c>
      <c r="M4275" s="7"/>
      <c r="O4275">
        <f t="shared" si="200"/>
        <v>3</v>
      </c>
      <c r="Q4275" t="s">
        <v>23</v>
      </c>
    </row>
    <row r="4276" spans="1:17" x14ac:dyDescent="0.3">
      <c r="A4276" t="s">
        <v>5405</v>
      </c>
      <c r="B4276" s="6">
        <v>45165</v>
      </c>
      <c r="C4276" s="6" t="str">
        <f t="shared" si="198"/>
        <v>Aug</v>
      </c>
      <c r="D4276" t="s">
        <v>1410</v>
      </c>
      <c r="E4276" t="s">
        <v>36</v>
      </c>
      <c r="F4276" t="s">
        <v>157</v>
      </c>
      <c r="G4276">
        <v>9</v>
      </c>
      <c r="H4276" s="7">
        <v>215.22</v>
      </c>
      <c r="I4276" t="s">
        <v>46</v>
      </c>
      <c r="J4276" t="s">
        <v>28</v>
      </c>
      <c r="K4276">
        <v>15</v>
      </c>
      <c r="L4276" s="7">
        <f t="shared" si="199"/>
        <v>1936.98</v>
      </c>
      <c r="M4276" s="7"/>
      <c r="O4276">
        <f t="shared" si="200"/>
        <v>2</v>
      </c>
      <c r="Q4276" t="s">
        <v>47</v>
      </c>
    </row>
    <row r="4277" spans="1:17" x14ac:dyDescent="0.3">
      <c r="A4277" t="s">
        <v>5406</v>
      </c>
      <c r="B4277" s="6">
        <v>45083</v>
      </c>
      <c r="C4277" s="6" t="str">
        <f t="shared" si="198"/>
        <v>Jun</v>
      </c>
      <c r="D4277" t="s">
        <v>127</v>
      </c>
      <c r="E4277" t="s">
        <v>62</v>
      </c>
      <c r="F4277" t="s">
        <v>298</v>
      </c>
      <c r="G4277">
        <v>5</v>
      </c>
      <c r="H4277" s="7">
        <v>80.72</v>
      </c>
      <c r="I4277" t="s">
        <v>64</v>
      </c>
      <c r="J4277" t="s">
        <v>22</v>
      </c>
      <c r="K4277">
        <v>0</v>
      </c>
      <c r="L4277" s="7">
        <f t="shared" si="199"/>
        <v>403.6</v>
      </c>
      <c r="M4277" s="7"/>
      <c r="O4277">
        <f t="shared" si="200"/>
        <v>2</v>
      </c>
      <c r="Q4277" t="s">
        <v>65</v>
      </c>
    </row>
    <row r="4278" spans="1:17" x14ac:dyDescent="0.3">
      <c r="A4278" t="s">
        <v>5407</v>
      </c>
      <c r="B4278" s="6">
        <v>45016</v>
      </c>
      <c r="C4278" s="6" t="str">
        <f t="shared" si="198"/>
        <v>Mar</v>
      </c>
      <c r="D4278" t="s">
        <v>1154</v>
      </c>
      <c r="E4278" t="s">
        <v>36</v>
      </c>
      <c r="F4278" t="s">
        <v>598</v>
      </c>
      <c r="G4278">
        <v>6</v>
      </c>
      <c r="H4278" s="7">
        <v>404.17</v>
      </c>
      <c r="I4278" t="s">
        <v>19</v>
      </c>
      <c r="J4278" t="s">
        <v>19</v>
      </c>
      <c r="K4278">
        <v>10</v>
      </c>
      <c r="L4278" s="7">
        <f t="shared" si="199"/>
        <v>2425.02</v>
      </c>
      <c r="M4278" s="7"/>
      <c r="O4278">
        <f t="shared" si="200"/>
        <v>2</v>
      </c>
      <c r="Q4278" t="s">
        <v>19</v>
      </c>
    </row>
    <row r="4279" spans="1:17" x14ac:dyDescent="0.3">
      <c r="A4279" t="s">
        <v>5408</v>
      </c>
      <c r="B4279" s="6">
        <v>44931</v>
      </c>
      <c r="C4279" s="6" t="str">
        <f t="shared" si="198"/>
        <v>Jan</v>
      </c>
      <c r="D4279" t="s">
        <v>960</v>
      </c>
      <c r="E4279" t="s">
        <v>31</v>
      </c>
      <c r="F4279" t="s">
        <v>110</v>
      </c>
      <c r="G4279">
        <v>1</v>
      </c>
      <c r="H4279" s="7">
        <v>257.57</v>
      </c>
      <c r="I4279" t="s">
        <v>64</v>
      </c>
      <c r="J4279" t="s">
        <v>28</v>
      </c>
      <c r="K4279">
        <v>15</v>
      </c>
      <c r="L4279" s="7">
        <f t="shared" si="199"/>
        <v>257.57</v>
      </c>
      <c r="M4279" s="7"/>
      <c r="O4279">
        <f t="shared" si="200"/>
        <v>2</v>
      </c>
      <c r="Q4279" t="s">
        <v>65</v>
      </c>
    </row>
    <row r="4280" spans="1:17" x14ac:dyDescent="0.3">
      <c r="A4280" t="s">
        <v>5409</v>
      </c>
      <c r="B4280" s="6">
        <v>45077</v>
      </c>
      <c r="C4280" s="6" t="str">
        <f t="shared" si="198"/>
        <v>May</v>
      </c>
      <c r="D4280" t="s">
        <v>548</v>
      </c>
      <c r="E4280" t="s">
        <v>19</v>
      </c>
      <c r="F4280" t="s">
        <v>107</v>
      </c>
      <c r="G4280">
        <v>7</v>
      </c>
      <c r="H4280" s="7">
        <v>488.83</v>
      </c>
      <c r="I4280" t="s">
        <v>21</v>
      </c>
      <c r="J4280" t="s">
        <v>19</v>
      </c>
      <c r="K4280">
        <v>0</v>
      </c>
      <c r="L4280" s="7">
        <f t="shared" si="199"/>
        <v>3421.81</v>
      </c>
      <c r="M4280" s="7"/>
      <c r="O4280">
        <f t="shared" si="200"/>
        <v>4</v>
      </c>
      <c r="Q4280" t="s">
        <v>23</v>
      </c>
    </row>
    <row r="4281" spans="1:17" x14ac:dyDescent="0.3">
      <c r="A4281" t="s">
        <v>5410</v>
      </c>
      <c r="B4281" s="6">
        <v>44950</v>
      </c>
      <c r="C4281" s="6" t="str">
        <f t="shared" si="198"/>
        <v>Jan</v>
      </c>
      <c r="D4281" t="s">
        <v>1271</v>
      </c>
      <c r="E4281" t="s">
        <v>19</v>
      </c>
      <c r="F4281" t="s">
        <v>125</v>
      </c>
      <c r="G4281">
        <v>4</v>
      </c>
      <c r="H4281" s="7">
        <v>144.43</v>
      </c>
      <c r="I4281" t="s">
        <v>32</v>
      </c>
      <c r="J4281" t="s">
        <v>19</v>
      </c>
      <c r="K4281">
        <v>5</v>
      </c>
      <c r="L4281" s="7">
        <f t="shared" si="199"/>
        <v>577.72</v>
      </c>
      <c r="M4281" s="7"/>
      <c r="O4281">
        <f t="shared" si="200"/>
        <v>2</v>
      </c>
      <c r="Q4281" t="s">
        <v>33</v>
      </c>
    </row>
    <row r="4282" spans="1:17" x14ac:dyDescent="0.3">
      <c r="A4282" t="s">
        <v>5411</v>
      </c>
      <c r="B4282" s="6">
        <v>45213</v>
      </c>
      <c r="C4282" s="6" t="str">
        <f t="shared" si="198"/>
        <v>Oct</v>
      </c>
      <c r="D4282" t="s">
        <v>414</v>
      </c>
      <c r="E4282" t="s">
        <v>36</v>
      </c>
      <c r="F4282" t="s">
        <v>1374</v>
      </c>
      <c r="G4282">
        <v>2</v>
      </c>
      <c r="H4282" s="7">
        <v>242.93</v>
      </c>
      <c r="I4282" t="s">
        <v>46</v>
      </c>
      <c r="J4282" t="s">
        <v>72</v>
      </c>
      <c r="K4282">
        <v>10</v>
      </c>
      <c r="L4282" s="7">
        <f t="shared" si="199"/>
        <v>485.86</v>
      </c>
      <c r="M4282" s="7"/>
      <c r="O4282">
        <f t="shared" si="200"/>
        <v>2</v>
      </c>
      <c r="Q4282" t="s">
        <v>47</v>
      </c>
    </row>
    <row r="4283" spans="1:17" x14ac:dyDescent="0.3">
      <c r="A4283" t="s">
        <v>5412</v>
      </c>
      <c r="B4283" s="6">
        <v>45286</v>
      </c>
      <c r="C4283" s="6" t="str">
        <f t="shared" si="198"/>
        <v>Dec</v>
      </c>
      <c r="D4283" t="s">
        <v>2233</v>
      </c>
      <c r="E4283" t="s">
        <v>19</v>
      </c>
      <c r="F4283" t="s">
        <v>1325</v>
      </c>
      <c r="G4283">
        <v>5</v>
      </c>
      <c r="H4283" s="7">
        <v>226.76</v>
      </c>
      <c r="I4283" t="s">
        <v>46</v>
      </c>
      <c r="J4283" t="s">
        <v>87</v>
      </c>
      <c r="K4283">
        <v>20</v>
      </c>
      <c r="L4283" s="7">
        <f t="shared" si="199"/>
        <v>1133.8</v>
      </c>
      <c r="M4283" s="7"/>
      <c r="O4283">
        <f t="shared" si="200"/>
        <v>2</v>
      </c>
      <c r="Q4283" t="s">
        <v>47</v>
      </c>
    </row>
    <row r="4284" spans="1:17" x14ac:dyDescent="0.3">
      <c r="A4284" t="s">
        <v>5413</v>
      </c>
      <c r="B4284" s="6">
        <v>44973</v>
      </c>
      <c r="C4284" s="6" t="str">
        <f t="shared" si="198"/>
        <v>Feb</v>
      </c>
      <c r="D4284" t="s">
        <v>1779</v>
      </c>
      <c r="E4284" t="s">
        <v>26</v>
      </c>
      <c r="F4284" t="s">
        <v>657</v>
      </c>
      <c r="G4284">
        <v>3</v>
      </c>
      <c r="H4284" s="7">
        <v>64.790000000000006</v>
      </c>
      <c r="I4284" t="s">
        <v>103</v>
      </c>
      <c r="J4284" t="s">
        <v>22</v>
      </c>
      <c r="K4284">
        <v>0</v>
      </c>
      <c r="L4284" s="7">
        <f t="shared" si="199"/>
        <v>194.37</v>
      </c>
      <c r="M4284" s="7"/>
      <c r="O4284">
        <f t="shared" si="200"/>
        <v>2</v>
      </c>
      <c r="Q4284" t="s">
        <v>104</v>
      </c>
    </row>
    <row r="4285" spans="1:17" x14ac:dyDescent="0.3">
      <c r="A4285" t="s">
        <v>5414</v>
      </c>
      <c r="B4285" s="6">
        <v>45177</v>
      </c>
      <c r="C4285" s="6" t="str">
        <f t="shared" si="198"/>
        <v>Sep</v>
      </c>
      <c r="D4285" t="s">
        <v>1997</v>
      </c>
      <c r="E4285" t="s">
        <v>26</v>
      </c>
      <c r="F4285" t="s">
        <v>284</v>
      </c>
      <c r="G4285">
        <v>6</v>
      </c>
      <c r="H4285" s="7">
        <v>215.93</v>
      </c>
      <c r="I4285" t="s">
        <v>21</v>
      </c>
      <c r="J4285" t="s">
        <v>19</v>
      </c>
      <c r="K4285">
        <v>20</v>
      </c>
      <c r="L4285" s="7">
        <f t="shared" si="199"/>
        <v>1295.58</v>
      </c>
      <c r="M4285" s="7"/>
      <c r="O4285">
        <f t="shared" si="200"/>
        <v>2</v>
      </c>
      <c r="Q4285" t="s">
        <v>23</v>
      </c>
    </row>
    <row r="4286" spans="1:17" x14ac:dyDescent="0.3">
      <c r="A4286" t="s">
        <v>5415</v>
      </c>
      <c r="B4286" s="6">
        <v>45236</v>
      </c>
      <c r="C4286" s="6" t="str">
        <f t="shared" si="198"/>
        <v>Nov</v>
      </c>
      <c r="D4286" t="s">
        <v>4073</v>
      </c>
      <c r="E4286" t="s">
        <v>40</v>
      </c>
      <c r="F4286" t="s">
        <v>214</v>
      </c>
      <c r="G4286">
        <v>8</v>
      </c>
      <c r="H4286" s="7">
        <v>147.34</v>
      </c>
      <c r="I4286" t="s">
        <v>46</v>
      </c>
      <c r="J4286" t="s">
        <v>72</v>
      </c>
      <c r="K4286">
        <v>10</v>
      </c>
      <c r="L4286" s="7">
        <f t="shared" si="199"/>
        <v>1178.72</v>
      </c>
      <c r="M4286" s="7"/>
      <c r="O4286">
        <f t="shared" si="200"/>
        <v>2</v>
      </c>
      <c r="Q4286" t="s">
        <v>47</v>
      </c>
    </row>
    <row r="4287" spans="1:17" x14ac:dyDescent="0.3">
      <c r="A4287" t="s">
        <v>5416</v>
      </c>
      <c r="B4287" s="6">
        <v>45084</v>
      </c>
      <c r="C4287" s="6" t="str">
        <f t="shared" si="198"/>
        <v>Jun</v>
      </c>
      <c r="D4287" t="s">
        <v>1205</v>
      </c>
      <c r="E4287" t="s">
        <v>31</v>
      </c>
      <c r="F4287" t="s">
        <v>119</v>
      </c>
      <c r="G4287">
        <v>7</v>
      </c>
      <c r="H4287" s="7">
        <v>84.36</v>
      </c>
      <c r="I4287" t="s">
        <v>19</v>
      </c>
      <c r="J4287" t="s">
        <v>72</v>
      </c>
      <c r="K4287">
        <v>0</v>
      </c>
      <c r="L4287" s="7">
        <f t="shared" si="199"/>
        <v>590.52</v>
      </c>
      <c r="M4287" s="7"/>
      <c r="O4287">
        <f t="shared" si="200"/>
        <v>2</v>
      </c>
      <c r="Q4287" t="s">
        <v>19</v>
      </c>
    </row>
    <row r="4288" spans="1:17" x14ac:dyDescent="0.3">
      <c r="A4288" t="s">
        <v>5417</v>
      </c>
      <c r="B4288" s="6">
        <v>45145</v>
      </c>
      <c r="C4288" s="6" t="str">
        <f t="shared" si="198"/>
        <v>Aug</v>
      </c>
      <c r="D4288" t="s">
        <v>1898</v>
      </c>
      <c r="E4288" t="s">
        <v>31</v>
      </c>
      <c r="F4288" t="s">
        <v>469</v>
      </c>
      <c r="G4288">
        <v>3</v>
      </c>
      <c r="H4288" s="7">
        <v>144.66999999999999</v>
      </c>
      <c r="I4288" t="s">
        <v>103</v>
      </c>
      <c r="J4288" t="s">
        <v>22</v>
      </c>
      <c r="K4288">
        <v>0</v>
      </c>
      <c r="L4288" s="7">
        <f t="shared" si="199"/>
        <v>434.01</v>
      </c>
      <c r="M4288" s="7"/>
      <c r="O4288">
        <f t="shared" si="200"/>
        <v>2</v>
      </c>
      <c r="Q4288" t="s">
        <v>104</v>
      </c>
    </row>
    <row r="4289" spans="1:17" x14ac:dyDescent="0.3">
      <c r="A4289" t="s">
        <v>5418</v>
      </c>
      <c r="B4289" s="6">
        <v>45108</v>
      </c>
      <c r="C4289" s="6" t="str">
        <f t="shared" si="198"/>
        <v>Jul</v>
      </c>
      <c r="D4289" t="s">
        <v>3773</v>
      </c>
      <c r="E4289" t="s">
        <v>40</v>
      </c>
      <c r="F4289" t="s">
        <v>222</v>
      </c>
      <c r="G4289">
        <v>8</v>
      </c>
      <c r="H4289" s="7">
        <v>120.46</v>
      </c>
      <c r="I4289" t="s">
        <v>21</v>
      </c>
      <c r="J4289" t="s">
        <v>72</v>
      </c>
      <c r="K4289">
        <v>10</v>
      </c>
      <c r="L4289" s="7">
        <f t="shared" si="199"/>
        <v>963.68</v>
      </c>
      <c r="M4289" s="7"/>
      <c r="O4289">
        <f t="shared" si="200"/>
        <v>2</v>
      </c>
      <c r="Q4289" t="s">
        <v>23</v>
      </c>
    </row>
    <row r="4290" spans="1:17" x14ac:dyDescent="0.3">
      <c r="A4290" t="s">
        <v>5419</v>
      </c>
      <c r="B4290" s="6">
        <v>44983</v>
      </c>
      <c r="C4290" s="6" t="str">
        <f t="shared" si="198"/>
        <v>Feb</v>
      </c>
      <c r="D4290" t="s">
        <v>2338</v>
      </c>
      <c r="E4290" t="s">
        <v>31</v>
      </c>
      <c r="F4290" t="s">
        <v>1237</v>
      </c>
      <c r="G4290">
        <v>2</v>
      </c>
      <c r="H4290" s="7">
        <v>368.37</v>
      </c>
      <c r="I4290" t="s">
        <v>64</v>
      </c>
      <c r="J4290" t="s">
        <v>42</v>
      </c>
      <c r="K4290">
        <v>5</v>
      </c>
      <c r="L4290" s="7">
        <f t="shared" si="199"/>
        <v>736.74</v>
      </c>
      <c r="M4290" s="7"/>
      <c r="O4290">
        <f t="shared" si="200"/>
        <v>2</v>
      </c>
      <c r="Q4290" t="s">
        <v>65</v>
      </c>
    </row>
    <row r="4291" spans="1:17" x14ac:dyDescent="0.3">
      <c r="A4291" t="s">
        <v>5420</v>
      </c>
      <c r="B4291" s="6">
        <v>44968</v>
      </c>
      <c r="C4291" s="6" t="str">
        <f t="shared" ref="C4291:C4354" si="201">TEXT(B4291,"MMM")</f>
        <v>Feb</v>
      </c>
      <c r="D4291" t="s">
        <v>1991</v>
      </c>
      <c r="E4291" t="s">
        <v>36</v>
      </c>
      <c r="F4291" t="s">
        <v>2185</v>
      </c>
      <c r="G4291">
        <v>9</v>
      </c>
      <c r="H4291" s="7">
        <v>20.23</v>
      </c>
      <c r="I4291" t="s">
        <v>64</v>
      </c>
      <c r="J4291" t="s">
        <v>87</v>
      </c>
      <c r="K4291">
        <v>0</v>
      </c>
      <c r="L4291" s="7">
        <f t="shared" ref="L4291:L4354" si="202">G4291*H4291</f>
        <v>182.07</v>
      </c>
      <c r="M4291" s="7"/>
      <c r="O4291">
        <f t="shared" si="200"/>
        <v>2</v>
      </c>
      <c r="Q4291" t="s">
        <v>65</v>
      </c>
    </row>
    <row r="4292" spans="1:17" x14ac:dyDescent="0.3">
      <c r="A4292" t="s">
        <v>5421</v>
      </c>
      <c r="B4292" s="6">
        <v>45152</v>
      </c>
      <c r="C4292" s="6" t="str">
        <f t="shared" si="201"/>
        <v>Aug</v>
      </c>
      <c r="D4292" t="s">
        <v>3207</v>
      </c>
      <c r="E4292" t="s">
        <v>62</v>
      </c>
      <c r="F4292" t="s">
        <v>353</v>
      </c>
      <c r="G4292">
        <v>4</v>
      </c>
      <c r="H4292" s="7">
        <v>310.64</v>
      </c>
      <c r="I4292" t="s">
        <v>103</v>
      </c>
      <c r="J4292" t="s">
        <v>22</v>
      </c>
      <c r="K4292">
        <v>10</v>
      </c>
      <c r="L4292" s="7">
        <f t="shared" si="202"/>
        <v>1242.56</v>
      </c>
      <c r="M4292" s="7"/>
      <c r="O4292">
        <f t="shared" ref="O4292:O4355" si="203">IF(L4292&gt;3500,5,IF(L4292&gt;3000,4,IF(L4292&gt;2500,3,IF(L4292&gt;2000,2,IF(L4292&gt;1000,2,2)))))</f>
        <v>2</v>
      </c>
      <c r="Q4292" t="s">
        <v>104</v>
      </c>
    </row>
    <row r="4293" spans="1:17" x14ac:dyDescent="0.3">
      <c r="A4293" t="s">
        <v>5422</v>
      </c>
      <c r="B4293" s="6">
        <v>45247</v>
      </c>
      <c r="C4293" s="6" t="str">
        <f t="shared" si="201"/>
        <v>Nov</v>
      </c>
      <c r="D4293" t="s">
        <v>3735</v>
      </c>
      <c r="E4293" t="s">
        <v>19</v>
      </c>
      <c r="F4293" t="s">
        <v>119</v>
      </c>
      <c r="G4293">
        <v>1</v>
      </c>
      <c r="H4293" s="7">
        <v>381.53</v>
      </c>
      <c r="I4293" t="s">
        <v>21</v>
      </c>
      <c r="J4293" t="s">
        <v>42</v>
      </c>
      <c r="K4293">
        <v>15</v>
      </c>
      <c r="L4293" s="7">
        <f t="shared" si="202"/>
        <v>381.53</v>
      </c>
      <c r="M4293" s="7"/>
      <c r="O4293">
        <f t="shared" si="203"/>
        <v>2</v>
      </c>
      <c r="Q4293" t="s">
        <v>23</v>
      </c>
    </row>
    <row r="4294" spans="1:17" x14ac:dyDescent="0.3">
      <c r="A4294" t="s">
        <v>5423</v>
      </c>
      <c r="B4294" s="6">
        <v>45136</v>
      </c>
      <c r="C4294" s="6" t="str">
        <f t="shared" si="201"/>
        <v>Jul</v>
      </c>
      <c r="D4294" t="s">
        <v>1219</v>
      </c>
      <c r="E4294" t="s">
        <v>31</v>
      </c>
      <c r="F4294" t="s">
        <v>102</v>
      </c>
      <c r="G4294">
        <v>8</v>
      </c>
      <c r="H4294" s="7">
        <v>242.96</v>
      </c>
      <c r="I4294" t="s">
        <v>46</v>
      </c>
      <c r="J4294" t="s">
        <v>87</v>
      </c>
      <c r="K4294">
        <v>20</v>
      </c>
      <c r="L4294" s="7">
        <f t="shared" si="202"/>
        <v>1943.68</v>
      </c>
      <c r="M4294" s="7"/>
      <c r="O4294">
        <f t="shared" si="203"/>
        <v>2</v>
      </c>
      <c r="Q4294" t="s">
        <v>47</v>
      </c>
    </row>
    <row r="4295" spans="1:17" x14ac:dyDescent="0.3">
      <c r="A4295" t="s">
        <v>5424</v>
      </c>
      <c r="B4295" s="6">
        <v>45258</v>
      </c>
      <c r="C4295" s="6" t="str">
        <f t="shared" si="201"/>
        <v>Nov</v>
      </c>
      <c r="D4295" t="s">
        <v>1991</v>
      </c>
      <c r="E4295" t="s">
        <v>50</v>
      </c>
      <c r="F4295" t="s">
        <v>369</v>
      </c>
      <c r="G4295">
        <v>7</v>
      </c>
      <c r="H4295" s="7">
        <v>466.12</v>
      </c>
      <c r="I4295" t="s">
        <v>21</v>
      </c>
      <c r="J4295" t="s">
        <v>28</v>
      </c>
      <c r="K4295">
        <v>0</v>
      </c>
      <c r="L4295" s="7">
        <f t="shared" si="202"/>
        <v>3262.84</v>
      </c>
      <c r="M4295" s="7"/>
      <c r="O4295">
        <f t="shared" si="203"/>
        <v>4</v>
      </c>
      <c r="Q4295" t="s">
        <v>23</v>
      </c>
    </row>
    <row r="4296" spans="1:17" x14ac:dyDescent="0.3">
      <c r="A4296" t="s">
        <v>5425</v>
      </c>
      <c r="B4296" s="6">
        <v>45148</v>
      </c>
      <c r="C4296" s="6" t="str">
        <f t="shared" si="201"/>
        <v>Aug</v>
      </c>
      <c r="D4296" t="s">
        <v>2587</v>
      </c>
      <c r="E4296" t="s">
        <v>19</v>
      </c>
      <c r="F4296" t="s">
        <v>504</v>
      </c>
      <c r="G4296">
        <v>5</v>
      </c>
      <c r="H4296" s="7">
        <v>355.4</v>
      </c>
      <c r="I4296" t="s">
        <v>103</v>
      </c>
      <c r="J4296" t="s">
        <v>87</v>
      </c>
      <c r="K4296">
        <v>15</v>
      </c>
      <c r="L4296" s="7">
        <f t="shared" si="202"/>
        <v>1777</v>
      </c>
      <c r="M4296" s="7"/>
      <c r="O4296">
        <f t="shared" si="203"/>
        <v>2</v>
      </c>
      <c r="Q4296" t="s">
        <v>104</v>
      </c>
    </row>
    <row r="4297" spans="1:17" x14ac:dyDescent="0.3">
      <c r="A4297" t="s">
        <v>5426</v>
      </c>
      <c r="B4297" s="6">
        <v>45193</v>
      </c>
      <c r="C4297" s="6" t="str">
        <f t="shared" si="201"/>
        <v>Sep</v>
      </c>
      <c r="D4297" t="s">
        <v>1756</v>
      </c>
      <c r="E4297" t="s">
        <v>31</v>
      </c>
      <c r="F4297" t="s">
        <v>807</v>
      </c>
      <c r="G4297">
        <v>5</v>
      </c>
      <c r="H4297" s="7">
        <v>375.22</v>
      </c>
      <c r="I4297" t="s">
        <v>64</v>
      </c>
      <c r="J4297" t="s">
        <v>22</v>
      </c>
      <c r="K4297">
        <v>0</v>
      </c>
      <c r="L4297" s="7">
        <f t="shared" si="202"/>
        <v>1876.1000000000001</v>
      </c>
      <c r="M4297" s="7"/>
      <c r="O4297">
        <f t="shared" si="203"/>
        <v>2</v>
      </c>
      <c r="Q4297" t="s">
        <v>65</v>
      </c>
    </row>
    <row r="4298" spans="1:17" x14ac:dyDescent="0.3">
      <c r="A4298" t="s">
        <v>5427</v>
      </c>
      <c r="B4298" s="6">
        <v>44968</v>
      </c>
      <c r="C4298" s="6" t="str">
        <f t="shared" si="201"/>
        <v>Feb</v>
      </c>
      <c r="D4298" t="s">
        <v>1398</v>
      </c>
      <c r="E4298" t="s">
        <v>62</v>
      </c>
      <c r="F4298" t="s">
        <v>63</v>
      </c>
      <c r="G4298">
        <v>7</v>
      </c>
      <c r="H4298" s="7">
        <v>102.48</v>
      </c>
      <c r="I4298" t="s">
        <v>19</v>
      </c>
      <c r="J4298" t="s">
        <v>72</v>
      </c>
      <c r="K4298">
        <v>5</v>
      </c>
      <c r="L4298" s="7">
        <f t="shared" si="202"/>
        <v>717.36</v>
      </c>
      <c r="M4298" s="7"/>
      <c r="O4298">
        <f t="shared" si="203"/>
        <v>2</v>
      </c>
      <c r="Q4298" t="s">
        <v>19</v>
      </c>
    </row>
    <row r="4299" spans="1:17" x14ac:dyDescent="0.3">
      <c r="A4299" t="s">
        <v>5428</v>
      </c>
      <c r="B4299" s="6">
        <v>45023</v>
      </c>
      <c r="C4299" s="6" t="str">
        <f t="shared" si="201"/>
        <v>Apr</v>
      </c>
      <c r="D4299" t="s">
        <v>2102</v>
      </c>
      <c r="E4299" t="s">
        <v>50</v>
      </c>
      <c r="F4299" t="s">
        <v>434</v>
      </c>
      <c r="G4299">
        <v>5</v>
      </c>
      <c r="H4299" s="7">
        <v>389.76</v>
      </c>
      <c r="I4299" t="s">
        <v>46</v>
      </c>
      <c r="J4299" t="s">
        <v>87</v>
      </c>
      <c r="K4299">
        <v>10</v>
      </c>
      <c r="L4299" s="7">
        <f t="shared" si="202"/>
        <v>1948.8</v>
      </c>
      <c r="M4299" s="7"/>
      <c r="O4299">
        <f t="shared" si="203"/>
        <v>2</v>
      </c>
      <c r="Q4299" t="s">
        <v>47</v>
      </c>
    </row>
    <row r="4300" spans="1:17" x14ac:dyDescent="0.3">
      <c r="A4300" t="s">
        <v>5429</v>
      </c>
      <c r="B4300" s="6">
        <v>45239</v>
      </c>
      <c r="C4300" s="6" t="str">
        <f t="shared" si="201"/>
        <v>Nov</v>
      </c>
      <c r="D4300" t="s">
        <v>1533</v>
      </c>
      <c r="E4300" t="s">
        <v>40</v>
      </c>
      <c r="F4300" t="s">
        <v>1282</v>
      </c>
      <c r="G4300">
        <v>8</v>
      </c>
      <c r="H4300" s="7">
        <v>416.89</v>
      </c>
      <c r="I4300" t="s">
        <v>103</v>
      </c>
      <c r="J4300" t="s">
        <v>22</v>
      </c>
      <c r="K4300">
        <v>0</v>
      </c>
      <c r="L4300" s="7">
        <f t="shared" si="202"/>
        <v>3335.12</v>
      </c>
      <c r="M4300" s="7"/>
      <c r="O4300">
        <f t="shared" si="203"/>
        <v>4</v>
      </c>
      <c r="Q4300" t="s">
        <v>104</v>
      </c>
    </row>
    <row r="4301" spans="1:17" x14ac:dyDescent="0.3">
      <c r="A4301" t="s">
        <v>5430</v>
      </c>
      <c r="B4301" s="6">
        <v>45089</v>
      </c>
      <c r="C4301" s="6" t="str">
        <f t="shared" si="201"/>
        <v>Jun</v>
      </c>
      <c r="D4301" t="s">
        <v>4876</v>
      </c>
      <c r="E4301" t="s">
        <v>40</v>
      </c>
      <c r="F4301" t="s">
        <v>944</v>
      </c>
      <c r="G4301">
        <v>6</v>
      </c>
      <c r="H4301" s="7">
        <v>183.83</v>
      </c>
      <c r="I4301" t="s">
        <v>19</v>
      </c>
      <c r="J4301" t="s">
        <v>22</v>
      </c>
      <c r="K4301">
        <v>10</v>
      </c>
      <c r="L4301" s="7">
        <f t="shared" si="202"/>
        <v>1102.98</v>
      </c>
      <c r="M4301" s="7"/>
      <c r="O4301">
        <f t="shared" si="203"/>
        <v>2</v>
      </c>
      <c r="Q4301" t="s">
        <v>19</v>
      </c>
    </row>
    <row r="4302" spans="1:17" x14ac:dyDescent="0.3">
      <c r="A4302" t="s">
        <v>5431</v>
      </c>
      <c r="B4302" s="6">
        <v>45095</v>
      </c>
      <c r="C4302" s="6" t="str">
        <f t="shared" si="201"/>
        <v>Jun</v>
      </c>
      <c r="D4302" t="s">
        <v>774</v>
      </c>
      <c r="E4302" t="s">
        <v>19</v>
      </c>
      <c r="F4302" t="s">
        <v>909</v>
      </c>
      <c r="G4302">
        <v>5</v>
      </c>
      <c r="H4302" s="7">
        <v>110.61</v>
      </c>
      <c r="I4302" t="s">
        <v>19</v>
      </c>
      <c r="J4302" t="s">
        <v>22</v>
      </c>
      <c r="K4302">
        <v>10</v>
      </c>
      <c r="L4302" s="7">
        <f t="shared" si="202"/>
        <v>553.04999999999995</v>
      </c>
      <c r="M4302" s="7"/>
      <c r="O4302">
        <f t="shared" si="203"/>
        <v>2</v>
      </c>
      <c r="Q4302" t="s">
        <v>19</v>
      </c>
    </row>
    <row r="4303" spans="1:17" x14ac:dyDescent="0.3">
      <c r="A4303" t="s">
        <v>5432</v>
      </c>
      <c r="B4303" s="6">
        <v>45062</v>
      </c>
      <c r="C4303" s="6" t="str">
        <f t="shared" si="201"/>
        <v>May</v>
      </c>
      <c r="D4303" t="s">
        <v>1062</v>
      </c>
      <c r="E4303" t="s">
        <v>62</v>
      </c>
      <c r="F4303" t="s">
        <v>154</v>
      </c>
      <c r="G4303">
        <v>9</v>
      </c>
      <c r="H4303" s="7">
        <v>195.6</v>
      </c>
      <c r="I4303" t="s">
        <v>32</v>
      </c>
      <c r="J4303" t="s">
        <v>19</v>
      </c>
      <c r="K4303">
        <v>0</v>
      </c>
      <c r="L4303" s="7">
        <f t="shared" si="202"/>
        <v>1760.3999999999999</v>
      </c>
      <c r="M4303" s="7"/>
      <c r="O4303">
        <f t="shared" si="203"/>
        <v>2</v>
      </c>
      <c r="Q4303" t="s">
        <v>33</v>
      </c>
    </row>
    <row r="4304" spans="1:17" x14ac:dyDescent="0.3">
      <c r="A4304" t="s">
        <v>5433</v>
      </c>
      <c r="B4304" s="6">
        <v>44964</v>
      </c>
      <c r="C4304" s="6" t="str">
        <f t="shared" si="201"/>
        <v>Feb</v>
      </c>
      <c r="D4304" t="s">
        <v>871</v>
      </c>
      <c r="E4304" t="s">
        <v>26</v>
      </c>
      <c r="F4304" t="s">
        <v>662</v>
      </c>
      <c r="G4304">
        <v>2</v>
      </c>
      <c r="H4304" s="7">
        <v>371.11</v>
      </c>
      <c r="I4304" t="s">
        <v>103</v>
      </c>
      <c r="J4304" t="s">
        <v>28</v>
      </c>
      <c r="K4304">
        <v>5</v>
      </c>
      <c r="L4304" s="7">
        <f t="shared" si="202"/>
        <v>742.22</v>
      </c>
      <c r="M4304" s="7"/>
      <c r="O4304">
        <f t="shared" si="203"/>
        <v>2</v>
      </c>
      <c r="Q4304" t="s">
        <v>104</v>
      </c>
    </row>
    <row r="4305" spans="1:17" x14ac:dyDescent="0.3">
      <c r="A4305" t="s">
        <v>5434</v>
      </c>
      <c r="B4305" s="6">
        <v>45275</v>
      </c>
      <c r="C4305" s="6" t="str">
        <f t="shared" si="201"/>
        <v>Dec</v>
      </c>
      <c r="D4305" t="s">
        <v>300</v>
      </c>
      <c r="E4305" t="s">
        <v>36</v>
      </c>
      <c r="F4305" t="s">
        <v>378</v>
      </c>
      <c r="G4305">
        <v>1</v>
      </c>
      <c r="H4305" s="7">
        <v>211.73</v>
      </c>
      <c r="I4305" t="s">
        <v>64</v>
      </c>
      <c r="J4305" t="s">
        <v>19</v>
      </c>
      <c r="K4305">
        <v>5</v>
      </c>
      <c r="L4305" s="7">
        <f t="shared" si="202"/>
        <v>211.73</v>
      </c>
      <c r="M4305" s="7"/>
      <c r="O4305">
        <f t="shared" si="203"/>
        <v>2</v>
      </c>
      <c r="Q4305" t="s">
        <v>65</v>
      </c>
    </row>
    <row r="4306" spans="1:17" x14ac:dyDescent="0.3">
      <c r="A4306" t="s">
        <v>5435</v>
      </c>
      <c r="B4306" s="6">
        <v>45045</v>
      </c>
      <c r="C4306" s="6" t="str">
        <f t="shared" si="201"/>
        <v>Apr</v>
      </c>
      <c r="D4306" t="s">
        <v>1163</v>
      </c>
      <c r="E4306" t="s">
        <v>31</v>
      </c>
      <c r="F4306" t="s">
        <v>1085</v>
      </c>
      <c r="G4306">
        <v>8</v>
      </c>
      <c r="H4306" s="7">
        <v>369.64</v>
      </c>
      <c r="I4306" t="s">
        <v>46</v>
      </c>
      <c r="J4306" t="s">
        <v>22</v>
      </c>
      <c r="K4306">
        <v>15</v>
      </c>
      <c r="L4306" s="7">
        <f t="shared" si="202"/>
        <v>2957.12</v>
      </c>
      <c r="M4306" s="7"/>
      <c r="O4306">
        <f t="shared" si="203"/>
        <v>3</v>
      </c>
      <c r="Q4306" t="s">
        <v>47</v>
      </c>
    </row>
    <row r="4307" spans="1:17" x14ac:dyDescent="0.3">
      <c r="A4307" t="s">
        <v>5436</v>
      </c>
      <c r="B4307" s="6">
        <v>44987</v>
      </c>
      <c r="C4307" s="6" t="str">
        <f t="shared" si="201"/>
        <v>Mar</v>
      </c>
      <c r="D4307" t="s">
        <v>1173</v>
      </c>
      <c r="E4307" t="s">
        <v>26</v>
      </c>
      <c r="F4307" t="s">
        <v>173</v>
      </c>
      <c r="G4307">
        <v>3</v>
      </c>
      <c r="H4307" s="7">
        <v>61.21</v>
      </c>
      <c r="I4307" t="s">
        <v>19</v>
      </c>
      <c r="J4307" t="s">
        <v>72</v>
      </c>
      <c r="K4307">
        <v>5</v>
      </c>
      <c r="L4307" s="7">
        <f t="shared" si="202"/>
        <v>183.63</v>
      </c>
      <c r="M4307" s="7"/>
      <c r="O4307">
        <f t="shared" si="203"/>
        <v>2</v>
      </c>
      <c r="Q4307" t="s">
        <v>19</v>
      </c>
    </row>
    <row r="4308" spans="1:17" x14ac:dyDescent="0.3">
      <c r="A4308" t="s">
        <v>5437</v>
      </c>
      <c r="B4308" s="6">
        <v>45043</v>
      </c>
      <c r="C4308" s="6" t="str">
        <f t="shared" si="201"/>
        <v>Apr</v>
      </c>
      <c r="D4308" t="s">
        <v>61</v>
      </c>
      <c r="E4308" t="s">
        <v>36</v>
      </c>
      <c r="F4308" t="s">
        <v>389</v>
      </c>
      <c r="G4308">
        <v>7</v>
      </c>
      <c r="H4308" s="7">
        <v>403.98</v>
      </c>
      <c r="I4308" t="s">
        <v>64</v>
      </c>
      <c r="J4308" t="s">
        <v>42</v>
      </c>
      <c r="K4308">
        <v>10</v>
      </c>
      <c r="L4308" s="7">
        <f t="shared" si="202"/>
        <v>2827.86</v>
      </c>
      <c r="M4308" s="7"/>
      <c r="O4308">
        <f t="shared" si="203"/>
        <v>3</v>
      </c>
      <c r="Q4308" t="s">
        <v>65</v>
      </c>
    </row>
    <row r="4309" spans="1:17" x14ac:dyDescent="0.3">
      <c r="A4309" t="s">
        <v>5438</v>
      </c>
      <c r="B4309" s="6">
        <v>45018</v>
      </c>
      <c r="C4309" s="6" t="str">
        <f t="shared" si="201"/>
        <v>Apr</v>
      </c>
      <c r="D4309" t="s">
        <v>2178</v>
      </c>
      <c r="E4309" t="s">
        <v>36</v>
      </c>
      <c r="F4309" t="s">
        <v>316</v>
      </c>
      <c r="G4309">
        <v>5</v>
      </c>
      <c r="H4309" s="7">
        <v>130.34</v>
      </c>
      <c r="I4309" t="s">
        <v>46</v>
      </c>
      <c r="J4309" t="s">
        <v>72</v>
      </c>
      <c r="K4309">
        <v>10</v>
      </c>
      <c r="L4309" s="7">
        <f t="shared" si="202"/>
        <v>651.70000000000005</v>
      </c>
      <c r="M4309" s="7"/>
      <c r="O4309">
        <f t="shared" si="203"/>
        <v>2</v>
      </c>
      <c r="Q4309" t="s">
        <v>47</v>
      </c>
    </row>
    <row r="4310" spans="1:17" x14ac:dyDescent="0.3">
      <c r="A4310" t="s">
        <v>5439</v>
      </c>
      <c r="B4310" s="6">
        <v>45113</v>
      </c>
      <c r="C4310" s="6" t="str">
        <f t="shared" si="201"/>
        <v>Jul</v>
      </c>
      <c r="D4310" t="s">
        <v>1883</v>
      </c>
      <c r="E4310" t="s">
        <v>62</v>
      </c>
      <c r="F4310" t="s">
        <v>983</v>
      </c>
      <c r="G4310">
        <v>6</v>
      </c>
      <c r="H4310" s="7">
        <v>128.22</v>
      </c>
      <c r="I4310" t="s">
        <v>46</v>
      </c>
      <c r="J4310" t="s">
        <v>28</v>
      </c>
      <c r="K4310">
        <v>5</v>
      </c>
      <c r="L4310" s="7">
        <f t="shared" si="202"/>
        <v>769.31999999999994</v>
      </c>
      <c r="M4310" s="7"/>
      <c r="O4310">
        <f t="shared" si="203"/>
        <v>2</v>
      </c>
      <c r="Q4310" t="s">
        <v>47</v>
      </c>
    </row>
    <row r="4311" spans="1:17" x14ac:dyDescent="0.3">
      <c r="A4311" t="s">
        <v>5440</v>
      </c>
      <c r="B4311" s="6">
        <v>44986</v>
      </c>
      <c r="C4311" s="6" t="str">
        <f t="shared" si="201"/>
        <v>Mar</v>
      </c>
      <c r="D4311" t="s">
        <v>343</v>
      </c>
      <c r="E4311" t="s">
        <v>62</v>
      </c>
      <c r="F4311" t="s">
        <v>295</v>
      </c>
      <c r="G4311">
        <v>9</v>
      </c>
      <c r="H4311" s="7">
        <v>297.24</v>
      </c>
      <c r="I4311" t="s">
        <v>46</v>
      </c>
      <c r="J4311" t="s">
        <v>42</v>
      </c>
      <c r="K4311">
        <v>0</v>
      </c>
      <c r="L4311" s="7">
        <f t="shared" si="202"/>
        <v>2675.16</v>
      </c>
      <c r="M4311" s="7"/>
      <c r="O4311">
        <f t="shared" si="203"/>
        <v>3</v>
      </c>
      <c r="Q4311" t="s">
        <v>47</v>
      </c>
    </row>
    <row r="4312" spans="1:17" x14ac:dyDescent="0.3">
      <c r="A4312" t="s">
        <v>5441</v>
      </c>
      <c r="B4312" s="6">
        <v>45236</v>
      </c>
      <c r="C4312" s="6" t="str">
        <f t="shared" si="201"/>
        <v>Nov</v>
      </c>
      <c r="D4312" t="s">
        <v>286</v>
      </c>
      <c r="E4312" t="s">
        <v>50</v>
      </c>
      <c r="F4312" t="s">
        <v>75</v>
      </c>
      <c r="G4312">
        <v>7</v>
      </c>
      <c r="H4312" s="7">
        <v>39.71</v>
      </c>
      <c r="I4312" t="s">
        <v>64</v>
      </c>
      <c r="J4312" t="s">
        <v>19</v>
      </c>
      <c r="K4312">
        <v>5</v>
      </c>
      <c r="L4312" s="7">
        <f t="shared" si="202"/>
        <v>277.97000000000003</v>
      </c>
      <c r="M4312" s="7"/>
      <c r="O4312">
        <f t="shared" si="203"/>
        <v>2</v>
      </c>
      <c r="Q4312" t="s">
        <v>65</v>
      </c>
    </row>
    <row r="4313" spans="1:17" x14ac:dyDescent="0.3">
      <c r="A4313" t="s">
        <v>5442</v>
      </c>
      <c r="B4313" s="6">
        <v>45212</v>
      </c>
      <c r="C4313" s="6" t="str">
        <f t="shared" si="201"/>
        <v>Oct</v>
      </c>
      <c r="D4313" t="s">
        <v>4048</v>
      </c>
      <c r="E4313" t="s">
        <v>36</v>
      </c>
      <c r="F4313" t="s">
        <v>1085</v>
      </c>
      <c r="G4313">
        <v>5</v>
      </c>
      <c r="H4313" s="7">
        <v>18.02</v>
      </c>
      <c r="I4313" t="s">
        <v>32</v>
      </c>
      <c r="J4313" t="s">
        <v>72</v>
      </c>
      <c r="K4313">
        <v>10</v>
      </c>
      <c r="L4313" s="7">
        <f t="shared" si="202"/>
        <v>90.1</v>
      </c>
      <c r="M4313" s="7"/>
      <c r="O4313">
        <f t="shared" si="203"/>
        <v>2</v>
      </c>
      <c r="Q4313" t="s">
        <v>33</v>
      </c>
    </row>
    <row r="4314" spans="1:17" x14ac:dyDescent="0.3">
      <c r="A4314" t="s">
        <v>5443</v>
      </c>
      <c r="B4314" s="6">
        <v>45190</v>
      </c>
      <c r="C4314" s="6" t="str">
        <f t="shared" si="201"/>
        <v>Sep</v>
      </c>
      <c r="D4314" t="s">
        <v>2817</v>
      </c>
      <c r="E4314" t="s">
        <v>31</v>
      </c>
      <c r="F4314" t="s">
        <v>423</v>
      </c>
      <c r="G4314">
        <v>8</v>
      </c>
      <c r="H4314" s="7">
        <v>134.21</v>
      </c>
      <c r="I4314" t="s">
        <v>64</v>
      </c>
      <c r="J4314" t="s">
        <v>22</v>
      </c>
      <c r="K4314">
        <v>10</v>
      </c>
      <c r="L4314" s="7">
        <f t="shared" si="202"/>
        <v>1073.68</v>
      </c>
      <c r="M4314" s="7"/>
      <c r="O4314">
        <f t="shared" si="203"/>
        <v>2</v>
      </c>
      <c r="Q4314" t="s">
        <v>65</v>
      </c>
    </row>
    <row r="4315" spans="1:17" x14ac:dyDescent="0.3">
      <c r="A4315" t="s">
        <v>5444</v>
      </c>
      <c r="B4315" s="6">
        <v>45114</v>
      </c>
      <c r="C4315" s="6" t="str">
        <f t="shared" si="201"/>
        <v>Jul</v>
      </c>
      <c r="D4315" t="s">
        <v>917</v>
      </c>
      <c r="E4315" t="s">
        <v>26</v>
      </c>
      <c r="F4315" t="s">
        <v>932</v>
      </c>
      <c r="G4315">
        <v>2</v>
      </c>
      <c r="H4315" s="7">
        <v>271.33999999999997</v>
      </c>
      <c r="I4315" t="s">
        <v>21</v>
      </c>
      <c r="J4315" t="s">
        <v>72</v>
      </c>
      <c r="K4315">
        <v>0</v>
      </c>
      <c r="L4315" s="7">
        <f t="shared" si="202"/>
        <v>542.67999999999995</v>
      </c>
      <c r="M4315" s="7"/>
      <c r="O4315">
        <f t="shared" si="203"/>
        <v>2</v>
      </c>
      <c r="Q4315" t="s">
        <v>23</v>
      </c>
    </row>
    <row r="4316" spans="1:17" x14ac:dyDescent="0.3">
      <c r="A4316" t="s">
        <v>5445</v>
      </c>
      <c r="B4316" s="6">
        <v>44963</v>
      </c>
      <c r="C4316" s="6" t="str">
        <f t="shared" si="201"/>
        <v>Feb</v>
      </c>
      <c r="D4316" t="s">
        <v>1203</v>
      </c>
      <c r="E4316" t="s">
        <v>26</v>
      </c>
      <c r="F4316" t="s">
        <v>263</v>
      </c>
      <c r="G4316">
        <v>7</v>
      </c>
      <c r="H4316" s="7">
        <v>454.27</v>
      </c>
      <c r="I4316" t="s">
        <v>64</v>
      </c>
      <c r="J4316" t="s">
        <v>87</v>
      </c>
      <c r="K4316">
        <v>15</v>
      </c>
      <c r="L4316" s="7">
        <f t="shared" si="202"/>
        <v>3179.89</v>
      </c>
      <c r="M4316" s="7"/>
      <c r="O4316">
        <f t="shared" si="203"/>
        <v>4</v>
      </c>
      <c r="Q4316" t="s">
        <v>65</v>
      </c>
    </row>
    <row r="4317" spans="1:17" x14ac:dyDescent="0.3">
      <c r="A4317" t="s">
        <v>5446</v>
      </c>
      <c r="B4317" s="6">
        <v>45166</v>
      </c>
      <c r="C4317" s="6" t="str">
        <f t="shared" si="201"/>
        <v>Aug</v>
      </c>
      <c r="D4317" t="s">
        <v>671</v>
      </c>
      <c r="E4317" t="s">
        <v>62</v>
      </c>
      <c r="F4317" t="s">
        <v>913</v>
      </c>
      <c r="G4317">
        <v>5</v>
      </c>
      <c r="H4317" s="7">
        <v>423.99</v>
      </c>
      <c r="I4317" t="s">
        <v>21</v>
      </c>
      <c r="J4317" t="s">
        <v>72</v>
      </c>
      <c r="K4317">
        <v>15</v>
      </c>
      <c r="L4317" s="7">
        <f t="shared" si="202"/>
        <v>2119.9499999999998</v>
      </c>
      <c r="M4317" s="7"/>
      <c r="O4317">
        <f t="shared" si="203"/>
        <v>2</v>
      </c>
      <c r="Q4317" t="s">
        <v>23</v>
      </c>
    </row>
    <row r="4318" spans="1:17" x14ac:dyDescent="0.3">
      <c r="A4318" t="s">
        <v>5447</v>
      </c>
      <c r="B4318" s="6">
        <v>45135</v>
      </c>
      <c r="C4318" s="6" t="str">
        <f t="shared" si="201"/>
        <v>Jul</v>
      </c>
      <c r="D4318" t="s">
        <v>2746</v>
      </c>
      <c r="E4318" t="s">
        <v>19</v>
      </c>
      <c r="F4318" t="s">
        <v>480</v>
      </c>
      <c r="G4318">
        <v>9</v>
      </c>
      <c r="H4318" s="7">
        <v>247.77</v>
      </c>
      <c r="I4318" t="s">
        <v>64</v>
      </c>
      <c r="J4318" t="s">
        <v>22</v>
      </c>
      <c r="K4318">
        <v>15</v>
      </c>
      <c r="L4318" s="7">
        <f t="shared" si="202"/>
        <v>2229.9300000000003</v>
      </c>
      <c r="M4318" s="7"/>
      <c r="O4318">
        <f t="shared" si="203"/>
        <v>2</v>
      </c>
      <c r="Q4318" t="s">
        <v>65</v>
      </c>
    </row>
    <row r="4319" spans="1:17" x14ac:dyDescent="0.3">
      <c r="A4319" t="s">
        <v>5448</v>
      </c>
      <c r="B4319" s="6">
        <v>44939</v>
      </c>
      <c r="C4319" s="6" t="str">
        <f t="shared" si="201"/>
        <v>Jan</v>
      </c>
      <c r="D4319" t="s">
        <v>1657</v>
      </c>
      <c r="E4319" t="s">
        <v>19</v>
      </c>
      <c r="F4319" t="s">
        <v>1063</v>
      </c>
      <c r="G4319">
        <v>1</v>
      </c>
      <c r="H4319" s="7">
        <v>23.34</v>
      </c>
      <c r="I4319" t="s">
        <v>46</v>
      </c>
      <c r="J4319" t="s">
        <v>22</v>
      </c>
      <c r="K4319">
        <v>0</v>
      </c>
      <c r="L4319" s="7">
        <f t="shared" si="202"/>
        <v>23.34</v>
      </c>
      <c r="M4319" s="7"/>
      <c r="O4319">
        <f t="shared" si="203"/>
        <v>2</v>
      </c>
      <c r="Q4319" t="s">
        <v>47</v>
      </c>
    </row>
    <row r="4320" spans="1:17" x14ac:dyDescent="0.3">
      <c r="A4320" t="s">
        <v>5449</v>
      </c>
      <c r="B4320" s="6">
        <v>45112</v>
      </c>
      <c r="C4320" s="6" t="str">
        <f t="shared" si="201"/>
        <v>Jul</v>
      </c>
      <c r="D4320" t="s">
        <v>2040</v>
      </c>
      <c r="E4320" t="s">
        <v>62</v>
      </c>
      <c r="F4320" t="s">
        <v>398</v>
      </c>
      <c r="G4320">
        <v>7</v>
      </c>
      <c r="H4320" s="7">
        <v>269.95</v>
      </c>
      <c r="I4320" t="s">
        <v>19</v>
      </c>
      <c r="J4320" t="s">
        <v>72</v>
      </c>
      <c r="K4320">
        <v>15</v>
      </c>
      <c r="L4320" s="7">
        <f t="shared" si="202"/>
        <v>1889.6499999999999</v>
      </c>
      <c r="M4320" s="7"/>
      <c r="O4320">
        <f t="shared" si="203"/>
        <v>2</v>
      </c>
      <c r="Q4320" t="s">
        <v>19</v>
      </c>
    </row>
    <row r="4321" spans="1:17" x14ac:dyDescent="0.3">
      <c r="A4321" t="s">
        <v>5450</v>
      </c>
      <c r="B4321" s="6">
        <v>45109</v>
      </c>
      <c r="C4321" s="6" t="str">
        <f t="shared" si="201"/>
        <v>Jul</v>
      </c>
      <c r="D4321" t="s">
        <v>256</v>
      </c>
      <c r="E4321" t="s">
        <v>36</v>
      </c>
      <c r="F4321" t="s">
        <v>466</v>
      </c>
      <c r="G4321">
        <v>6</v>
      </c>
      <c r="H4321" s="7">
        <v>353.87</v>
      </c>
      <c r="I4321" t="s">
        <v>32</v>
      </c>
      <c r="J4321" t="s">
        <v>22</v>
      </c>
      <c r="K4321">
        <v>5</v>
      </c>
      <c r="L4321" s="7">
        <f t="shared" si="202"/>
        <v>2123.2200000000003</v>
      </c>
      <c r="M4321" s="7"/>
      <c r="O4321">
        <f t="shared" si="203"/>
        <v>2</v>
      </c>
      <c r="Q4321" t="s">
        <v>33</v>
      </c>
    </row>
    <row r="4322" spans="1:17" x14ac:dyDescent="0.3">
      <c r="A4322" t="s">
        <v>5451</v>
      </c>
      <c r="B4322" s="6">
        <v>44964</v>
      </c>
      <c r="C4322" s="6" t="str">
        <f t="shared" si="201"/>
        <v>Feb</v>
      </c>
      <c r="D4322" t="s">
        <v>1437</v>
      </c>
      <c r="E4322" t="s">
        <v>19</v>
      </c>
      <c r="F4322" t="s">
        <v>1146</v>
      </c>
      <c r="G4322">
        <v>8</v>
      </c>
      <c r="H4322" s="7">
        <v>172.89</v>
      </c>
      <c r="I4322" t="s">
        <v>103</v>
      </c>
      <c r="J4322" t="s">
        <v>72</v>
      </c>
      <c r="K4322">
        <v>0</v>
      </c>
      <c r="L4322" s="7">
        <f t="shared" si="202"/>
        <v>1383.12</v>
      </c>
      <c r="M4322" s="7"/>
      <c r="O4322">
        <f t="shared" si="203"/>
        <v>2</v>
      </c>
      <c r="Q4322" t="s">
        <v>104</v>
      </c>
    </row>
    <row r="4323" spans="1:17" x14ac:dyDescent="0.3">
      <c r="A4323" t="s">
        <v>5452</v>
      </c>
      <c r="B4323" s="6">
        <v>45022</v>
      </c>
      <c r="C4323" s="6" t="str">
        <f t="shared" si="201"/>
        <v>Apr</v>
      </c>
      <c r="D4323" t="s">
        <v>546</v>
      </c>
      <c r="E4323" t="s">
        <v>40</v>
      </c>
      <c r="F4323" t="s">
        <v>263</v>
      </c>
      <c r="G4323">
        <v>5</v>
      </c>
      <c r="H4323" s="7">
        <v>59.98</v>
      </c>
      <c r="I4323" t="s">
        <v>32</v>
      </c>
      <c r="J4323" t="s">
        <v>28</v>
      </c>
      <c r="K4323">
        <v>0</v>
      </c>
      <c r="L4323" s="7">
        <f t="shared" si="202"/>
        <v>299.89999999999998</v>
      </c>
      <c r="M4323" s="7"/>
      <c r="O4323">
        <f t="shared" si="203"/>
        <v>2</v>
      </c>
      <c r="Q4323" t="s">
        <v>33</v>
      </c>
    </row>
    <row r="4324" spans="1:17" x14ac:dyDescent="0.3">
      <c r="A4324" t="s">
        <v>5453</v>
      </c>
      <c r="B4324" s="6">
        <v>45110</v>
      </c>
      <c r="C4324" s="6" t="str">
        <f t="shared" si="201"/>
        <v>Jul</v>
      </c>
      <c r="D4324" t="s">
        <v>197</v>
      </c>
      <c r="E4324" t="s">
        <v>50</v>
      </c>
      <c r="F4324" t="s">
        <v>160</v>
      </c>
      <c r="G4324">
        <v>1</v>
      </c>
      <c r="H4324" s="7">
        <v>142.88999999999999</v>
      </c>
      <c r="I4324" t="s">
        <v>64</v>
      </c>
      <c r="J4324" t="s">
        <v>87</v>
      </c>
      <c r="K4324">
        <v>0</v>
      </c>
      <c r="L4324" s="7">
        <f t="shared" si="202"/>
        <v>142.88999999999999</v>
      </c>
      <c r="M4324" s="7"/>
      <c r="O4324">
        <f t="shared" si="203"/>
        <v>2</v>
      </c>
      <c r="Q4324" t="s">
        <v>65</v>
      </c>
    </row>
    <row r="4325" spans="1:17" x14ac:dyDescent="0.3">
      <c r="A4325" t="s">
        <v>5454</v>
      </c>
      <c r="B4325" s="6">
        <v>45136</v>
      </c>
      <c r="C4325" s="6" t="str">
        <f t="shared" si="201"/>
        <v>Jul</v>
      </c>
      <c r="D4325" t="s">
        <v>2263</v>
      </c>
      <c r="E4325" t="s">
        <v>40</v>
      </c>
      <c r="F4325" t="s">
        <v>284</v>
      </c>
      <c r="G4325">
        <v>1</v>
      </c>
      <c r="H4325" s="7">
        <v>386.94</v>
      </c>
      <c r="I4325" t="s">
        <v>64</v>
      </c>
      <c r="J4325" t="s">
        <v>28</v>
      </c>
      <c r="K4325">
        <v>20</v>
      </c>
      <c r="L4325" s="7">
        <f t="shared" si="202"/>
        <v>386.94</v>
      </c>
      <c r="M4325" s="7"/>
      <c r="O4325">
        <f t="shared" si="203"/>
        <v>2</v>
      </c>
      <c r="Q4325" t="s">
        <v>65</v>
      </c>
    </row>
    <row r="4326" spans="1:17" x14ac:dyDescent="0.3">
      <c r="A4326" t="s">
        <v>5455</v>
      </c>
      <c r="B4326" s="6">
        <v>45002</v>
      </c>
      <c r="C4326" s="6" t="str">
        <f t="shared" si="201"/>
        <v>Mar</v>
      </c>
      <c r="D4326" t="s">
        <v>80</v>
      </c>
      <c r="E4326" t="s">
        <v>62</v>
      </c>
      <c r="F4326" t="s">
        <v>313</v>
      </c>
      <c r="G4326">
        <v>9</v>
      </c>
      <c r="H4326" s="7">
        <v>178.87</v>
      </c>
      <c r="I4326" t="s">
        <v>19</v>
      </c>
      <c r="J4326" t="s">
        <v>22</v>
      </c>
      <c r="K4326">
        <v>10</v>
      </c>
      <c r="L4326" s="7">
        <f t="shared" si="202"/>
        <v>1609.83</v>
      </c>
      <c r="M4326" s="7"/>
      <c r="O4326">
        <f t="shared" si="203"/>
        <v>2</v>
      </c>
      <c r="Q4326" t="s">
        <v>19</v>
      </c>
    </row>
    <row r="4327" spans="1:17" x14ac:dyDescent="0.3">
      <c r="A4327" t="s">
        <v>5456</v>
      </c>
      <c r="B4327" s="6">
        <v>45248</v>
      </c>
      <c r="C4327" s="6" t="str">
        <f t="shared" si="201"/>
        <v>Nov</v>
      </c>
      <c r="D4327" t="s">
        <v>3177</v>
      </c>
      <c r="E4327" t="s">
        <v>31</v>
      </c>
      <c r="F4327" t="s">
        <v>450</v>
      </c>
      <c r="G4327">
        <v>6</v>
      </c>
      <c r="H4327" s="7">
        <v>406.93</v>
      </c>
      <c r="I4327" t="s">
        <v>19</v>
      </c>
      <c r="J4327" t="s">
        <v>22</v>
      </c>
      <c r="K4327">
        <v>20</v>
      </c>
      <c r="L4327" s="7">
        <f t="shared" si="202"/>
        <v>2441.58</v>
      </c>
      <c r="M4327" s="7"/>
      <c r="O4327">
        <f t="shared" si="203"/>
        <v>2</v>
      </c>
      <c r="Q4327" t="s">
        <v>19</v>
      </c>
    </row>
    <row r="4328" spans="1:17" x14ac:dyDescent="0.3">
      <c r="A4328" t="s">
        <v>5457</v>
      </c>
      <c r="B4328" s="6">
        <v>45280</v>
      </c>
      <c r="C4328" s="6" t="str">
        <f t="shared" si="201"/>
        <v>Dec</v>
      </c>
      <c r="D4328" t="s">
        <v>985</v>
      </c>
      <c r="E4328" t="s">
        <v>19</v>
      </c>
      <c r="F4328" t="s">
        <v>145</v>
      </c>
      <c r="G4328">
        <v>5</v>
      </c>
      <c r="H4328" s="7">
        <v>252.16</v>
      </c>
      <c r="I4328" t="s">
        <v>19</v>
      </c>
      <c r="J4328" t="s">
        <v>87</v>
      </c>
      <c r="K4328">
        <v>20</v>
      </c>
      <c r="L4328" s="7">
        <f t="shared" si="202"/>
        <v>1260.8</v>
      </c>
      <c r="M4328" s="7"/>
      <c r="O4328">
        <f t="shared" si="203"/>
        <v>2</v>
      </c>
      <c r="Q4328" t="s">
        <v>19</v>
      </c>
    </row>
    <row r="4329" spans="1:17" x14ac:dyDescent="0.3">
      <c r="A4329" t="s">
        <v>5458</v>
      </c>
      <c r="B4329" s="6">
        <v>45085</v>
      </c>
      <c r="C4329" s="6" t="str">
        <f t="shared" si="201"/>
        <v>Jun</v>
      </c>
      <c r="D4329" t="s">
        <v>641</v>
      </c>
      <c r="E4329" t="s">
        <v>40</v>
      </c>
      <c r="F4329" t="s">
        <v>488</v>
      </c>
      <c r="G4329">
        <v>1</v>
      </c>
      <c r="H4329" s="7">
        <v>85.96</v>
      </c>
      <c r="I4329" t="s">
        <v>32</v>
      </c>
      <c r="J4329" t="s">
        <v>72</v>
      </c>
      <c r="K4329">
        <v>20</v>
      </c>
      <c r="L4329" s="7">
        <f t="shared" si="202"/>
        <v>85.96</v>
      </c>
      <c r="M4329" s="7"/>
      <c r="O4329">
        <f t="shared" si="203"/>
        <v>2</v>
      </c>
      <c r="Q4329" t="s">
        <v>33</v>
      </c>
    </row>
    <row r="4330" spans="1:17" x14ac:dyDescent="0.3">
      <c r="A4330" t="s">
        <v>5459</v>
      </c>
      <c r="B4330" s="6">
        <v>45107</v>
      </c>
      <c r="C4330" s="6" t="str">
        <f t="shared" si="201"/>
        <v>Jun</v>
      </c>
      <c r="D4330" t="s">
        <v>98</v>
      </c>
      <c r="E4330" t="s">
        <v>50</v>
      </c>
      <c r="F4330" t="s">
        <v>151</v>
      </c>
      <c r="G4330">
        <v>6</v>
      </c>
      <c r="H4330" s="7">
        <v>220.74</v>
      </c>
      <c r="I4330" t="s">
        <v>103</v>
      </c>
      <c r="J4330" t="s">
        <v>87</v>
      </c>
      <c r="K4330">
        <v>10</v>
      </c>
      <c r="L4330" s="7">
        <f t="shared" si="202"/>
        <v>1324.44</v>
      </c>
      <c r="M4330" s="7"/>
      <c r="O4330">
        <f t="shared" si="203"/>
        <v>2</v>
      </c>
      <c r="Q4330" t="s">
        <v>104</v>
      </c>
    </row>
    <row r="4331" spans="1:17" x14ac:dyDescent="0.3">
      <c r="A4331" t="s">
        <v>5460</v>
      </c>
      <c r="B4331" s="6">
        <v>44964</v>
      </c>
      <c r="C4331" s="6" t="str">
        <f t="shared" si="201"/>
        <v>Feb</v>
      </c>
      <c r="D4331" t="s">
        <v>1321</v>
      </c>
      <c r="E4331" t="s">
        <v>40</v>
      </c>
      <c r="F4331" t="s">
        <v>165</v>
      </c>
      <c r="G4331">
        <v>6</v>
      </c>
      <c r="H4331" s="7">
        <v>228.88</v>
      </c>
      <c r="I4331" t="s">
        <v>19</v>
      </c>
      <c r="J4331" t="s">
        <v>42</v>
      </c>
      <c r="K4331">
        <v>20</v>
      </c>
      <c r="L4331" s="7">
        <f t="shared" si="202"/>
        <v>1373.28</v>
      </c>
      <c r="M4331" s="7"/>
      <c r="O4331">
        <f t="shared" si="203"/>
        <v>2</v>
      </c>
      <c r="Q4331" t="s">
        <v>19</v>
      </c>
    </row>
    <row r="4332" spans="1:17" x14ac:dyDescent="0.3">
      <c r="A4332" t="s">
        <v>5461</v>
      </c>
      <c r="B4332" s="6">
        <v>44957</v>
      </c>
      <c r="C4332" s="6" t="str">
        <f t="shared" si="201"/>
        <v>Jan</v>
      </c>
      <c r="D4332" t="s">
        <v>930</v>
      </c>
      <c r="E4332" t="s">
        <v>40</v>
      </c>
      <c r="F4332" t="s">
        <v>627</v>
      </c>
      <c r="G4332">
        <v>3</v>
      </c>
      <c r="H4332" s="7">
        <v>12.97</v>
      </c>
      <c r="I4332" t="s">
        <v>19</v>
      </c>
      <c r="J4332" t="s">
        <v>28</v>
      </c>
      <c r="K4332">
        <v>15</v>
      </c>
      <c r="L4332" s="7">
        <f t="shared" si="202"/>
        <v>38.910000000000004</v>
      </c>
      <c r="M4332" s="7"/>
      <c r="O4332">
        <f t="shared" si="203"/>
        <v>2</v>
      </c>
      <c r="Q4332" t="s">
        <v>19</v>
      </c>
    </row>
    <row r="4333" spans="1:17" x14ac:dyDescent="0.3">
      <c r="A4333" t="s">
        <v>5462</v>
      </c>
      <c r="B4333" s="6">
        <v>44940</v>
      </c>
      <c r="C4333" s="6" t="str">
        <f t="shared" si="201"/>
        <v>Jan</v>
      </c>
      <c r="D4333" t="s">
        <v>2416</v>
      </c>
      <c r="E4333" t="s">
        <v>19</v>
      </c>
      <c r="F4333" t="s">
        <v>372</v>
      </c>
      <c r="G4333">
        <v>8</v>
      </c>
      <c r="H4333" s="7">
        <v>62.94</v>
      </c>
      <c r="I4333" t="s">
        <v>21</v>
      </c>
      <c r="J4333" t="s">
        <v>72</v>
      </c>
      <c r="K4333">
        <v>0</v>
      </c>
      <c r="L4333" s="7">
        <f t="shared" si="202"/>
        <v>503.52</v>
      </c>
      <c r="M4333" s="7"/>
      <c r="O4333">
        <f t="shared" si="203"/>
        <v>2</v>
      </c>
      <c r="Q4333" t="s">
        <v>23</v>
      </c>
    </row>
    <row r="4334" spans="1:17" x14ac:dyDescent="0.3">
      <c r="A4334" t="s">
        <v>5463</v>
      </c>
      <c r="B4334" s="6">
        <v>44931</v>
      </c>
      <c r="C4334" s="6" t="str">
        <f t="shared" si="201"/>
        <v>Jan</v>
      </c>
      <c r="D4334" t="s">
        <v>346</v>
      </c>
      <c r="E4334" t="s">
        <v>62</v>
      </c>
      <c r="F4334" t="s">
        <v>1568</v>
      </c>
      <c r="G4334">
        <v>1</v>
      </c>
      <c r="H4334" s="7">
        <v>96.54</v>
      </c>
      <c r="I4334" t="s">
        <v>46</v>
      </c>
      <c r="J4334" t="s">
        <v>19</v>
      </c>
      <c r="K4334">
        <v>0</v>
      </c>
      <c r="L4334" s="7">
        <f t="shared" si="202"/>
        <v>96.54</v>
      </c>
      <c r="M4334" s="7"/>
      <c r="O4334">
        <f t="shared" si="203"/>
        <v>2</v>
      </c>
      <c r="Q4334" t="s">
        <v>47</v>
      </c>
    </row>
    <row r="4335" spans="1:17" x14ac:dyDescent="0.3">
      <c r="A4335" t="s">
        <v>5464</v>
      </c>
      <c r="B4335" s="6">
        <v>44964</v>
      </c>
      <c r="C4335" s="6" t="str">
        <f t="shared" si="201"/>
        <v>Feb</v>
      </c>
      <c r="D4335" t="s">
        <v>1193</v>
      </c>
      <c r="E4335" t="s">
        <v>36</v>
      </c>
      <c r="F4335" t="s">
        <v>78</v>
      </c>
      <c r="G4335">
        <v>1</v>
      </c>
      <c r="H4335" s="7">
        <v>61.23</v>
      </c>
      <c r="I4335" t="s">
        <v>46</v>
      </c>
      <c r="J4335" t="s">
        <v>42</v>
      </c>
      <c r="K4335">
        <v>5</v>
      </c>
      <c r="L4335" s="7">
        <f t="shared" si="202"/>
        <v>61.23</v>
      </c>
      <c r="M4335" s="7"/>
      <c r="O4335">
        <f t="shared" si="203"/>
        <v>2</v>
      </c>
      <c r="Q4335" t="s">
        <v>47</v>
      </c>
    </row>
    <row r="4336" spans="1:17" x14ac:dyDescent="0.3">
      <c r="A4336" t="s">
        <v>5465</v>
      </c>
      <c r="B4336" s="6">
        <v>45152</v>
      </c>
      <c r="C4336" s="6" t="str">
        <f t="shared" si="201"/>
        <v>Aug</v>
      </c>
      <c r="D4336" t="s">
        <v>2256</v>
      </c>
      <c r="E4336" t="s">
        <v>62</v>
      </c>
      <c r="F4336" t="s">
        <v>856</v>
      </c>
      <c r="G4336">
        <v>6</v>
      </c>
      <c r="H4336" s="7">
        <v>174.06</v>
      </c>
      <c r="I4336" t="s">
        <v>103</v>
      </c>
      <c r="J4336" t="s">
        <v>42</v>
      </c>
      <c r="K4336">
        <v>10</v>
      </c>
      <c r="L4336" s="7">
        <f t="shared" si="202"/>
        <v>1044.3600000000001</v>
      </c>
      <c r="M4336" s="7"/>
      <c r="O4336">
        <f t="shared" si="203"/>
        <v>2</v>
      </c>
      <c r="Q4336" t="s">
        <v>104</v>
      </c>
    </row>
    <row r="4337" spans="1:17" x14ac:dyDescent="0.3">
      <c r="A4337" t="s">
        <v>5466</v>
      </c>
      <c r="B4337" s="6">
        <v>45153</v>
      </c>
      <c r="C4337" s="6" t="str">
        <f t="shared" si="201"/>
        <v>Aug</v>
      </c>
      <c r="D4337" t="s">
        <v>226</v>
      </c>
      <c r="E4337" t="s">
        <v>19</v>
      </c>
      <c r="F4337" t="s">
        <v>182</v>
      </c>
      <c r="G4337">
        <v>1</v>
      </c>
      <c r="H4337" s="7">
        <v>482.49</v>
      </c>
      <c r="I4337" t="s">
        <v>46</v>
      </c>
      <c r="J4337" t="s">
        <v>87</v>
      </c>
      <c r="K4337">
        <v>15</v>
      </c>
      <c r="L4337" s="7">
        <f t="shared" si="202"/>
        <v>482.49</v>
      </c>
      <c r="M4337" s="7"/>
      <c r="O4337">
        <f t="shared" si="203"/>
        <v>2</v>
      </c>
      <c r="Q4337" t="s">
        <v>47</v>
      </c>
    </row>
    <row r="4338" spans="1:17" x14ac:dyDescent="0.3">
      <c r="A4338" t="s">
        <v>5467</v>
      </c>
      <c r="B4338" s="6">
        <v>45260</v>
      </c>
      <c r="C4338" s="6" t="str">
        <f t="shared" si="201"/>
        <v>Nov</v>
      </c>
      <c r="D4338" t="s">
        <v>269</v>
      </c>
      <c r="E4338" t="s">
        <v>40</v>
      </c>
      <c r="F4338" t="s">
        <v>173</v>
      </c>
      <c r="G4338">
        <v>6</v>
      </c>
      <c r="H4338" s="7">
        <v>257.07</v>
      </c>
      <c r="I4338" t="s">
        <v>103</v>
      </c>
      <c r="J4338" t="s">
        <v>19</v>
      </c>
      <c r="K4338">
        <v>10</v>
      </c>
      <c r="L4338" s="7">
        <f t="shared" si="202"/>
        <v>1542.42</v>
      </c>
      <c r="M4338" s="7"/>
      <c r="O4338">
        <f t="shared" si="203"/>
        <v>2</v>
      </c>
      <c r="Q4338" t="s">
        <v>104</v>
      </c>
    </row>
    <row r="4339" spans="1:17" x14ac:dyDescent="0.3">
      <c r="A4339" t="s">
        <v>5468</v>
      </c>
      <c r="B4339" s="6">
        <v>44958</v>
      </c>
      <c r="C4339" s="6" t="str">
        <f t="shared" si="201"/>
        <v>Feb</v>
      </c>
      <c r="D4339" t="s">
        <v>315</v>
      </c>
      <c r="E4339" t="s">
        <v>26</v>
      </c>
      <c r="F4339" t="s">
        <v>713</v>
      </c>
      <c r="G4339">
        <v>1</v>
      </c>
      <c r="H4339" s="7">
        <v>315.64</v>
      </c>
      <c r="I4339" t="s">
        <v>103</v>
      </c>
      <c r="J4339" t="s">
        <v>19</v>
      </c>
      <c r="K4339">
        <v>10</v>
      </c>
      <c r="L4339" s="7">
        <f t="shared" si="202"/>
        <v>315.64</v>
      </c>
      <c r="M4339" s="7"/>
      <c r="O4339">
        <f t="shared" si="203"/>
        <v>2</v>
      </c>
      <c r="Q4339" t="s">
        <v>104</v>
      </c>
    </row>
    <row r="4340" spans="1:17" x14ac:dyDescent="0.3">
      <c r="A4340" t="s">
        <v>5469</v>
      </c>
      <c r="B4340" s="6">
        <v>45001</v>
      </c>
      <c r="C4340" s="6" t="str">
        <f t="shared" si="201"/>
        <v>Mar</v>
      </c>
      <c r="D4340" t="s">
        <v>3217</v>
      </c>
      <c r="E4340" t="s">
        <v>50</v>
      </c>
      <c r="F4340" t="s">
        <v>375</v>
      </c>
      <c r="G4340">
        <v>6</v>
      </c>
      <c r="H4340" s="7">
        <v>181.41</v>
      </c>
      <c r="I4340" t="s">
        <v>46</v>
      </c>
      <c r="J4340" t="s">
        <v>42</v>
      </c>
      <c r="K4340">
        <v>0</v>
      </c>
      <c r="L4340" s="7">
        <f t="shared" si="202"/>
        <v>1088.46</v>
      </c>
      <c r="M4340" s="7"/>
      <c r="O4340">
        <f t="shared" si="203"/>
        <v>2</v>
      </c>
      <c r="Q4340" t="s">
        <v>47</v>
      </c>
    </row>
    <row r="4341" spans="1:17" x14ac:dyDescent="0.3">
      <c r="A4341" t="s">
        <v>5470</v>
      </c>
      <c r="B4341" s="6">
        <v>45267</v>
      </c>
      <c r="C4341" s="6" t="str">
        <f t="shared" si="201"/>
        <v>Dec</v>
      </c>
      <c r="D4341" t="s">
        <v>77</v>
      </c>
      <c r="E4341" t="s">
        <v>40</v>
      </c>
      <c r="F4341" t="s">
        <v>128</v>
      </c>
      <c r="G4341">
        <v>3</v>
      </c>
      <c r="H4341" s="7">
        <v>165.13</v>
      </c>
      <c r="I4341" t="s">
        <v>46</v>
      </c>
      <c r="J4341" t="s">
        <v>22</v>
      </c>
      <c r="K4341">
        <v>20</v>
      </c>
      <c r="L4341" s="7">
        <f t="shared" si="202"/>
        <v>495.39</v>
      </c>
      <c r="M4341" s="7"/>
      <c r="O4341">
        <f t="shared" si="203"/>
        <v>2</v>
      </c>
      <c r="Q4341" t="s">
        <v>47</v>
      </c>
    </row>
    <row r="4342" spans="1:17" x14ac:dyDescent="0.3">
      <c r="A4342" t="s">
        <v>5471</v>
      </c>
      <c r="B4342" s="6">
        <v>45266</v>
      </c>
      <c r="C4342" s="6" t="str">
        <f t="shared" si="201"/>
        <v>Dec</v>
      </c>
      <c r="D4342" t="s">
        <v>3400</v>
      </c>
      <c r="E4342" t="s">
        <v>36</v>
      </c>
      <c r="F4342" t="s">
        <v>54</v>
      </c>
      <c r="G4342">
        <v>8</v>
      </c>
      <c r="H4342" s="7">
        <v>16.46</v>
      </c>
      <c r="I4342" t="s">
        <v>21</v>
      </c>
      <c r="J4342" t="s">
        <v>19</v>
      </c>
      <c r="K4342">
        <v>5</v>
      </c>
      <c r="L4342" s="7">
        <f t="shared" si="202"/>
        <v>131.68</v>
      </c>
      <c r="M4342" s="7"/>
      <c r="O4342">
        <f t="shared" si="203"/>
        <v>2</v>
      </c>
      <c r="Q4342" t="s">
        <v>23</v>
      </c>
    </row>
    <row r="4343" spans="1:17" x14ac:dyDescent="0.3">
      <c r="A4343" t="s">
        <v>5472</v>
      </c>
      <c r="B4343" s="6">
        <v>45211</v>
      </c>
      <c r="C4343" s="6" t="str">
        <f t="shared" si="201"/>
        <v>Oct</v>
      </c>
      <c r="D4343" t="s">
        <v>1250</v>
      </c>
      <c r="E4343" t="s">
        <v>19</v>
      </c>
      <c r="F4343" t="s">
        <v>356</v>
      </c>
      <c r="G4343">
        <v>6</v>
      </c>
      <c r="H4343" s="7">
        <v>252.67</v>
      </c>
      <c r="I4343" t="s">
        <v>64</v>
      </c>
      <c r="J4343" t="s">
        <v>72</v>
      </c>
      <c r="K4343">
        <v>5</v>
      </c>
      <c r="L4343" s="7">
        <f t="shared" si="202"/>
        <v>1516.02</v>
      </c>
      <c r="M4343" s="7"/>
      <c r="O4343">
        <f t="shared" si="203"/>
        <v>2</v>
      </c>
      <c r="Q4343" t="s">
        <v>65</v>
      </c>
    </row>
    <row r="4344" spans="1:17" x14ac:dyDescent="0.3">
      <c r="A4344" t="s">
        <v>5473</v>
      </c>
      <c r="B4344" s="6">
        <v>45138</v>
      </c>
      <c r="C4344" s="6" t="str">
        <f t="shared" si="201"/>
        <v>Jul</v>
      </c>
      <c r="D4344" t="s">
        <v>1603</v>
      </c>
      <c r="E4344" t="s">
        <v>36</v>
      </c>
      <c r="F4344" t="s">
        <v>359</v>
      </c>
      <c r="G4344">
        <v>5</v>
      </c>
      <c r="H4344" s="7">
        <v>244.39</v>
      </c>
      <c r="I4344" t="s">
        <v>32</v>
      </c>
      <c r="J4344" t="s">
        <v>28</v>
      </c>
      <c r="K4344">
        <v>0</v>
      </c>
      <c r="L4344" s="7">
        <f t="shared" si="202"/>
        <v>1221.9499999999998</v>
      </c>
      <c r="M4344" s="7"/>
      <c r="O4344">
        <f t="shared" si="203"/>
        <v>2</v>
      </c>
      <c r="Q4344" t="s">
        <v>33</v>
      </c>
    </row>
    <row r="4345" spans="1:17" x14ac:dyDescent="0.3">
      <c r="A4345" t="s">
        <v>5474</v>
      </c>
      <c r="B4345" s="6">
        <v>45033</v>
      </c>
      <c r="C4345" s="6" t="str">
        <f t="shared" si="201"/>
        <v>Apr</v>
      </c>
      <c r="D4345" t="s">
        <v>1104</v>
      </c>
      <c r="E4345" t="s">
        <v>40</v>
      </c>
      <c r="F4345" t="s">
        <v>308</v>
      </c>
      <c r="G4345">
        <v>5</v>
      </c>
      <c r="H4345" s="7">
        <v>83.13</v>
      </c>
      <c r="I4345" t="s">
        <v>103</v>
      </c>
      <c r="J4345" t="s">
        <v>22</v>
      </c>
      <c r="K4345">
        <v>15</v>
      </c>
      <c r="L4345" s="7">
        <f t="shared" si="202"/>
        <v>415.65</v>
      </c>
      <c r="M4345" s="7"/>
      <c r="O4345">
        <f t="shared" si="203"/>
        <v>2</v>
      </c>
      <c r="Q4345" t="s">
        <v>104</v>
      </c>
    </row>
    <row r="4346" spans="1:17" x14ac:dyDescent="0.3">
      <c r="A4346" t="s">
        <v>5475</v>
      </c>
      <c r="B4346" s="6">
        <v>45283</v>
      </c>
      <c r="C4346" s="6" t="str">
        <f t="shared" si="201"/>
        <v>Dec</v>
      </c>
      <c r="D4346" t="s">
        <v>1254</v>
      </c>
      <c r="E4346" t="s">
        <v>19</v>
      </c>
      <c r="F4346" t="s">
        <v>909</v>
      </c>
      <c r="G4346">
        <v>8</v>
      </c>
      <c r="H4346" s="7">
        <v>383.34</v>
      </c>
      <c r="I4346" t="s">
        <v>46</v>
      </c>
      <c r="J4346" t="s">
        <v>42</v>
      </c>
      <c r="K4346">
        <v>10</v>
      </c>
      <c r="L4346" s="7">
        <f t="shared" si="202"/>
        <v>3066.72</v>
      </c>
      <c r="M4346" s="7"/>
      <c r="O4346">
        <f t="shared" si="203"/>
        <v>4</v>
      </c>
      <c r="Q4346" t="s">
        <v>47</v>
      </c>
    </row>
    <row r="4347" spans="1:17" x14ac:dyDescent="0.3">
      <c r="A4347" t="s">
        <v>5476</v>
      </c>
      <c r="B4347" s="6">
        <v>44936</v>
      </c>
      <c r="C4347" s="6" t="str">
        <f t="shared" si="201"/>
        <v>Jan</v>
      </c>
      <c r="D4347" t="s">
        <v>1261</v>
      </c>
      <c r="E4347" t="s">
        <v>19</v>
      </c>
      <c r="F4347" t="s">
        <v>328</v>
      </c>
      <c r="G4347">
        <v>3</v>
      </c>
      <c r="H4347" s="7">
        <v>248.87</v>
      </c>
      <c r="I4347" t="s">
        <v>32</v>
      </c>
      <c r="J4347" t="s">
        <v>72</v>
      </c>
      <c r="K4347">
        <v>5</v>
      </c>
      <c r="L4347" s="7">
        <f t="shared" si="202"/>
        <v>746.61</v>
      </c>
      <c r="M4347" s="7"/>
      <c r="O4347">
        <f t="shared" si="203"/>
        <v>2</v>
      </c>
      <c r="Q4347" t="s">
        <v>33</v>
      </c>
    </row>
    <row r="4348" spans="1:17" x14ac:dyDescent="0.3">
      <c r="A4348" t="s">
        <v>5477</v>
      </c>
      <c r="B4348" s="6">
        <v>45133</v>
      </c>
      <c r="C4348" s="6" t="str">
        <f t="shared" si="201"/>
        <v>Jul</v>
      </c>
      <c r="D4348" t="s">
        <v>596</v>
      </c>
      <c r="E4348" t="s">
        <v>19</v>
      </c>
      <c r="F4348" t="s">
        <v>122</v>
      </c>
      <c r="G4348">
        <v>5</v>
      </c>
      <c r="H4348" s="7">
        <v>172.8</v>
      </c>
      <c r="I4348" t="s">
        <v>64</v>
      </c>
      <c r="J4348" t="s">
        <v>22</v>
      </c>
      <c r="K4348">
        <v>0</v>
      </c>
      <c r="L4348" s="7">
        <f t="shared" si="202"/>
        <v>864</v>
      </c>
      <c r="M4348" s="7"/>
      <c r="O4348">
        <f t="shared" si="203"/>
        <v>2</v>
      </c>
      <c r="Q4348" t="s">
        <v>65</v>
      </c>
    </row>
    <row r="4349" spans="1:17" x14ac:dyDescent="0.3">
      <c r="A4349" t="s">
        <v>5478</v>
      </c>
      <c r="B4349" s="6">
        <v>44961</v>
      </c>
      <c r="C4349" s="6" t="str">
        <f t="shared" si="201"/>
        <v>Feb</v>
      </c>
      <c r="D4349" t="s">
        <v>977</v>
      </c>
      <c r="E4349" t="s">
        <v>40</v>
      </c>
      <c r="F4349" t="s">
        <v>749</v>
      </c>
      <c r="G4349">
        <v>5</v>
      </c>
      <c r="H4349" s="7">
        <v>77.72</v>
      </c>
      <c r="I4349" t="s">
        <v>32</v>
      </c>
      <c r="J4349" t="s">
        <v>87</v>
      </c>
      <c r="K4349">
        <v>15</v>
      </c>
      <c r="L4349" s="7">
        <f t="shared" si="202"/>
        <v>388.6</v>
      </c>
      <c r="M4349" s="7"/>
      <c r="O4349">
        <f t="shared" si="203"/>
        <v>2</v>
      </c>
      <c r="Q4349" t="s">
        <v>33</v>
      </c>
    </row>
    <row r="4350" spans="1:17" x14ac:dyDescent="0.3">
      <c r="A4350" t="s">
        <v>5479</v>
      </c>
      <c r="B4350" s="6">
        <v>45182</v>
      </c>
      <c r="C4350" s="6" t="str">
        <f t="shared" si="201"/>
        <v>Sep</v>
      </c>
      <c r="D4350" t="s">
        <v>2329</v>
      </c>
      <c r="E4350" t="s">
        <v>19</v>
      </c>
      <c r="F4350" t="s">
        <v>472</v>
      </c>
      <c r="G4350">
        <v>6</v>
      </c>
      <c r="H4350" s="7">
        <v>278.32</v>
      </c>
      <c r="I4350" t="s">
        <v>19</v>
      </c>
      <c r="J4350" t="s">
        <v>87</v>
      </c>
      <c r="K4350">
        <v>0</v>
      </c>
      <c r="L4350" s="7">
        <f t="shared" si="202"/>
        <v>1669.92</v>
      </c>
      <c r="M4350" s="7"/>
      <c r="O4350">
        <f t="shared" si="203"/>
        <v>2</v>
      </c>
      <c r="Q4350" t="s">
        <v>19</v>
      </c>
    </row>
    <row r="4351" spans="1:17" x14ac:dyDescent="0.3">
      <c r="A4351" t="s">
        <v>5480</v>
      </c>
      <c r="B4351" s="6">
        <v>45015</v>
      </c>
      <c r="C4351" s="6" t="str">
        <f t="shared" si="201"/>
        <v>Mar</v>
      </c>
      <c r="D4351" t="s">
        <v>1201</v>
      </c>
      <c r="E4351" t="s">
        <v>26</v>
      </c>
      <c r="F4351" t="s">
        <v>939</v>
      </c>
      <c r="G4351">
        <v>1</v>
      </c>
      <c r="H4351" s="7">
        <v>377.64</v>
      </c>
      <c r="I4351" t="s">
        <v>64</v>
      </c>
      <c r="J4351" t="s">
        <v>28</v>
      </c>
      <c r="K4351">
        <v>0</v>
      </c>
      <c r="L4351" s="7">
        <f t="shared" si="202"/>
        <v>377.64</v>
      </c>
      <c r="M4351" s="7"/>
      <c r="O4351">
        <f t="shared" si="203"/>
        <v>2</v>
      </c>
      <c r="Q4351" t="s">
        <v>65</v>
      </c>
    </row>
    <row r="4352" spans="1:17" x14ac:dyDescent="0.3">
      <c r="A4352" t="s">
        <v>5481</v>
      </c>
      <c r="B4352" s="6">
        <v>44953</v>
      </c>
      <c r="C4352" s="6" t="str">
        <f t="shared" si="201"/>
        <v>Jan</v>
      </c>
      <c r="D4352" t="s">
        <v>2420</v>
      </c>
      <c r="E4352" t="s">
        <v>50</v>
      </c>
      <c r="F4352" t="s">
        <v>231</v>
      </c>
      <c r="G4352">
        <v>7</v>
      </c>
      <c r="H4352" s="7">
        <v>144.59</v>
      </c>
      <c r="I4352" t="s">
        <v>46</v>
      </c>
      <c r="J4352" t="s">
        <v>87</v>
      </c>
      <c r="K4352">
        <v>15</v>
      </c>
      <c r="L4352" s="7">
        <f t="shared" si="202"/>
        <v>1012.13</v>
      </c>
      <c r="M4352" s="7"/>
      <c r="O4352">
        <f t="shared" si="203"/>
        <v>2</v>
      </c>
      <c r="Q4352" t="s">
        <v>47</v>
      </c>
    </row>
    <row r="4353" spans="1:17" x14ac:dyDescent="0.3">
      <c r="A4353" t="s">
        <v>5482</v>
      </c>
      <c r="B4353" s="6">
        <v>45149</v>
      </c>
      <c r="C4353" s="6" t="str">
        <f t="shared" si="201"/>
        <v>Aug</v>
      </c>
      <c r="D4353" t="s">
        <v>431</v>
      </c>
      <c r="E4353" t="s">
        <v>26</v>
      </c>
      <c r="F4353" t="s">
        <v>486</v>
      </c>
      <c r="G4353">
        <v>9</v>
      </c>
      <c r="H4353" s="7">
        <v>252.16</v>
      </c>
      <c r="I4353" t="s">
        <v>19</v>
      </c>
      <c r="J4353" t="s">
        <v>19</v>
      </c>
      <c r="K4353">
        <v>15</v>
      </c>
      <c r="L4353" s="7">
        <f t="shared" si="202"/>
        <v>2269.44</v>
      </c>
      <c r="M4353" s="7"/>
      <c r="O4353">
        <f t="shared" si="203"/>
        <v>2</v>
      </c>
      <c r="Q4353" t="s">
        <v>19</v>
      </c>
    </row>
    <row r="4354" spans="1:17" x14ac:dyDescent="0.3">
      <c r="A4354" t="s">
        <v>5483</v>
      </c>
      <c r="B4354" s="6">
        <v>45200</v>
      </c>
      <c r="C4354" s="6" t="str">
        <f t="shared" si="201"/>
        <v>Oct</v>
      </c>
      <c r="D4354" t="s">
        <v>1273</v>
      </c>
      <c r="E4354" t="s">
        <v>50</v>
      </c>
      <c r="F4354" t="s">
        <v>170</v>
      </c>
      <c r="G4354">
        <v>2</v>
      </c>
      <c r="H4354" s="7">
        <v>263.36</v>
      </c>
      <c r="I4354" t="s">
        <v>103</v>
      </c>
      <c r="J4354" t="s">
        <v>19</v>
      </c>
      <c r="K4354">
        <v>15</v>
      </c>
      <c r="L4354" s="7">
        <f t="shared" si="202"/>
        <v>526.72</v>
      </c>
      <c r="M4354" s="7"/>
      <c r="O4354">
        <f t="shared" si="203"/>
        <v>2</v>
      </c>
      <c r="Q4354" t="s">
        <v>104</v>
      </c>
    </row>
    <row r="4355" spans="1:17" x14ac:dyDescent="0.3">
      <c r="A4355" t="s">
        <v>5484</v>
      </c>
      <c r="B4355" s="6">
        <v>45079</v>
      </c>
      <c r="C4355" s="6" t="str">
        <f t="shared" ref="C4355:C4418" si="204">TEXT(B4355,"MMM")</f>
        <v>Jun</v>
      </c>
      <c r="D4355" t="s">
        <v>675</v>
      </c>
      <c r="E4355" t="s">
        <v>19</v>
      </c>
      <c r="F4355" t="s">
        <v>185</v>
      </c>
      <c r="G4355">
        <v>5</v>
      </c>
      <c r="H4355" s="7">
        <v>81.89</v>
      </c>
      <c r="I4355" t="s">
        <v>64</v>
      </c>
      <c r="J4355" t="s">
        <v>72</v>
      </c>
      <c r="K4355">
        <v>0</v>
      </c>
      <c r="L4355" s="7">
        <f t="shared" ref="L4355:L4418" si="205">G4355*H4355</f>
        <v>409.45</v>
      </c>
      <c r="M4355" s="7"/>
      <c r="O4355">
        <f t="shared" si="203"/>
        <v>2</v>
      </c>
      <c r="Q4355" t="s">
        <v>65</v>
      </c>
    </row>
    <row r="4356" spans="1:17" x14ac:dyDescent="0.3">
      <c r="A4356" t="s">
        <v>5485</v>
      </c>
      <c r="B4356" s="6">
        <v>44974</v>
      </c>
      <c r="C4356" s="6" t="str">
        <f t="shared" si="204"/>
        <v>Feb</v>
      </c>
      <c r="D4356" t="s">
        <v>2184</v>
      </c>
      <c r="E4356" t="s">
        <v>26</v>
      </c>
      <c r="F4356" t="s">
        <v>154</v>
      </c>
      <c r="G4356">
        <v>5</v>
      </c>
      <c r="H4356" s="7">
        <v>334.97</v>
      </c>
      <c r="I4356" t="s">
        <v>21</v>
      </c>
      <c r="J4356" t="s">
        <v>72</v>
      </c>
      <c r="K4356">
        <v>5</v>
      </c>
      <c r="L4356" s="7">
        <f t="shared" si="205"/>
        <v>1674.8500000000001</v>
      </c>
      <c r="M4356" s="7"/>
      <c r="O4356">
        <f t="shared" ref="O4356:O4419" si="206">IF(L4356&gt;3500,5,IF(L4356&gt;3000,4,IF(L4356&gt;2500,3,IF(L4356&gt;2000,2,IF(L4356&gt;1000,2,2)))))</f>
        <v>2</v>
      </c>
      <c r="Q4356" t="s">
        <v>23</v>
      </c>
    </row>
    <row r="4357" spans="1:17" x14ac:dyDescent="0.3">
      <c r="A4357" t="s">
        <v>5486</v>
      </c>
      <c r="B4357" s="6">
        <v>45289</v>
      </c>
      <c r="C4357" s="6" t="str">
        <f t="shared" si="204"/>
        <v>Dec</v>
      </c>
      <c r="D4357" t="s">
        <v>2145</v>
      </c>
      <c r="E4357" t="s">
        <v>19</v>
      </c>
      <c r="F4357" t="s">
        <v>488</v>
      </c>
      <c r="G4357">
        <v>6</v>
      </c>
      <c r="H4357" s="7">
        <v>252.16</v>
      </c>
      <c r="I4357" t="s">
        <v>46</v>
      </c>
      <c r="J4357" t="s">
        <v>87</v>
      </c>
      <c r="K4357">
        <v>10</v>
      </c>
      <c r="L4357" s="7">
        <f t="shared" si="205"/>
        <v>1512.96</v>
      </c>
      <c r="M4357" s="7"/>
      <c r="O4357">
        <f t="shared" si="206"/>
        <v>2</v>
      </c>
      <c r="Q4357" t="s">
        <v>47</v>
      </c>
    </row>
    <row r="4358" spans="1:17" x14ac:dyDescent="0.3">
      <c r="A4358" t="s">
        <v>5487</v>
      </c>
      <c r="B4358" s="6">
        <v>45006</v>
      </c>
      <c r="C4358" s="6" t="str">
        <f t="shared" si="204"/>
        <v>Mar</v>
      </c>
      <c r="D4358" t="s">
        <v>1240</v>
      </c>
      <c r="E4358" t="s">
        <v>50</v>
      </c>
      <c r="F4358" t="s">
        <v>303</v>
      </c>
      <c r="G4358">
        <v>6</v>
      </c>
      <c r="H4358" s="7">
        <v>48.11</v>
      </c>
      <c r="I4358" t="s">
        <v>19</v>
      </c>
      <c r="J4358" t="s">
        <v>87</v>
      </c>
      <c r="K4358">
        <v>10</v>
      </c>
      <c r="L4358" s="7">
        <f t="shared" si="205"/>
        <v>288.65999999999997</v>
      </c>
      <c r="M4358" s="7"/>
      <c r="O4358">
        <f t="shared" si="206"/>
        <v>2</v>
      </c>
      <c r="Q4358" t="s">
        <v>19</v>
      </c>
    </row>
    <row r="4359" spans="1:17" x14ac:dyDescent="0.3">
      <c r="A4359" t="s">
        <v>5488</v>
      </c>
      <c r="B4359" s="6">
        <v>45203</v>
      </c>
      <c r="C4359" s="6" t="str">
        <f t="shared" si="204"/>
        <v>Oct</v>
      </c>
      <c r="D4359" t="s">
        <v>997</v>
      </c>
      <c r="E4359" t="s">
        <v>31</v>
      </c>
      <c r="F4359" t="s">
        <v>1206</v>
      </c>
      <c r="G4359">
        <v>2</v>
      </c>
      <c r="H4359" s="7">
        <v>23.08</v>
      </c>
      <c r="I4359" t="s">
        <v>103</v>
      </c>
      <c r="J4359" t="s">
        <v>42</v>
      </c>
      <c r="K4359">
        <v>0</v>
      </c>
      <c r="L4359" s="7">
        <f t="shared" si="205"/>
        <v>46.16</v>
      </c>
      <c r="M4359" s="7"/>
      <c r="O4359">
        <f t="shared" si="206"/>
        <v>2</v>
      </c>
      <c r="Q4359" t="s">
        <v>104</v>
      </c>
    </row>
    <row r="4360" spans="1:17" x14ac:dyDescent="0.3">
      <c r="A4360" t="s">
        <v>5489</v>
      </c>
      <c r="B4360" s="6">
        <v>45104</v>
      </c>
      <c r="C4360" s="6" t="str">
        <f t="shared" si="204"/>
        <v>Jun</v>
      </c>
      <c r="D4360" t="s">
        <v>999</v>
      </c>
      <c r="E4360" t="s">
        <v>36</v>
      </c>
      <c r="F4360" t="s">
        <v>94</v>
      </c>
      <c r="G4360">
        <v>2</v>
      </c>
      <c r="H4360" s="7">
        <v>312.04000000000002</v>
      </c>
      <c r="I4360" t="s">
        <v>19</v>
      </c>
      <c r="J4360" t="s">
        <v>19</v>
      </c>
      <c r="K4360">
        <v>0</v>
      </c>
      <c r="L4360" s="7">
        <f t="shared" si="205"/>
        <v>624.08000000000004</v>
      </c>
      <c r="M4360" s="7"/>
      <c r="O4360">
        <f t="shared" si="206"/>
        <v>2</v>
      </c>
      <c r="Q4360" t="s">
        <v>19</v>
      </c>
    </row>
    <row r="4361" spans="1:17" x14ac:dyDescent="0.3">
      <c r="A4361" t="s">
        <v>5490</v>
      </c>
      <c r="B4361" s="6">
        <v>44982</v>
      </c>
      <c r="C4361" s="6" t="str">
        <f t="shared" si="204"/>
        <v>Feb</v>
      </c>
      <c r="D4361" t="s">
        <v>2161</v>
      </c>
      <c r="E4361" t="s">
        <v>36</v>
      </c>
      <c r="F4361" t="s">
        <v>719</v>
      </c>
      <c r="G4361">
        <v>4</v>
      </c>
      <c r="H4361" s="7">
        <v>150.68</v>
      </c>
      <c r="I4361" t="s">
        <v>46</v>
      </c>
      <c r="J4361" t="s">
        <v>42</v>
      </c>
      <c r="K4361">
        <v>5</v>
      </c>
      <c r="L4361" s="7">
        <f t="shared" si="205"/>
        <v>602.72</v>
      </c>
      <c r="M4361" s="7"/>
      <c r="O4361">
        <f t="shared" si="206"/>
        <v>2</v>
      </c>
      <c r="Q4361" t="s">
        <v>47</v>
      </c>
    </row>
    <row r="4362" spans="1:17" x14ac:dyDescent="0.3">
      <c r="A4362" t="s">
        <v>5491</v>
      </c>
      <c r="B4362" s="6">
        <v>45092</v>
      </c>
      <c r="C4362" s="6" t="str">
        <f t="shared" si="204"/>
        <v>Jun</v>
      </c>
      <c r="D4362" t="s">
        <v>1947</v>
      </c>
      <c r="E4362" t="s">
        <v>50</v>
      </c>
      <c r="F4362" t="s">
        <v>975</v>
      </c>
      <c r="G4362">
        <v>1</v>
      </c>
      <c r="H4362" s="7">
        <v>252.16</v>
      </c>
      <c r="I4362" t="s">
        <v>64</v>
      </c>
      <c r="J4362" t="s">
        <v>87</v>
      </c>
      <c r="K4362">
        <v>15</v>
      </c>
      <c r="L4362" s="7">
        <f t="shared" si="205"/>
        <v>252.16</v>
      </c>
      <c r="M4362" s="7"/>
      <c r="O4362">
        <f t="shared" si="206"/>
        <v>2</v>
      </c>
      <c r="Q4362" t="s">
        <v>65</v>
      </c>
    </row>
    <row r="4363" spans="1:17" x14ac:dyDescent="0.3">
      <c r="A4363" t="s">
        <v>5492</v>
      </c>
      <c r="B4363" s="6">
        <v>44945</v>
      </c>
      <c r="C4363" s="6" t="str">
        <f t="shared" si="204"/>
        <v>Jan</v>
      </c>
      <c r="D4363" t="s">
        <v>793</v>
      </c>
      <c r="E4363" t="s">
        <v>36</v>
      </c>
      <c r="F4363" t="s">
        <v>81</v>
      </c>
      <c r="G4363">
        <v>9</v>
      </c>
      <c r="H4363" s="7">
        <v>380.92</v>
      </c>
      <c r="I4363" t="s">
        <v>46</v>
      </c>
      <c r="J4363" t="s">
        <v>72</v>
      </c>
      <c r="K4363">
        <v>0</v>
      </c>
      <c r="L4363" s="7">
        <f t="shared" si="205"/>
        <v>3428.28</v>
      </c>
      <c r="M4363" s="7"/>
      <c r="O4363">
        <f t="shared" si="206"/>
        <v>4</v>
      </c>
      <c r="Q4363" t="s">
        <v>47</v>
      </c>
    </row>
    <row r="4364" spans="1:17" x14ac:dyDescent="0.3">
      <c r="A4364" t="s">
        <v>5493</v>
      </c>
      <c r="B4364" s="6">
        <v>45241</v>
      </c>
      <c r="C4364" s="6" t="str">
        <f t="shared" si="204"/>
        <v>Nov</v>
      </c>
      <c r="D4364" t="s">
        <v>2274</v>
      </c>
      <c r="E4364" t="s">
        <v>31</v>
      </c>
      <c r="F4364" t="s">
        <v>278</v>
      </c>
      <c r="G4364">
        <v>7</v>
      </c>
      <c r="H4364" s="7">
        <v>160.44999999999999</v>
      </c>
      <c r="I4364" t="s">
        <v>103</v>
      </c>
      <c r="J4364" t="s">
        <v>28</v>
      </c>
      <c r="K4364">
        <v>20</v>
      </c>
      <c r="L4364" s="7">
        <f t="shared" si="205"/>
        <v>1123.1499999999999</v>
      </c>
      <c r="M4364" s="7"/>
      <c r="O4364">
        <f t="shared" si="206"/>
        <v>2</v>
      </c>
      <c r="Q4364" t="s">
        <v>104</v>
      </c>
    </row>
    <row r="4365" spans="1:17" x14ac:dyDescent="0.3">
      <c r="A4365" t="s">
        <v>5494</v>
      </c>
      <c r="B4365" s="6">
        <v>45023</v>
      </c>
      <c r="C4365" s="6" t="str">
        <f t="shared" si="204"/>
        <v>Apr</v>
      </c>
      <c r="D4365" t="s">
        <v>318</v>
      </c>
      <c r="E4365" t="s">
        <v>36</v>
      </c>
      <c r="F4365" t="s">
        <v>807</v>
      </c>
      <c r="G4365">
        <v>7</v>
      </c>
      <c r="H4365" s="7">
        <v>232.5</v>
      </c>
      <c r="I4365" t="s">
        <v>32</v>
      </c>
      <c r="J4365" t="s">
        <v>87</v>
      </c>
      <c r="K4365">
        <v>15</v>
      </c>
      <c r="L4365" s="7">
        <f t="shared" si="205"/>
        <v>1627.5</v>
      </c>
      <c r="M4365" s="7"/>
      <c r="O4365">
        <f t="shared" si="206"/>
        <v>2</v>
      </c>
      <c r="Q4365" t="s">
        <v>33</v>
      </c>
    </row>
    <row r="4366" spans="1:17" x14ac:dyDescent="0.3">
      <c r="A4366" t="s">
        <v>5495</v>
      </c>
      <c r="B4366" s="6">
        <v>45013</v>
      </c>
      <c r="C4366" s="6" t="str">
        <f t="shared" si="204"/>
        <v>Mar</v>
      </c>
      <c r="D4366" t="s">
        <v>2581</v>
      </c>
      <c r="E4366" t="s">
        <v>40</v>
      </c>
      <c r="F4366" t="s">
        <v>417</v>
      </c>
      <c r="G4366">
        <v>3</v>
      </c>
      <c r="H4366" s="7">
        <v>252.16</v>
      </c>
      <c r="I4366" t="s">
        <v>103</v>
      </c>
      <c r="J4366" t="s">
        <v>28</v>
      </c>
      <c r="K4366">
        <v>0</v>
      </c>
      <c r="L4366" s="7">
        <f t="shared" si="205"/>
        <v>756.48</v>
      </c>
      <c r="M4366" s="7"/>
      <c r="O4366">
        <f t="shared" si="206"/>
        <v>2</v>
      </c>
      <c r="Q4366" t="s">
        <v>104</v>
      </c>
    </row>
    <row r="4367" spans="1:17" x14ac:dyDescent="0.3">
      <c r="A4367" t="s">
        <v>5496</v>
      </c>
      <c r="B4367" s="6">
        <v>45156</v>
      </c>
      <c r="C4367" s="6" t="str">
        <f t="shared" si="204"/>
        <v>Aug</v>
      </c>
      <c r="D4367" t="s">
        <v>2119</v>
      </c>
      <c r="E4367" t="s">
        <v>19</v>
      </c>
      <c r="F4367" t="s">
        <v>1251</v>
      </c>
      <c r="G4367">
        <v>3</v>
      </c>
      <c r="H4367" s="7">
        <v>315.52</v>
      </c>
      <c r="I4367" t="s">
        <v>32</v>
      </c>
      <c r="J4367" t="s">
        <v>19</v>
      </c>
      <c r="K4367">
        <v>20</v>
      </c>
      <c r="L4367" s="7">
        <f t="shared" si="205"/>
        <v>946.56</v>
      </c>
      <c r="M4367" s="7"/>
      <c r="O4367">
        <f t="shared" si="206"/>
        <v>2</v>
      </c>
      <c r="Q4367" t="s">
        <v>33</v>
      </c>
    </row>
    <row r="4368" spans="1:17" x14ac:dyDescent="0.3">
      <c r="A4368" t="s">
        <v>5497</v>
      </c>
      <c r="B4368" s="6">
        <v>45232</v>
      </c>
      <c r="C4368" s="6" t="str">
        <f t="shared" si="204"/>
        <v>Nov</v>
      </c>
      <c r="D4368" t="s">
        <v>768</v>
      </c>
      <c r="E4368" t="s">
        <v>19</v>
      </c>
      <c r="F4368" t="s">
        <v>730</v>
      </c>
      <c r="G4368">
        <v>1</v>
      </c>
      <c r="H4368" s="7">
        <v>252.16</v>
      </c>
      <c r="I4368" t="s">
        <v>21</v>
      </c>
      <c r="J4368" t="s">
        <v>22</v>
      </c>
      <c r="K4368">
        <v>10</v>
      </c>
      <c r="L4368" s="7">
        <f t="shared" si="205"/>
        <v>252.16</v>
      </c>
      <c r="M4368" s="7"/>
      <c r="O4368">
        <f t="shared" si="206"/>
        <v>2</v>
      </c>
      <c r="Q4368" t="s">
        <v>23</v>
      </c>
    </row>
    <row r="4369" spans="1:17" x14ac:dyDescent="0.3">
      <c r="A4369" t="s">
        <v>5498</v>
      </c>
      <c r="B4369" s="6">
        <v>45264</v>
      </c>
      <c r="C4369" s="6" t="str">
        <f t="shared" si="204"/>
        <v>Dec</v>
      </c>
      <c r="D4369" t="s">
        <v>2042</v>
      </c>
      <c r="E4369" t="s">
        <v>62</v>
      </c>
      <c r="F4369" t="s">
        <v>142</v>
      </c>
      <c r="G4369">
        <v>3</v>
      </c>
      <c r="H4369" s="7">
        <v>484.17</v>
      </c>
      <c r="I4369" t="s">
        <v>19</v>
      </c>
      <c r="J4369" t="s">
        <v>87</v>
      </c>
      <c r="K4369">
        <v>5</v>
      </c>
      <c r="L4369" s="7">
        <f t="shared" si="205"/>
        <v>1452.51</v>
      </c>
      <c r="M4369" s="7"/>
      <c r="O4369">
        <f t="shared" si="206"/>
        <v>2</v>
      </c>
      <c r="Q4369" t="s">
        <v>19</v>
      </c>
    </row>
    <row r="4370" spans="1:17" x14ac:dyDescent="0.3">
      <c r="A4370" t="s">
        <v>5499</v>
      </c>
      <c r="B4370" s="6">
        <v>45148</v>
      </c>
      <c r="C4370" s="6" t="str">
        <f t="shared" si="204"/>
        <v>Aug</v>
      </c>
      <c r="D4370" t="s">
        <v>338</v>
      </c>
      <c r="E4370" t="s">
        <v>31</v>
      </c>
      <c r="F4370" t="s">
        <v>208</v>
      </c>
      <c r="G4370">
        <v>3</v>
      </c>
      <c r="H4370" s="7">
        <v>352.96</v>
      </c>
      <c r="I4370" t="s">
        <v>19</v>
      </c>
      <c r="J4370" t="s">
        <v>72</v>
      </c>
      <c r="K4370">
        <v>20</v>
      </c>
      <c r="L4370" s="7">
        <f t="shared" si="205"/>
        <v>1058.8799999999999</v>
      </c>
      <c r="M4370" s="7"/>
      <c r="O4370">
        <f t="shared" si="206"/>
        <v>2</v>
      </c>
      <c r="Q4370" t="s">
        <v>19</v>
      </c>
    </row>
    <row r="4371" spans="1:17" x14ac:dyDescent="0.3">
      <c r="A4371" t="s">
        <v>5500</v>
      </c>
      <c r="B4371" s="6">
        <v>45215</v>
      </c>
      <c r="C4371" s="6" t="str">
        <f t="shared" si="204"/>
        <v>Oct</v>
      </c>
      <c r="D4371" t="s">
        <v>1263</v>
      </c>
      <c r="E4371" t="s">
        <v>26</v>
      </c>
      <c r="F4371" t="s">
        <v>713</v>
      </c>
      <c r="G4371">
        <v>4</v>
      </c>
      <c r="H4371" s="7">
        <v>72.680000000000007</v>
      </c>
      <c r="I4371" t="s">
        <v>46</v>
      </c>
      <c r="J4371" t="s">
        <v>42</v>
      </c>
      <c r="K4371">
        <v>0</v>
      </c>
      <c r="L4371" s="7">
        <f t="shared" si="205"/>
        <v>290.72000000000003</v>
      </c>
      <c r="M4371" s="7"/>
      <c r="O4371">
        <f t="shared" si="206"/>
        <v>2</v>
      </c>
      <c r="Q4371" t="s">
        <v>47</v>
      </c>
    </row>
    <row r="4372" spans="1:17" x14ac:dyDescent="0.3">
      <c r="A4372" t="s">
        <v>5501</v>
      </c>
      <c r="B4372" s="6">
        <v>45251</v>
      </c>
      <c r="C4372" s="6" t="str">
        <f t="shared" si="204"/>
        <v>Nov</v>
      </c>
      <c r="D4372" t="s">
        <v>1460</v>
      </c>
      <c r="E4372" t="s">
        <v>19</v>
      </c>
      <c r="F4372" t="s">
        <v>822</v>
      </c>
      <c r="G4372">
        <v>4</v>
      </c>
      <c r="H4372" s="7">
        <v>252.16</v>
      </c>
      <c r="I4372" t="s">
        <v>32</v>
      </c>
      <c r="J4372" t="s">
        <v>42</v>
      </c>
      <c r="K4372">
        <v>10</v>
      </c>
      <c r="L4372" s="7">
        <f t="shared" si="205"/>
        <v>1008.64</v>
      </c>
      <c r="M4372" s="7"/>
      <c r="O4372">
        <f t="shared" si="206"/>
        <v>2</v>
      </c>
      <c r="Q4372" t="s">
        <v>33</v>
      </c>
    </row>
    <row r="4373" spans="1:17" x14ac:dyDescent="0.3">
      <c r="A4373" t="s">
        <v>5502</v>
      </c>
      <c r="B4373" s="6">
        <v>45022</v>
      </c>
      <c r="C4373" s="6" t="str">
        <f t="shared" si="204"/>
        <v>Apr</v>
      </c>
      <c r="D4373" t="s">
        <v>4191</v>
      </c>
      <c r="E4373" t="s">
        <v>19</v>
      </c>
      <c r="F4373" t="s">
        <v>356</v>
      </c>
      <c r="G4373">
        <v>3</v>
      </c>
      <c r="H4373" s="7">
        <v>195.78</v>
      </c>
      <c r="I4373" t="s">
        <v>103</v>
      </c>
      <c r="J4373" t="s">
        <v>72</v>
      </c>
      <c r="K4373">
        <v>0</v>
      </c>
      <c r="L4373" s="7">
        <f t="shared" si="205"/>
        <v>587.34</v>
      </c>
      <c r="M4373" s="7"/>
      <c r="O4373">
        <f t="shared" si="206"/>
        <v>2</v>
      </c>
      <c r="Q4373" t="s">
        <v>104</v>
      </c>
    </row>
    <row r="4374" spans="1:17" x14ac:dyDescent="0.3">
      <c r="A4374" t="s">
        <v>5503</v>
      </c>
      <c r="B4374" s="6">
        <v>45032</v>
      </c>
      <c r="C4374" s="6" t="str">
        <f t="shared" si="204"/>
        <v>Apr</v>
      </c>
      <c r="D4374" t="s">
        <v>2577</v>
      </c>
      <c r="E4374" t="s">
        <v>50</v>
      </c>
      <c r="F4374" t="s">
        <v>353</v>
      </c>
      <c r="G4374">
        <v>8</v>
      </c>
      <c r="H4374" s="7">
        <v>269.45</v>
      </c>
      <c r="I4374" t="s">
        <v>32</v>
      </c>
      <c r="J4374" t="s">
        <v>87</v>
      </c>
      <c r="K4374">
        <v>10</v>
      </c>
      <c r="L4374" s="7">
        <f t="shared" si="205"/>
        <v>2155.6</v>
      </c>
      <c r="M4374" s="7"/>
      <c r="O4374">
        <f t="shared" si="206"/>
        <v>2</v>
      </c>
      <c r="Q4374" t="s">
        <v>33</v>
      </c>
    </row>
    <row r="4375" spans="1:17" x14ac:dyDescent="0.3">
      <c r="A4375" t="s">
        <v>5504</v>
      </c>
      <c r="B4375" s="6">
        <v>45109</v>
      </c>
      <c r="C4375" s="6" t="str">
        <f t="shared" si="204"/>
        <v>Jul</v>
      </c>
      <c r="D4375" t="s">
        <v>895</v>
      </c>
      <c r="E4375" t="s">
        <v>31</v>
      </c>
      <c r="F4375" t="s">
        <v>417</v>
      </c>
      <c r="G4375">
        <v>8</v>
      </c>
      <c r="H4375" s="7">
        <v>421.76</v>
      </c>
      <c r="I4375" t="s">
        <v>64</v>
      </c>
      <c r="J4375" t="s">
        <v>72</v>
      </c>
      <c r="K4375">
        <v>5</v>
      </c>
      <c r="L4375" s="7">
        <f t="shared" si="205"/>
        <v>3374.08</v>
      </c>
      <c r="M4375" s="7"/>
      <c r="O4375">
        <f t="shared" si="206"/>
        <v>4</v>
      </c>
      <c r="Q4375" t="s">
        <v>65</v>
      </c>
    </row>
    <row r="4376" spans="1:17" x14ac:dyDescent="0.3">
      <c r="A4376" t="s">
        <v>5505</v>
      </c>
      <c r="B4376" s="6">
        <v>45049</v>
      </c>
      <c r="C4376" s="6" t="str">
        <f t="shared" si="204"/>
        <v>May</v>
      </c>
      <c r="D4376" t="s">
        <v>175</v>
      </c>
      <c r="E4376" t="s">
        <v>26</v>
      </c>
      <c r="F4376" t="s">
        <v>698</v>
      </c>
      <c r="G4376">
        <v>1</v>
      </c>
      <c r="H4376" s="7">
        <v>293.79000000000002</v>
      </c>
      <c r="I4376" t="s">
        <v>32</v>
      </c>
      <c r="J4376" t="s">
        <v>22</v>
      </c>
      <c r="K4376">
        <v>5</v>
      </c>
      <c r="L4376" s="7">
        <f t="shared" si="205"/>
        <v>293.79000000000002</v>
      </c>
      <c r="M4376" s="7"/>
      <c r="O4376">
        <f t="shared" si="206"/>
        <v>2</v>
      </c>
      <c r="Q4376" t="s">
        <v>33</v>
      </c>
    </row>
    <row r="4377" spans="1:17" x14ac:dyDescent="0.3">
      <c r="A4377" t="s">
        <v>5506</v>
      </c>
      <c r="B4377" s="6">
        <v>45040</v>
      </c>
      <c r="C4377" s="6" t="str">
        <f t="shared" si="204"/>
        <v>Apr</v>
      </c>
      <c r="D4377" t="s">
        <v>162</v>
      </c>
      <c r="E4377" t="s">
        <v>19</v>
      </c>
      <c r="F4377" t="s">
        <v>347</v>
      </c>
      <c r="G4377">
        <v>7</v>
      </c>
      <c r="H4377" s="7">
        <v>35.47</v>
      </c>
      <c r="I4377" t="s">
        <v>19</v>
      </c>
      <c r="J4377" t="s">
        <v>19</v>
      </c>
      <c r="K4377">
        <v>15</v>
      </c>
      <c r="L4377" s="7">
        <f t="shared" si="205"/>
        <v>248.29</v>
      </c>
      <c r="M4377" s="7"/>
      <c r="O4377">
        <f t="shared" si="206"/>
        <v>2</v>
      </c>
      <c r="Q4377" t="s">
        <v>19</v>
      </c>
    </row>
    <row r="4378" spans="1:17" x14ac:dyDescent="0.3">
      <c r="A4378" t="s">
        <v>5507</v>
      </c>
      <c r="B4378" s="6">
        <v>45179</v>
      </c>
      <c r="C4378" s="6" t="str">
        <f t="shared" si="204"/>
        <v>Sep</v>
      </c>
      <c r="D4378" t="s">
        <v>1240</v>
      </c>
      <c r="E4378" t="s">
        <v>19</v>
      </c>
      <c r="F4378" t="s">
        <v>944</v>
      </c>
      <c r="G4378">
        <v>2</v>
      </c>
      <c r="H4378" s="7">
        <v>329.43</v>
      </c>
      <c r="I4378" t="s">
        <v>19</v>
      </c>
      <c r="J4378" t="s">
        <v>72</v>
      </c>
      <c r="K4378">
        <v>15</v>
      </c>
      <c r="L4378" s="7">
        <f t="shared" si="205"/>
        <v>658.86</v>
      </c>
      <c r="M4378" s="7"/>
      <c r="O4378">
        <f t="shared" si="206"/>
        <v>2</v>
      </c>
      <c r="Q4378" t="s">
        <v>19</v>
      </c>
    </row>
    <row r="4379" spans="1:17" x14ac:dyDescent="0.3">
      <c r="A4379" t="s">
        <v>5508</v>
      </c>
      <c r="B4379" s="6">
        <v>45189</v>
      </c>
      <c r="C4379" s="6" t="str">
        <f t="shared" si="204"/>
        <v>Sep</v>
      </c>
      <c r="D4379" t="s">
        <v>3045</v>
      </c>
      <c r="E4379" t="s">
        <v>40</v>
      </c>
      <c r="F4379" t="s">
        <v>54</v>
      </c>
      <c r="G4379">
        <v>1</v>
      </c>
      <c r="H4379" s="7">
        <v>9.09</v>
      </c>
      <c r="I4379" t="s">
        <v>32</v>
      </c>
      <c r="J4379" t="s">
        <v>42</v>
      </c>
      <c r="K4379">
        <v>10</v>
      </c>
      <c r="L4379" s="7">
        <f t="shared" si="205"/>
        <v>9.09</v>
      </c>
      <c r="M4379" s="7"/>
      <c r="O4379">
        <f t="shared" si="206"/>
        <v>2</v>
      </c>
      <c r="Q4379" t="s">
        <v>33</v>
      </c>
    </row>
    <row r="4380" spans="1:17" x14ac:dyDescent="0.3">
      <c r="A4380" t="s">
        <v>5509</v>
      </c>
      <c r="B4380" s="6">
        <v>45031</v>
      </c>
      <c r="C4380" s="6" t="str">
        <f t="shared" si="204"/>
        <v>Apr</v>
      </c>
      <c r="D4380" t="s">
        <v>2057</v>
      </c>
      <c r="E4380" t="s">
        <v>50</v>
      </c>
      <c r="F4380" t="s">
        <v>730</v>
      </c>
      <c r="G4380">
        <v>3</v>
      </c>
      <c r="H4380" s="7">
        <v>391.08</v>
      </c>
      <c r="I4380" t="s">
        <v>21</v>
      </c>
      <c r="J4380" t="s">
        <v>19</v>
      </c>
      <c r="K4380">
        <v>10</v>
      </c>
      <c r="L4380" s="7">
        <f t="shared" si="205"/>
        <v>1173.24</v>
      </c>
      <c r="M4380" s="7"/>
      <c r="O4380">
        <f t="shared" si="206"/>
        <v>2</v>
      </c>
      <c r="Q4380" t="s">
        <v>23</v>
      </c>
    </row>
    <row r="4381" spans="1:17" x14ac:dyDescent="0.3">
      <c r="A4381" t="s">
        <v>5510</v>
      </c>
      <c r="B4381" s="6">
        <v>45210</v>
      </c>
      <c r="C4381" s="6" t="str">
        <f t="shared" si="204"/>
        <v>Oct</v>
      </c>
      <c r="D4381" t="s">
        <v>288</v>
      </c>
      <c r="E4381" t="s">
        <v>19</v>
      </c>
      <c r="F4381" t="s">
        <v>254</v>
      </c>
      <c r="G4381">
        <v>4</v>
      </c>
      <c r="H4381" s="7">
        <v>334.98</v>
      </c>
      <c r="I4381" t="s">
        <v>46</v>
      </c>
      <c r="J4381" t="s">
        <v>28</v>
      </c>
      <c r="K4381">
        <v>5</v>
      </c>
      <c r="L4381" s="7">
        <f t="shared" si="205"/>
        <v>1339.92</v>
      </c>
      <c r="M4381" s="7"/>
      <c r="O4381">
        <f t="shared" si="206"/>
        <v>2</v>
      </c>
      <c r="Q4381" t="s">
        <v>47</v>
      </c>
    </row>
    <row r="4382" spans="1:17" x14ac:dyDescent="0.3">
      <c r="A4382" t="s">
        <v>5511</v>
      </c>
      <c r="B4382" s="6">
        <v>45222</v>
      </c>
      <c r="C4382" s="6" t="str">
        <f t="shared" si="204"/>
        <v>Oct</v>
      </c>
      <c r="D4382" t="s">
        <v>18</v>
      </c>
      <c r="E4382" t="s">
        <v>26</v>
      </c>
      <c r="F4382" t="s">
        <v>909</v>
      </c>
      <c r="G4382">
        <v>6</v>
      </c>
      <c r="H4382" s="7">
        <v>157.85</v>
      </c>
      <c r="I4382" t="s">
        <v>64</v>
      </c>
      <c r="J4382" t="s">
        <v>22</v>
      </c>
      <c r="K4382">
        <v>20</v>
      </c>
      <c r="L4382" s="7">
        <f t="shared" si="205"/>
        <v>947.09999999999991</v>
      </c>
      <c r="M4382" s="7"/>
      <c r="O4382">
        <f t="shared" si="206"/>
        <v>2</v>
      </c>
      <c r="Q4382" t="s">
        <v>65</v>
      </c>
    </row>
    <row r="4383" spans="1:17" x14ac:dyDescent="0.3">
      <c r="A4383" t="s">
        <v>5512</v>
      </c>
      <c r="B4383" s="6">
        <v>45119</v>
      </c>
      <c r="C4383" s="6" t="str">
        <f t="shared" si="204"/>
        <v>Jul</v>
      </c>
      <c r="D4383" t="s">
        <v>826</v>
      </c>
      <c r="E4383" t="s">
        <v>62</v>
      </c>
      <c r="F4383" t="s">
        <v>211</v>
      </c>
      <c r="G4383">
        <v>5</v>
      </c>
      <c r="H4383" s="7">
        <v>149.76</v>
      </c>
      <c r="I4383" t="s">
        <v>64</v>
      </c>
      <c r="J4383" t="s">
        <v>87</v>
      </c>
      <c r="K4383">
        <v>10</v>
      </c>
      <c r="L4383" s="7">
        <f t="shared" si="205"/>
        <v>748.8</v>
      </c>
      <c r="M4383" s="7"/>
      <c r="O4383">
        <f t="shared" si="206"/>
        <v>2</v>
      </c>
      <c r="Q4383" t="s">
        <v>65</v>
      </c>
    </row>
    <row r="4384" spans="1:17" x14ac:dyDescent="0.3">
      <c r="A4384" t="s">
        <v>5513</v>
      </c>
      <c r="B4384" s="6">
        <v>45228</v>
      </c>
      <c r="C4384" s="6" t="str">
        <f t="shared" si="204"/>
        <v>Oct</v>
      </c>
      <c r="D4384" t="s">
        <v>226</v>
      </c>
      <c r="E4384" t="s">
        <v>62</v>
      </c>
      <c r="F4384" t="s">
        <v>75</v>
      </c>
      <c r="G4384">
        <v>5</v>
      </c>
      <c r="H4384" s="7">
        <v>400.15</v>
      </c>
      <c r="I4384" t="s">
        <v>19</v>
      </c>
      <c r="J4384" t="s">
        <v>22</v>
      </c>
      <c r="K4384">
        <v>10</v>
      </c>
      <c r="L4384" s="7">
        <f t="shared" si="205"/>
        <v>2000.75</v>
      </c>
      <c r="M4384" s="7"/>
      <c r="O4384">
        <f t="shared" si="206"/>
        <v>2</v>
      </c>
      <c r="Q4384" t="s">
        <v>19</v>
      </c>
    </row>
    <row r="4385" spans="1:17" x14ac:dyDescent="0.3">
      <c r="A4385" t="s">
        <v>5514</v>
      </c>
      <c r="B4385" s="6">
        <v>44954</v>
      </c>
      <c r="C4385" s="6" t="str">
        <f t="shared" si="204"/>
        <v>Jan</v>
      </c>
      <c r="D4385" t="s">
        <v>4680</v>
      </c>
      <c r="E4385" t="s">
        <v>50</v>
      </c>
      <c r="F4385" t="s">
        <v>708</v>
      </c>
      <c r="G4385">
        <v>8</v>
      </c>
      <c r="H4385" s="7">
        <v>392.75</v>
      </c>
      <c r="I4385" t="s">
        <v>19</v>
      </c>
      <c r="J4385" t="s">
        <v>22</v>
      </c>
      <c r="K4385">
        <v>20</v>
      </c>
      <c r="L4385" s="7">
        <f t="shared" si="205"/>
        <v>3142</v>
      </c>
      <c r="M4385" s="7"/>
      <c r="O4385">
        <f t="shared" si="206"/>
        <v>4</v>
      </c>
      <c r="Q4385" t="s">
        <v>19</v>
      </c>
    </row>
    <row r="4386" spans="1:17" x14ac:dyDescent="0.3">
      <c r="A4386" t="s">
        <v>5515</v>
      </c>
      <c r="B4386" s="6">
        <v>44929</v>
      </c>
      <c r="C4386" s="6" t="str">
        <f t="shared" si="204"/>
        <v>Jan</v>
      </c>
      <c r="D4386" t="s">
        <v>1692</v>
      </c>
      <c r="E4386" t="s">
        <v>19</v>
      </c>
      <c r="F4386" t="s">
        <v>63</v>
      </c>
      <c r="G4386">
        <v>4</v>
      </c>
      <c r="H4386" s="7">
        <v>179.39</v>
      </c>
      <c r="I4386" t="s">
        <v>64</v>
      </c>
      <c r="J4386" t="s">
        <v>19</v>
      </c>
      <c r="K4386">
        <v>15</v>
      </c>
      <c r="L4386" s="7">
        <f t="shared" si="205"/>
        <v>717.56</v>
      </c>
      <c r="M4386" s="7"/>
      <c r="O4386">
        <f t="shared" si="206"/>
        <v>2</v>
      </c>
      <c r="Q4386" t="s">
        <v>65</v>
      </c>
    </row>
    <row r="4387" spans="1:17" x14ac:dyDescent="0.3">
      <c r="A4387" t="s">
        <v>5516</v>
      </c>
      <c r="B4387" s="6">
        <v>45016</v>
      </c>
      <c r="C4387" s="6" t="str">
        <f t="shared" si="204"/>
        <v>Mar</v>
      </c>
      <c r="D4387" t="s">
        <v>1154</v>
      </c>
      <c r="E4387" t="s">
        <v>40</v>
      </c>
      <c r="F4387" t="s">
        <v>856</v>
      </c>
      <c r="G4387">
        <v>2</v>
      </c>
      <c r="H4387" s="7">
        <v>152.97999999999999</v>
      </c>
      <c r="I4387" t="s">
        <v>21</v>
      </c>
      <c r="J4387" t="s">
        <v>87</v>
      </c>
      <c r="K4387">
        <v>15</v>
      </c>
      <c r="L4387" s="7">
        <f t="shared" si="205"/>
        <v>305.95999999999998</v>
      </c>
      <c r="M4387" s="7"/>
      <c r="O4387">
        <f t="shared" si="206"/>
        <v>2</v>
      </c>
      <c r="Q4387" t="s">
        <v>23</v>
      </c>
    </row>
    <row r="4388" spans="1:17" x14ac:dyDescent="0.3">
      <c r="A4388" t="s">
        <v>5517</v>
      </c>
      <c r="B4388" s="6">
        <v>45092</v>
      </c>
      <c r="C4388" s="6" t="str">
        <f t="shared" si="204"/>
        <v>Jun</v>
      </c>
      <c r="D4388" t="s">
        <v>1160</v>
      </c>
      <c r="E4388" t="s">
        <v>19</v>
      </c>
      <c r="F4388" t="s">
        <v>900</v>
      </c>
      <c r="G4388">
        <v>3</v>
      </c>
      <c r="H4388" s="7">
        <v>282.11</v>
      </c>
      <c r="I4388" t="s">
        <v>19</v>
      </c>
      <c r="J4388" t="s">
        <v>42</v>
      </c>
      <c r="K4388">
        <v>10</v>
      </c>
      <c r="L4388" s="7">
        <f t="shared" si="205"/>
        <v>846.33</v>
      </c>
      <c r="M4388" s="7"/>
      <c r="O4388">
        <f t="shared" si="206"/>
        <v>2</v>
      </c>
      <c r="Q4388" t="s">
        <v>19</v>
      </c>
    </row>
    <row r="4389" spans="1:17" x14ac:dyDescent="0.3">
      <c r="A4389" t="s">
        <v>5518</v>
      </c>
      <c r="B4389" s="6">
        <v>45153</v>
      </c>
      <c r="C4389" s="6" t="str">
        <f t="shared" si="204"/>
        <v>Aug</v>
      </c>
      <c r="D4389" t="s">
        <v>3267</v>
      </c>
      <c r="E4389" t="s">
        <v>40</v>
      </c>
      <c r="F4389" t="s">
        <v>913</v>
      </c>
      <c r="G4389">
        <v>6</v>
      </c>
      <c r="H4389" s="7">
        <v>252.16</v>
      </c>
      <c r="I4389" t="s">
        <v>103</v>
      </c>
      <c r="J4389" t="s">
        <v>42</v>
      </c>
      <c r="K4389">
        <v>15</v>
      </c>
      <c r="L4389" s="7">
        <f t="shared" si="205"/>
        <v>1512.96</v>
      </c>
      <c r="M4389" s="7"/>
      <c r="O4389">
        <f t="shared" si="206"/>
        <v>2</v>
      </c>
      <c r="Q4389" t="s">
        <v>104</v>
      </c>
    </row>
    <row r="4390" spans="1:17" x14ac:dyDescent="0.3">
      <c r="A4390" t="s">
        <v>5519</v>
      </c>
      <c r="B4390" s="6">
        <v>45067</v>
      </c>
      <c r="C4390" s="6" t="str">
        <f t="shared" si="204"/>
        <v>May</v>
      </c>
      <c r="D4390" t="s">
        <v>1451</v>
      </c>
      <c r="E4390" t="s">
        <v>36</v>
      </c>
      <c r="F4390" t="s">
        <v>308</v>
      </c>
      <c r="G4390">
        <v>8</v>
      </c>
      <c r="H4390" s="7">
        <v>45.92</v>
      </c>
      <c r="I4390" t="s">
        <v>103</v>
      </c>
      <c r="J4390" t="s">
        <v>42</v>
      </c>
      <c r="K4390">
        <v>15</v>
      </c>
      <c r="L4390" s="7">
        <f t="shared" si="205"/>
        <v>367.36</v>
      </c>
      <c r="M4390" s="7"/>
      <c r="O4390">
        <f t="shared" si="206"/>
        <v>2</v>
      </c>
      <c r="Q4390" t="s">
        <v>104</v>
      </c>
    </row>
    <row r="4391" spans="1:17" x14ac:dyDescent="0.3">
      <c r="A4391" t="s">
        <v>5520</v>
      </c>
      <c r="B4391" s="6">
        <v>45265</v>
      </c>
      <c r="C4391" s="6" t="str">
        <f t="shared" si="204"/>
        <v>Dec</v>
      </c>
      <c r="D4391" t="s">
        <v>885</v>
      </c>
      <c r="E4391" t="s">
        <v>31</v>
      </c>
      <c r="F4391" t="s">
        <v>81</v>
      </c>
      <c r="G4391">
        <v>8</v>
      </c>
      <c r="H4391" s="7">
        <v>67.45</v>
      </c>
      <c r="I4391" t="s">
        <v>32</v>
      </c>
      <c r="J4391" t="s">
        <v>72</v>
      </c>
      <c r="K4391">
        <v>10</v>
      </c>
      <c r="L4391" s="7">
        <f t="shared" si="205"/>
        <v>539.6</v>
      </c>
      <c r="M4391" s="7"/>
      <c r="O4391">
        <f t="shared" si="206"/>
        <v>2</v>
      </c>
      <c r="Q4391" t="s">
        <v>33</v>
      </c>
    </row>
    <row r="4392" spans="1:17" x14ac:dyDescent="0.3">
      <c r="A4392" t="s">
        <v>5521</v>
      </c>
      <c r="B4392" s="6">
        <v>44950</v>
      </c>
      <c r="C4392" s="6" t="str">
        <f t="shared" si="204"/>
        <v>Jan</v>
      </c>
      <c r="D4392" t="s">
        <v>277</v>
      </c>
      <c r="E4392" t="s">
        <v>31</v>
      </c>
      <c r="F4392" t="s">
        <v>313</v>
      </c>
      <c r="G4392">
        <v>9</v>
      </c>
      <c r="H4392" s="7">
        <v>96.78</v>
      </c>
      <c r="I4392" t="s">
        <v>64</v>
      </c>
      <c r="J4392" t="s">
        <v>22</v>
      </c>
      <c r="K4392">
        <v>15</v>
      </c>
      <c r="L4392" s="7">
        <f t="shared" si="205"/>
        <v>871.02</v>
      </c>
      <c r="M4392" s="7"/>
      <c r="O4392">
        <f t="shared" si="206"/>
        <v>2</v>
      </c>
      <c r="Q4392" t="s">
        <v>65</v>
      </c>
    </row>
    <row r="4393" spans="1:17" x14ac:dyDescent="0.3">
      <c r="A4393" t="s">
        <v>5522</v>
      </c>
      <c r="B4393" s="6">
        <v>44947</v>
      </c>
      <c r="C4393" s="6" t="str">
        <f t="shared" si="204"/>
        <v>Jan</v>
      </c>
      <c r="D4393" t="s">
        <v>777</v>
      </c>
      <c r="E4393" t="s">
        <v>36</v>
      </c>
      <c r="F4393" t="s">
        <v>173</v>
      </c>
      <c r="G4393">
        <v>7</v>
      </c>
      <c r="H4393" s="7">
        <v>258.45</v>
      </c>
      <c r="I4393" t="s">
        <v>46</v>
      </c>
      <c r="J4393" t="s">
        <v>22</v>
      </c>
      <c r="K4393">
        <v>5</v>
      </c>
      <c r="L4393" s="7">
        <f t="shared" si="205"/>
        <v>1809.1499999999999</v>
      </c>
      <c r="M4393" s="7"/>
      <c r="O4393">
        <f t="shared" si="206"/>
        <v>2</v>
      </c>
      <c r="Q4393" t="s">
        <v>47</v>
      </c>
    </row>
    <row r="4394" spans="1:17" x14ac:dyDescent="0.3">
      <c r="A4394" t="s">
        <v>5523</v>
      </c>
      <c r="B4394" s="6">
        <v>45192</v>
      </c>
      <c r="C4394" s="6" t="str">
        <f t="shared" si="204"/>
        <v>Sep</v>
      </c>
      <c r="D4394" t="s">
        <v>3057</v>
      </c>
      <c r="E4394" t="s">
        <v>19</v>
      </c>
      <c r="F4394" t="s">
        <v>800</v>
      </c>
      <c r="G4394">
        <v>2</v>
      </c>
      <c r="H4394" s="7">
        <v>496.16</v>
      </c>
      <c r="I4394" t="s">
        <v>64</v>
      </c>
      <c r="J4394" t="s">
        <v>87</v>
      </c>
      <c r="K4394">
        <v>0</v>
      </c>
      <c r="L4394" s="7">
        <f t="shared" si="205"/>
        <v>992.32</v>
      </c>
      <c r="M4394" s="7"/>
      <c r="O4394">
        <f t="shared" si="206"/>
        <v>2</v>
      </c>
      <c r="Q4394" t="s">
        <v>65</v>
      </c>
    </row>
    <row r="4395" spans="1:17" x14ac:dyDescent="0.3">
      <c r="A4395" t="s">
        <v>5524</v>
      </c>
      <c r="B4395" s="6">
        <v>44955</v>
      </c>
      <c r="C4395" s="6" t="str">
        <f t="shared" si="204"/>
        <v>Jan</v>
      </c>
      <c r="D4395" t="s">
        <v>5150</v>
      </c>
      <c r="E4395" t="s">
        <v>40</v>
      </c>
      <c r="F4395" t="s">
        <v>341</v>
      </c>
      <c r="G4395">
        <v>8</v>
      </c>
      <c r="H4395" s="7">
        <v>328.04</v>
      </c>
      <c r="I4395" t="s">
        <v>21</v>
      </c>
      <c r="J4395" t="s">
        <v>22</v>
      </c>
      <c r="K4395">
        <v>10</v>
      </c>
      <c r="L4395" s="7">
        <f t="shared" si="205"/>
        <v>2624.32</v>
      </c>
      <c r="M4395" s="7"/>
      <c r="O4395">
        <f t="shared" si="206"/>
        <v>3</v>
      </c>
      <c r="Q4395" t="s">
        <v>23</v>
      </c>
    </row>
    <row r="4396" spans="1:17" x14ac:dyDescent="0.3">
      <c r="A4396" t="s">
        <v>5525</v>
      </c>
      <c r="B4396" s="6">
        <v>44968</v>
      </c>
      <c r="C4396" s="6" t="str">
        <f t="shared" si="204"/>
        <v>Feb</v>
      </c>
      <c r="D4396" t="s">
        <v>1485</v>
      </c>
      <c r="E4396" t="s">
        <v>36</v>
      </c>
      <c r="F4396" t="s">
        <v>698</v>
      </c>
      <c r="G4396">
        <v>7</v>
      </c>
      <c r="H4396" s="7">
        <v>35.340000000000003</v>
      </c>
      <c r="I4396" t="s">
        <v>46</v>
      </c>
      <c r="J4396" t="s">
        <v>42</v>
      </c>
      <c r="K4396">
        <v>10</v>
      </c>
      <c r="L4396" s="7">
        <f t="shared" si="205"/>
        <v>247.38000000000002</v>
      </c>
      <c r="M4396" s="7"/>
      <c r="O4396">
        <f t="shared" si="206"/>
        <v>2</v>
      </c>
      <c r="Q4396" t="s">
        <v>47</v>
      </c>
    </row>
    <row r="4397" spans="1:17" x14ac:dyDescent="0.3">
      <c r="A4397" t="s">
        <v>5526</v>
      </c>
      <c r="B4397" s="6">
        <v>45196</v>
      </c>
      <c r="C4397" s="6" t="str">
        <f t="shared" si="204"/>
        <v>Sep</v>
      </c>
      <c r="D4397" t="s">
        <v>3707</v>
      </c>
      <c r="E4397" t="s">
        <v>62</v>
      </c>
      <c r="F4397" t="s">
        <v>1194</v>
      </c>
      <c r="G4397">
        <v>8</v>
      </c>
      <c r="H4397" s="7">
        <v>265.16000000000003</v>
      </c>
      <c r="I4397" t="s">
        <v>103</v>
      </c>
      <c r="J4397" t="s">
        <v>87</v>
      </c>
      <c r="K4397">
        <v>5</v>
      </c>
      <c r="L4397" s="7">
        <f t="shared" si="205"/>
        <v>2121.2800000000002</v>
      </c>
      <c r="M4397" s="7"/>
      <c r="O4397">
        <f t="shared" si="206"/>
        <v>2</v>
      </c>
      <c r="Q4397" t="s">
        <v>104</v>
      </c>
    </row>
    <row r="4398" spans="1:17" x14ac:dyDescent="0.3">
      <c r="A4398" t="s">
        <v>5527</v>
      </c>
      <c r="B4398" s="6">
        <v>45134</v>
      </c>
      <c r="C4398" s="6" t="str">
        <f t="shared" si="204"/>
        <v>Jul</v>
      </c>
      <c r="D4398" t="s">
        <v>297</v>
      </c>
      <c r="E4398" t="s">
        <v>62</v>
      </c>
      <c r="F4398" t="s">
        <v>445</v>
      </c>
      <c r="G4398">
        <v>3</v>
      </c>
      <c r="H4398" s="7">
        <v>250.84</v>
      </c>
      <c r="I4398" t="s">
        <v>19</v>
      </c>
      <c r="J4398" t="s">
        <v>28</v>
      </c>
      <c r="K4398">
        <v>0</v>
      </c>
      <c r="L4398" s="7">
        <f t="shared" si="205"/>
        <v>752.52</v>
      </c>
      <c r="M4398" s="7"/>
      <c r="O4398">
        <f t="shared" si="206"/>
        <v>2</v>
      </c>
      <c r="Q4398" t="s">
        <v>19</v>
      </c>
    </row>
    <row r="4399" spans="1:17" x14ac:dyDescent="0.3">
      <c r="A4399" t="s">
        <v>5528</v>
      </c>
      <c r="B4399" s="6">
        <v>44927</v>
      </c>
      <c r="C4399" s="6" t="str">
        <f t="shared" si="204"/>
        <v>Jan</v>
      </c>
      <c r="D4399" t="s">
        <v>2233</v>
      </c>
      <c r="E4399" t="s">
        <v>19</v>
      </c>
      <c r="F4399" t="s">
        <v>251</v>
      </c>
      <c r="G4399">
        <v>7</v>
      </c>
      <c r="H4399" s="7">
        <v>76.36</v>
      </c>
      <c r="I4399" t="s">
        <v>64</v>
      </c>
      <c r="J4399" t="s">
        <v>28</v>
      </c>
      <c r="K4399">
        <v>0</v>
      </c>
      <c r="L4399" s="7">
        <f t="shared" si="205"/>
        <v>534.52</v>
      </c>
      <c r="M4399" s="7"/>
      <c r="O4399">
        <f t="shared" si="206"/>
        <v>2</v>
      </c>
      <c r="Q4399" t="s">
        <v>65</v>
      </c>
    </row>
    <row r="4400" spans="1:17" x14ac:dyDescent="0.3">
      <c r="A4400" t="s">
        <v>5529</v>
      </c>
      <c r="B4400" s="6">
        <v>45260</v>
      </c>
      <c r="C4400" s="6" t="str">
        <f t="shared" si="204"/>
        <v>Nov</v>
      </c>
      <c r="D4400" t="s">
        <v>3913</v>
      </c>
      <c r="E4400" t="s">
        <v>19</v>
      </c>
      <c r="F4400" t="s">
        <v>398</v>
      </c>
      <c r="G4400">
        <v>9</v>
      </c>
      <c r="H4400" s="7">
        <v>460.53</v>
      </c>
      <c r="I4400" t="s">
        <v>46</v>
      </c>
      <c r="J4400" t="s">
        <v>72</v>
      </c>
      <c r="K4400">
        <v>5</v>
      </c>
      <c r="L4400" s="7">
        <f t="shared" si="205"/>
        <v>4144.7699999999995</v>
      </c>
      <c r="M4400" s="7"/>
      <c r="O4400">
        <f t="shared" si="206"/>
        <v>5</v>
      </c>
      <c r="Q4400" t="s">
        <v>47</v>
      </c>
    </row>
    <row r="4401" spans="1:17" x14ac:dyDescent="0.3">
      <c r="A4401" t="s">
        <v>5530</v>
      </c>
      <c r="B4401" s="6">
        <v>44946</v>
      </c>
      <c r="C4401" s="6" t="str">
        <f t="shared" si="204"/>
        <v>Jan</v>
      </c>
      <c r="D4401" t="s">
        <v>2181</v>
      </c>
      <c r="E4401" t="s">
        <v>19</v>
      </c>
      <c r="F4401" t="s">
        <v>1237</v>
      </c>
      <c r="G4401">
        <v>3</v>
      </c>
      <c r="H4401" s="7">
        <v>223.18</v>
      </c>
      <c r="I4401" t="s">
        <v>21</v>
      </c>
      <c r="J4401" t="s">
        <v>72</v>
      </c>
      <c r="K4401">
        <v>20</v>
      </c>
      <c r="L4401" s="7">
        <f t="shared" si="205"/>
        <v>669.54</v>
      </c>
      <c r="M4401" s="7"/>
      <c r="O4401">
        <f t="shared" si="206"/>
        <v>2</v>
      </c>
      <c r="Q4401" t="s">
        <v>23</v>
      </c>
    </row>
    <row r="4402" spans="1:17" x14ac:dyDescent="0.3">
      <c r="A4402" t="s">
        <v>5531</v>
      </c>
      <c r="B4402" s="6">
        <v>45156</v>
      </c>
      <c r="C4402" s="6" t="str">
        <f t="shared" si="204"/>
        <v>Aug</v>
      </c>
      <c r="D4402" t="s">
        <v>1838</v>
      </c>
      <c r="E4402" t="s">
        <v>31</v>
      </c>
      <c r="F4402" t="s">
        <v>1568</v>
      </c>
      <c r="G4402">
        <v>6</v>
      </c>
      <c r="H4402" s="7">
        <v>497.31</v>
      </c>
      <c r="I4402" t="s">
        <v>19</v>
      </c>
      <c r="J4402" t="s">
        <v>87</v>
      </c>
      <c r="K4402">
        <v>20</v>
      </c>
      <c r="L4402" s="7">
        <f t="shared" si="205"/>
        <v>2983.86</v>
      </c>
      <c r="M4402" s="7"/>
      <c r="O4402">
        <f t="shared" si="206"/>
        <v>3</v>
      </c>
      <c r="Q4402" t="s">
        <v>19</v>
      </c>
    </row>
    <row r="4403" spans="1:17" x14ac:dyDescent="0.3">
      <c r="A4403" t="s">
        <v>5532</v>
      </c>
      <c r="B4403" s="6">
        <v>45067</v>
      </c>
      <c r="C4403" s="6" t="str">
        <f t="shared" si="204"/>
        <v>May</v>
      </c>
      <c r="D4403" t="s">
        <v>1942</v>
      </c>
      <c r="E4403" t="s">
        <v>62</v>
      </c>
      <c r="F4403" t="s">
        <v>224</v>
      </c>
      <c r="G4403">
        <v>2</v>
      </c>
      <c r="H4403" s="7">
        <v>212.94</v>
      </c>
      <c r="I4403" t="s">
        <v>103</v>
      </c>
      <c r="J4403" t="s">
        <v>42</v>
      </c>
      <c r="K4403">
        <v>0</v>
      </c>
      <c r="L4403" s="7">
        <f t="shared" si="205"/>
        <v>425.88</v>
      </c>
      <c r="M4403" s="7"/>
      <c r="O4403">
        <f t="shared" si="206"/>
        <v>2</v>
      </c>
      <c r="Q4403" t="s">
        <v>104</v>
      </c>
    </row>
    <row r="4404" spans="1:17" x14ac:dyDescent="0.3">
      <c r="A4404" t="s">
        <v>5533</v>
      </c>
      <c r="B4404" s="6">
        <v>45286</v>
      </c>
      <c r="C4404" s="6" t="str">
        <f t="shared" si="204"/>
        <v>Dec</v>
      </c>
      <c r="D4404" t="s">
        <v>1513</v>
      </c>
      <c r="E4404" t="s">
        <v>50</v>
      </c>
      <c r="F4404" t="s">
        <v>242</v>
      </c>
      <c r="G4404">
        <v>2</v>
      </c>
      <c r="H4404" s="7">
        <v>305.94</v>
      </c>
      <c r="I4404" t="s">
        <v>32</v>
      </c>
      <c r="J4404" t="s">
        <v>87</v>
      </c>
      <c r="K4404">
        <v>20</v>
      </c>
      <c r="L4404" s="7">
        <f t="shared" si="205"/>
        <v>611.88</v>
      </c>
      <c r="M4404" s="7"/>
      <c r="O4404">
        <f t="shared" si="206"/>
        <v>2</v>
      </c>
      <c r="Q4404" t="s">
        <v>33</v>
      </c>
    </row>
    <row r="4405" spans="1:17" x14ac:dyDescent="0.3">
      <c r="A4405" t="s">
        <v>5534</v>
      </c>
      <c r="B4405" s="6">
        <v>45050</v>
      </c>
      <c r="C4405" s="6" t="str">
        <f t="shared" si="204"/>
        <v>May</v>
      </c>
      <c r="D4405" t="s">
        <v>213</v>
      </c>
      <c r="E4405" t="s">
        <v>19</v>
      </c>
      <c r="F4405" t="s">
        <v>27</v>
      </c>
      <c r="G4405">
        <v>5</v>
      </c>
      <c r="H4405" s="7">
        <v>56.86</v>
      </c>
      <c r="I4405" t="s">
        <v>103</v>
      </c>
      <c r="J4405" t="s">
        <v>22</v>
      </c>
      <c r="K4405">
        <v>20</v>
      </c>
      <c r="L4405" s="7">
        <f t="shared" si="205"/>
        <v>284.3</v>
      </c>
      <c r="M4405" s="7"/>
      <c r="O4405">
        <f t="shared" si="206"/>
        <v>2</v>
      </c>
      <c r="Q4405" t="s">
        <v>104</v>
      </c>
    </row>
    <row r="4406" spans="1:17" x14ac:dyDescent="0.3">
      <c r="A4406" t="s">
        <v>5535</v>
      </c>
      <c r="B4406" s="6">
        <v>44952</v>
      </c>
      <c r="C4406" s="6" t="str">
        <f t="shared" si="204"/>
        <v>Jan</v>
      </c>
      <c r="D4406" t="s">
        <v>569</v>
      </c>
      <c r="E4406" t="s">
        <v>31</v>
      </c>
      <c r="F4406" t="s">
        <v>432</v>
      </c>
      <c r="G4406">
        <v>5</v>
      </c>
      <c r="H4406" s="7">
        <v>229.84</v>
      </c>
      <c r="I4406" t="s">
        <v>21</v>
      </c>
      <c r="J4406" t="s">
        <v>28</v>
      </c>
      <c r="K4406">
        <v>20</v>
      </c>
      <c r="L4406" s="7">
        <f t="shared" si="205"/>
        <v>1149.2</v>
      </c>
      <c r="M4406" s="7"/>
      <c r="O4406">
        <f t="shared" si="206"/>
        <v>2</v>
      </c>
      <c r="Q4406" t="s">
        <v>23</v>
      </c>
    </row>
    <row r="4407" spans="1:17" x14ac:dyDescent="0.3">
      <c r="A4407" t="s">
        <v>5536</v>
      </c>
      <c r="B4407" s="6">
        <v>44945</v>
      </c>
      <c r="C4407" s="6" t="str">
        <f t="shared" si="204"/>
        <v>Jan</v>
      </c>
      <c r="D4407" t="s">
        <v>1083</v>
      </c>
      <c r="E4407" t="s">
        <v>19</v>
      </c>
      <c r="F4407" t="s">
        <v>217</v>
      </c>
      <c r="G4407">
        <v>7</v>
      </c>
      <c r="H4407" s="7">
        <v>123.19</v>
      </c>
      <c r="I4407" t="s">
        <v>32</v>
      </c>
      <c r="J4407" t="s">
        <v>19</v>
      </c>
      <c r="K4407">
        <v>0</v>
      </c>
      <c r="L4407" s="7">
        <f t="shared" si="205"/>
        <v>862.32999999999993</v>
      </c>
      <c r="M4407" s="7"/>
      <c r="O4407">
        <f t="shared" si="206"/>
        <v>2</v>
      </c>
      <c r="Q4407" t="s">
        <v>33</v>
      </c>
    </row>
    <row r="4408" spans="1:17" x14ac:dyDescent="0.3">
      <c r="A4408" t="s">
        <v>5537</v>
      </c>
      <c r="B4408" s="6">
        <v>44927</v>
      </c>
      <c r="C4408" s="6" t="str">
        <f t="shared" si="204"/>
        <v>Jan</v>
      </c>
      <c r="D4408" t="s">
        <v>4289</v>
      </c>
      <c r="E4408" t="s">
        <v>50</v>
      </c>
      <c r="F4408" t="s">
        <v>45</v>
      </c>
      <c r="G4408">
        <v>2</v>
      </c>
      <c r="H4408" s="7">
        <v>418.6</v>
      </c>
      <c r="I4408" t="s">
        <v>64</v>
      </c>
      <c r="J4408" t="s">
        <v>22</v>
      </c>
      <c r="K4408">
        <v>20</v>
      </c>
      <c r="L4408" s="7">
        <f t="shared" si="205"/>
        <v>837.2</v>
      </c>
      <c r="M4408" s="7"/>
      <c r="O4408">
        <f t="shared" si="206"/>
        <v>2</v>
      </c>
      <c r="Q4408" t="s">
        <v>65</v>
      </c>
    </row>
    <row r="4409" spans="1:17" x14ac:dyDescent="0.3">
      <c r="A4409" t="s">
        <v>5538</v>
      </c>
      <c r="B4409" s="6">
        <v>44943</v>
      </c>
      <c r="C4409" s="6" t="str">
        <f t="shared" si="204"/>
        <v>Jan</v>
      </c>
      <c r="D4409" t="s">
        <v>5254</v>
      </c>
      <c r="E4409" t="s">
        <v>26</v>
      </c>
      <c r="F4409" t="s">
        <v>211</v>
      </c>
      <c r="G4409">
        <v>7</v>
      </c>
      <c r="H4409" s="7">
        <v>393.04</v>
      </c>
      <c r="I4409" t="s">
        <v>103</v>
      </c>
      <c r="J4409" t="s">
        <v>87</v>
      </c>
      <c r="K4409">
        <v>10</v>
      </c>
      <c r="L4409" s="7">
        <f t="shared" si="205"/>
        <v>2751.28</v>
      </c>
      <c r="M4409" s="7"/>
      <c r="O4409">
        <f t="shared" si="206"/>
        <v>3</v>
      </c>
      <c r="Q4409" t="s">
        <v>104</v>
      </c>
    </row>
    <row r="4410" spans="1:17" x14ac:dyDescent="0.3">
      <c r="A4410" t="s">
        <v>5539</v>
      </c>
      <c r="B4410" s="6">
        <v>45120</v>
      </c>
      <c r="C4410" s="6" t="str">
        <f t="shared" si="204"/>
        <v>Jul</v>
      </c>
      <c r="D4410" t="s">
        <v>1093</v>
      </c>
      <c r="E4410" t="s">
        <v>19</v>
      </c>
      <c r="F4410" t="s">
        <v>331</v>
      </c>
      <c r="G4410">
        <v>5</v>
      </c>
      <c r="H4410" s="7">
        <v>252.16</v>
      </c>
      <c r="I4410" t="s">
        <v>46</v>
      </c>
      <c r="J4410" t="s">
        <v>22</v>
      </c>
      <c r="K4410">
        <v>10</v>
      </c>
      <c r="L4410" s="7">
        <f t="shared" si="205"/>
        <v>1260.8</v>
      </c>
      <c r="M4410" s="7"/>
      <c r="O4410">
        <f t="shared" si="206"/>
        <v>2</v>
      </c>
      <c r="Q4410" t="s">
        <v>47</v>
      </c>
    </row>
    <row r="4411" spans="1:17" x14ac:dyDescent="0.3">
      <c r="A4411" t="s">
        <v>5540</v>
      </c>
      <c r="B4411" s="6">
        <v>44988</v>
      </c>
      <c r="C4411" s="6" t="str">
        <f t="shared" si="204"/>
        <v>Mar</v>
      </c>
      <c r="D4411" t="s">
        <v>1065</v>
      </c>
      <c r="E4411" t="s">
        <v>40</v>
      </c>
      <c r="F4411" t="s">
        <v>176</v>
      </c>
      <c r="G4411">
        <v>6</v>
      </c>
      <c r="H4411" s="7">
        <v>363.19</v>
      </c>
      <c r="I4411" t="s">
        <v>64</v>
      </c>
      <c r="J4411" t="s">
        <v>87</v>
      </c>
      <c r="K4411">
        <v>0</v>
      </c>
      <c r="L4411" s="7">
        <f t="shared" si="205"/>
        <v>2179.14</v>
      </c>
      <c r="M4411" s="7"/>
      <c r="O4411">
        <f t="shared" si="206"/>
        <v>2</v>
      </c>
      <c r="Q4411" t="s">
        <v>65</v>
      </c>
    </row>
    <row r="4412" spans="1:17" x14ac:dyDescent="0.3">
      <c r="A4412" t="s">
        <v>5541</v>
      </c>
      <c r="B4412" s="6">
        <v>45054</v>
      </c>
      <c r="C4412" s="6" t="str">
        <f t="shared" si="204"/>
        <v>May</v>
      </c>
      <c r="D4412" t="s">
        <v>1546</v>
      </c>
      <c r="E4412" t="s">
        <v>26</v>
      </c>
      <c r="F4412" t="s">
        <v>257</v>
      </c>
      <c r="G4412">
        <v>8</v>
      </c>
      <c r="H4412" s="7">
        <v>417.18</v>
      </c>
      <c r="I4412" t="s">
        <v>64</v>
      </c>
      <c r="J4412" t="s">
        <v>87</v>
      </c>
      <c r="K4412">
        <v>5</v>
      </c>
      <c r="L4412" s="7">
        <f t="shared" si="205"/>
        <v>3337.44</v>
      </c>
      <c r="M4412" s="7"/>
      <c r="O4412">
        <f t="shared" si="206"/>
        <v>4</v>
      </c>
      <c r="Q4412" t="s">
        <v>65</v>
      </c>
    </row>
    <row r="4413" spans="1:17" x14ac:dyDescent="0.3">
      <c r="A4413" t="s">
        <v>5542</v>
      </c>
      <c r="B4413" s="6">
        <v>45161</v>
      </c>
      <c r="C4413" s="6" t="str">
        <f t="shared" si="204"/>
        <v>Aug</v>
      </c>
      <c r="D4413" t="s">
        <v>2329</v>
      </c>
      <c r="E4413" t="s">
        <v>31</v>
      </c>
      <c r="F4413" t="s">
        <v>968</v>
      </c>
      <c r="G4413">
        <v>4</v>
      </c>
      <c r="H4413" s="7">
        <v>104.41</v>
      </c>
      <c r="I4413" t="s">
        <v>19</v>
      </c>
      <c r="J4413" t="s">
        <v>42</v>
      </c>
      <c r="K4413">
        <v>20</v>
      </c>
      <c r="L4413" s="7">
        <f t="shared" si="205"/>
        <v>417.64</v>
      </c>
      <c r="M4413" s="7"/>
      <c r="O4413">
        <f t="shared" si="206"/>
        <v>2</v>
      </c>
      <c r="Q4413" t="s">
        <v>19</v>
      </c>
    </row>
    <row r="4414" spans="1:17" x14ac:dyDescent="0.3">
      <c r="A4414" t="s">
        <v>5543</v>
      </c>
      <c r="B4414" s="6">
        <v>45090</v>
      </c>
      <c r="C4414" s="6" t="str">
        <f t="shared" si="204"/>
        <v>Jun</v>
      </c>
      <c r="D4414" t="s">
        <v>5544</v>
      </c>
      <c r="E4414" t="s">
        <v>19</v>
      </c>
      <c r="F4414" t="s">
        <v>398</v>
      </c>
      <c r="G4414">
        <v>7</v>
      </c>
      <c r="H4414" s="7">
        <v>228.76</v>
      </c>
      <c r="I4414" t="s">
        <v>46</v>
      </c>
      <c r="J4414" t="s">
        <v>28</v>
      </c>
      <c r="K4414">
        <v>15</v>
      </c>
      <c r="L4414" s="7">
        <f t="shared" si="205"/>
        <v>1601.32</v>
      </c>
      <c r="M4414" s="7"/>
      <c r="O4414">
        <f t="shared" si="206"/>
        <v>2</v>
      </c>
      <c r="Q4414" t="s">
        <v>47</v>
      </c>
    </row>
    <row r="4415" spans="1:17" x14ac:dyDescent="0.3">
      <c r="A4415" t="s">
        <v>5545</v>
      </c>
      <c r="B4415" s="6">
        <v>44962</v>
      </c>
      <c r="C4415" s="6" t="str">
        <f t="shared" si="204"/>
        <v>Feb</v>
      </c>
      <c r="D4415" t="s">
        <v>1673</v>
      </c>
      <c r="E4415" t="s">
        <v>31</v>
      </c>
      <c r="F4415" t="s">
        <v>344</v>
      </c>
      <c r="G4415">
        <v>6</v>
      </c>
      <c r="H4415" s="7">
        <v>347.46</v>
      </c>
      <c r="I4415" t="s">
        <v>21</v>
      </c>
      <c r="J4415" t="s">
        <v>87</v>
      </c>
      <c r="K4415">
        <v>0</v>
      </c>
      <c r="L4415" s="7">
        <f t="shared" si="205"/>
        <v>2084.7599999999998</v>
      </c>
      <c r="M4415" s="7"/>
      <c r="O4415">
        <f t="shared" si="206"/>
        <v>2</v>
      </c>
      <c r="Q4415" t="s">
        <v>23</v>
      </c>
    </row>
    <row r="4416" spans="1:17" x14ac:dyDescent="0.3">
      <c r="A4416" t="s">
        <v>5546</v>
      </c>
      <c r="B4416" s="6">
        <v>45046</v>
      </c>
      <c r="C4416" s="6" t="str">
        <f t="shared" si="204"/>
        <v>Apr</v>
      </c>
      <c r="D4416" t="s">
        <v>1044</v>
      </c>
      <c r="E4416" t="s">
        <v>31</v>
      </c>
      <c r="F4416" t="s">
        <v>409</v>
      </c>
      <c r="G4416">
        <v>2</v>
      </c>
      <c r="H4416" s="7">
        <v>320.51</v>
      </c>
      <c r="I4416" t="s">
        <v>64</v>
      </c>
      <c r="J4416" t="s">
        <v>28</v>
      </c>
      <c r="K4416">
        <v>5</v>
      </c>
      <c r="L4416" s="7">
        <f t="shared" si="205"/>
        <v>641.02</v>
      </c>
      <c r="M4416" s="7"/>
      <c r="O4416">
        <f t="shared" si="206"/>
        <v>2</v>
      </c>
      <c r="Q4416" t="s">
        <v>65</v>
      </c>
    </row>
    <row r="4417" spans="1:17" x14ac:dyDescent="0.3">
      <c r="A4417" t="s">
        <v>5547</v>
      </c>
      <c r="B4417" s="6">
        <v>45002</v>
      </c>
      <c r="C4417" s="6" t="str">
        <f t="shared" si="204"/>
        <v>Mar</v>
      </c>
      <c r="D4417" t="s">
        <v>1433</v>
      </c>
      <c r="E4417" t="s">
        <v>50</v>
      </c>
      <c r="F4417" t="s">
        <v>45</v>
      </c>
      <c r="G4417">
        <v>8</v>
      </c>
      <c r="H4417" s="7">
        <v>359.6</v>
      </c>
      <c r="I4417" t="s">
        <v>32</v>
      </c>
      <c r="J4417" t="s">
        <v>72</v>
      </c>
      <c r="K4417">
        <v>10</v>
      </c>
      <c r="L4417" s="7">
        <f t="shared" si="205"/>
        <v>2876.8</v>
      </c>
      <c r="M4417" s="7"/>
      <c r="O4417">
        <f t="shared" si="206"/>
        <v>3</v>
      </c>
      <c r="Q4417" t="s">
        <v>33</v>
      </c>
    </row>
    <row r="4418" spans="1:17" x14ac:dyDescent="0.3">
      <c r="A4418" t="s">
        <v>5548</v>
      </c>
      <c r="B4418" s="6">
        <v>45007</v>
      </c>
      <c r="C4418" s="6" t="str">
        <f t="shared" si="204"/>
        <v>Mar</v>
      </c>
      <c r="D4418" t="s">
        <v>5254</v>
      </c>
      <c r="E4418" t="s">
        <v>62</v>
      </c>
      <c r="F4418" t="s">
        <v>520</v>
      </c>
      <c r="G4418">
        <v>9</v>
      </c>
      <c r="H4418" s="7">
        <v>116.01</v>
      </c>
      <c r="I4418" t="s">
        <v>64</v>
      </c>
      <c r="J4418" t="s">
        <v>72</v>
      </c>
      <c r="K4418">
        <v>10</v>
      </c>
      <c r="L4418" s="7">
        <f t="shared" si="205"/>
        <v>1044.0900000000001</v>
      </c>
      <c r="M4418" s="7"/>
      <c r="O4418">
        <f t="shared" si="206"/>
        <v>2</v>
      </c>
      <c r="Q4418" t="s">
        <v>65</v>
      </c>
    </row>
    <row r="4419" spans="1:17" x14ac:dyDescent="0.3">
      <c r="A4419" t="s">
        <v>5549</v>
      </c>
      <c r="B4419" s="6">
        <v>44961</v>
      </c>
      <c r="C4419" s="6" t="str">
        <f t="shared" ref="C4419:C4482" si="207">TEXT(B4419,"MMM")</f>
        <v>Feb</v>
      </c>
      <c r="D4419" t="s">
        <v>300</v>
      </c>
      <c r="E4419" t="s">
        <v>40</v>
      </c>
      <c r="F4419" t="s">
        <v>665</v>
      </c>
      <c r="G4419">
        <v>5</v>
      </c>
      <c r="H4419" s="7">
        <v>53.73</v>
      </c>
      <c r="I4419" t="s">
        <v>21</v>
      </c>
      <c r="J4419" t="s">
        <v>72</v>
      </c>
      <c r="K4419">
        <v>5</v>
      </c>
      <c r="L4419" s="7">
        <f t="shared" ref="L4419:L4482" si="208">G4419*H4419</f>
        <v>268.64999999999998</v>
      </c>
      <c r="M4419" s="7"/>
      <c r="O4419">
        <f t="shared" si="206"/>
        <v>2</v>
      </c>
      <c r="Q4419" t="s">
        <v>23</v>
      </c>
    </row>
    <row r="4420" spans="1:17" x14ac:dyDescent="0.3">
      <c r="A4420" t="s">
        <v>5550</v>
      </c>
      <c r="B4420" s="6">
        <v>45095</v>
      </c>
      <c r="C4420" s="6" t="str">
        <f t="shared" si="207"/>
        <v>Jun</v>
      </c>
      <c r="D4420" t="s">
        <v>2912</v>
      </c>
      <c r="E4420" t="s">
        <v>50</v>
      </c>
      <c r="F4420" t="s">
        <v>273</v>
      </c>
      <c r="G4420">
        <v>4</v>
      </c>
      <c r="H4420" s="7">
        <v>458.82</v>
      </c>
      <c r="I4420" t="s">
        <v>64</v>
      </c>
      <c r="J4420" t="s">
        <v>42</v>
      </c>
      <c r="K4420">
        <v>20</v>
      </c>
      <c r="L4420" s="7">
        <f t="shared" si="208"/>
        <v>1835.28</v>
      </c>
      <c r="M4420" s="7"/>
      <c r="O4420">
        <f t="shared" ref="O4420:O4483" si="209">IF(L4420&gt;3500,5,IF(L4420&gt;3000,4,IF(L4420&gt;2500,3,IF(L4420&gt;2000,2,IF(L4420&gt;1000,2,2)))))</f>
        <v>2</v>
      </c>
      <c r="Q4420" t="s">
        <v>65</v>
      </c>
    </row>
    <row r="4421" spans="1:17" x14ac:dyDescent="0.3">
      <c r="A4421" t="s">
        <v>5551</v>
      </c>
      <c r="B4421" s="6">
        <v>45172</v>
      </c>
      <c r="C4421" s="6" t="str">
        <f t="shared" si="207"/>
        <v>Sep</v>
      </c>
      <c r="D4421" t="s">
        <v>490</v>
      </c>
      <c r="E4421" t="s">
        <v>19</v>
      </c>
      <c r="F4421" t="s">
        <v>517</v>
      </c>
      <c r="G4421">
        <v>6</v>
      </c>
      <c r="H4421" s="7">
        <v>282.29000000000002</v>
      </c>
      <c r="I4421" t="s">
        <v>103</v>
      </c>
      <c r="J4421" t="s">
        <v>28</v>
      </c>
      <c r="K4421">
        <v>15</v>
      </c>
      <c r="L4421" s="7">
        <f t="shared" si="208"/>
        <v>1693.7400000000002</v>
      </c>
      <c r="M4421" s="7"/>
      <c r="O4421">
        <f t="shared" si="209"/>
        <v>2</v>
      </c>
      <c r="Q4421" t="s">
        <v>104</v>
      </c>
    </row>
    <row r="4422" spans="1:17" x14ac:dyDescent="0.3">
      <c r="A4422" t="s">
        <v>5552</v>
      </c>
      <c r="B4422" s="6">
        <v>45066</v>
      </c>
      <c r="C4422" s="6" t="str">
        <f t="shared" si="207"/>
        <v>May</v>
      </c>
      <c r="D4422" t="s">
        <v>1067</v>
      </c>
      <c r="E4422" t="s">
        <v>26</v>
      </c>
      <c r="F4422" t="s">
        <v>198</v>
      </c>
      <c r="G4422">
        <v>8</v>
      </c>
      <c r="H4422" s="7">
        <v>81.14</v>
      </c>
      <c r="I4422" t="s">
        <v>32</v>
      </c>
      <c r="J4422" t="s">
        <v>19</v>
      </c>
      <c r="K4422">
        <v>20</v>
      </c>
      <c r="L4422" s="7">
        <f t="shared" si="208"/>
        <v>649.12</v>
      </c>
      <c r="M4422" s="7"/>
      <c r="O4422">
        <f t="shared" si="209"/>
        <v>2</v>
      </c>
      <c r="Q4422" t="s">
        <v>33</v>
      </c>
    </row>
    <row r="4423" spans="1:17" x14ac:dyDescent="0.3">
      <c r="A4423" t="s">
        <v>5553</v>
      </c>
      <c r="B4423" s="6">
        <v>45000</v>
      </c>
      <c r="C4423" s="6" t="str">
        <f t="shared" si="207"/>
        <v>Mar</v>
      </c>
      <c r="D4423" t="s">
        <v>2467</v>
      </c>
      <c r="E4423" t="s">
        <v>19</v>
      </c>
      <c r="F4423" t="s">
        <v>807</v>
      </c>
      <c r="G4423">
        <v>3</v>
      </c>
      <c r="H4423" s="7">
        <v>397.75</v>
      </c>
      <c r="I4423" t="s">
        <v>32</v>
      </c>
      <c r="J4423" t="s">
        <v>87</v>
      </c>
      <c r="K4423">
        <v>5</v>
      </c>
      <c r="L4423" s="7">
        <f t="shared" si="208"/>
        <v>1193.25</v>
      </c>
      <c r="M4423" s="7"/>
      <c r="O4423">
        <f t="shared" si="209"/>
        <v>2</v>
      </c>
      <c r="Q4423" t="s">
        <v>33</v>
      </c>
    </row>
    <row r="4424" spans="1:17" x14ac:dyDescent="0.3">
      <c r="A4424" t="s">
        <v>5554</v>
      </c>
      <c r="B4424" s="6">
        <v>45092</v>
      </c>
      <c r="C4424" s="6" t="str">
        <f t="shared" si="207"/>
        <v>Jun</v>
      </c>
      <c r="D4424" t="s">
        <v>321</v>
      </c>
      <c r="E4424" t="s">
        <v>31</v>
      </c>
      <c r="F4424" t="s">
        <v>412</v>
      </c>
      <c r="G4424">
        <v>1</v>
      </c>
      <c r="H4424" s="7">
        <v>457.89</v>
      </c>
      <c r="I4424" t="s">
        <v>21</v>
      </c>
      <c r="J4424" t="s">
        <v>22</v>
      </c>
      <c r="K4424">
        <v>0</v>
      </c>
      <c r="L4424" s="7">
        <f t="shared" si="208"/>
        <v>457.89</v>
      </c>
      <c r="M4424" s="7"/>
      <c r="O4424">
        <f t="shared" si="209"/>
        <v>2</v>
      </c>
      <c r="Q4424" t="s">
        <v>23</v>
      </c>
    </row>
    <row r="4425" spans="1:17" x14ac:dyDescent="0.3">
      <c r="A4425" t="s">
        <v>5555</v>
      </c>
      <c r="B4425" s="6">
        <v>45120</v>
      </c>
      <c r="C4425" s="6" t="str">
        <f t="shared" si="207"/>
        <v>Jul</v>
      </c>
      <c r="D4425" t="s">
        <v>1498</v>
      </c>
      <c r="E4425" t="s">
        <v>62</v>
      </c>
      <c r="F4425" t="s">
        <v>406</v>
      </c>
      <c r="G4425">
        <v>4</v>
      </c>
      <c r="H4425" s="7">
        <v>88.93</v>
      </c>
      <c r="I4425" t="s">
        <v>19</v>
      </c>
      <c r="J4425" t="s">
        <v>19</v>
      </c>
      <c r="K4425">
        <v>15</v>
      </c>
      <c r="L4425" s="7">
        <f t="shared" si="208"/>
        <v>355.72</v>
      </c>
      <c r="M4425" s="7"/>
      <c r="O4425">
        <f t="shared" si="209"/>
        <v>2</v>
      </c>
      <c r="Q4425" t="s">
        <v>19</v>
      </c>
    </row>
    <row r="4426" spans="1:17" x14ac:dyDescent="0.3">
      <c r="A4426" t="s">
        <v>5556</v>
      </c>
      <c r="B4426" s="6">
        <v>44958</v>
      </c>
      <c r="C4426" s="6" t="str">
        <f t="shared" si="207"/>
        <v>Feb</v>
      </c>
      <c r="D4426" t="s">
        <v>537</v>
      </c>
      <c r="E4426" t="s">
        <v>26</v>
      </c>
      <c r="F4426" t="s">
        <v>375</v>
      </c>
      <c r="G4426">
        <v>4</v>
      </c>
      <c r="H4426" s="7">
        <v>409.62</v>
      </c>
      <c r="I4426" t="s">
        <v>103</v>
      </c>
      <c r="J4426" t="s">
        <v>87</v>
      </c>
      <c r="K4426">
        <v>15</v>
      </c>
      <c r="L4426" s="7">
        <f t="shared" si="208"/>
        <v>1638.48</v>
      </c>
      <c r="M4426" s="7"/>
      <c r="O4426">
        <f t="shared" si="209"/>
        <v>2</v>
      </c>
      <c r="Q4426" t="s">
        <v>104</v>
      </c>
    </row>
    <row r="4427" spans="1:17" x14ac:dyDescent="0.3">
      <c r="A4427" t="s">
        <v>5557</v>
      </c>
      <c r="B4427" s="6">
        <v>45185</v>
      </c>
      <c r="C4427" s="6" t="str">
        <f t="shared" si="207"/>
        <v>Sep</v>
      </c>
      <c r="D4427" t="s">
        <v>1838</v>
      </c>
      <c r="E4427" t="s">
        <v>31</v>
      </c>
      <c r="F4427" t="s">
        <v>110</v>
      </c>
      <c r="G4427">
        <v>1</v>
      </c>
      <c r="H4427" s="7">
        <v>466.95</v>
      </c>
      <c r="I4427" t="s">
        <v>103</v>
      </c>
      <c r="J4427" t="s">
        <v>42</v>
      </c>
      <c r="K4427">
        <v>5</v>
      </c>
      <c r="L4427" s="7">
        <f t="shared" si="208"/>
        <v>466.95</v>
      </c>
      <c r="M4427" s="7"/>
      <c r="O4427">
        <f t="shared" si="209"/>
        <v>2</v>
      </c>
      <c r="Q4427" t="s">
        <v>104</v>
      </c>
    </row>
    <row r="4428" spans="1:17" x14ac:dyDescent="0.3">
      <c r="A4428" t="s">
        <v>5558</v>
      </c>
      <c r="B4428" s="6">
        <v>45214</v>
      </c>
      <c r="C4428" s="6" t="str">
        <f t="shared" si="207"/>
        <v>Oct</v>
      </c>
      <c r="D4428" t="s">
        <v>793</v>
      </c>
      <c r="E4428" t="s">
        <v>26</v>
      </c>
      <c r="F4428" t="s">
        <v>284</v>
      </c>
      <c r="G4428">
        <v>9</v>
      </c>
      <c r="H4428" s="7">
        <v>469.49</v>
      </c>
      <c r="I4428" t="s">
        <v>32</v>
      </c>
      <c r="J4428" t="s">
        <v>72</v>
      </c>
      <c r="K4428">
        <v>10</v>
      </c>
      <c r="L4428" s="7">
        <f t="shared" si="208"/>
        <v>4225.41</v>
      </c>
      <c r="M4428" s="7"/>
      <c r="O4428">
        <f t="shared" si="209"/>
        <v>5</v>
      </c>
      <c r="Q4428" t="s">
        <v>33</v>
      </c>
    </row>
    <row r="4429" spans="1:17" x14ac:dyDescent="0.3">
      <c r="A4429" t="s">
        <v>5559</v>
      </c>
      <c r="B4429" s="6">
        <v>45146</v>
      </c>
      <c r="C4429" s="6" t="str">
        <f t="shared" si="207"/>
        <v>Aug</v>
      </c>
      <c r="D4429" t="s">
        <v>144</v>
      </c>
      <c r="E4429" t="s">
        <v>50</v>
      </c>
      <c r="F4429" t="s">
        <v>319</v>
      </c>
      <c r="G4429">
        <v>3</v>
      </c>
      <c r="H4429" s="7">
        <v>457.51</v>
      </c>
      <c r="I4429" t="s">
        <v>46</v>
      </c>
      <c r="J4429" t="s">
        <v>28</v>
      </c>
      <c r="K4429">
        <v>10</v>
      </c>
      <c r="L4429" s="7">
        <f t="shared" si="208"/>
        <v>1372.53</v>
      </c>
      <c r="M4429" s="7"/>
      <c r="O4429">
        <f t="shared" si="209"/>
        <v>2</v>
      </c>
      <c r="Q4429" t="s">
        <v>47</v>
      </c>
    </row>
    <row r="4430" spans="1:17" x14ac:dyDescent="0.3">
      <c r="A4430" t="s">
        <v>5560</v>
      </c>
      <c r="B4430" s="6">
        <v>45056</v>
      </c>
      <c r="C4430" s="6" t="str">
        <f t="shared" si="207"/>
        <v>May</v>
      </c>
      <c r="D4430" t="s">
        <v>2793</v>
      </c>
      <c r="E4430" t="s">
        <v>19</v>
      </c>
      <c r="F4430" t="s">
        <v>134</v>
      </c>
      <c r="G4430">
        <v>5</v>
      </c>
      <c r="H4430" s="7">
        <v>275.48</v>
      </c>
      <c r="I4430" t="s">
        <v>46</v>
      </c>
      <c r="J4430" t="s">
        <v>22</v>
      </c>
      <c r="K4430">
        <v>20</v>
      </c>
      <c r="L4430" s="7">
        <f t="shared" si="208"/>
        <v>1377.4</v>
      </c>
      <c r="M4430" s="7"/>
      <c r="O4430">
        <f t="shared" si="209"/>
        <v>2</v>
      </c>
      <c r="Q4430" t="s">
        <v>47</v>
      </c>
    </row>
    <row r="4431" spans="1:17" x14ac:dyDescent="0.3">
      <c r="A4431" t="s">
        <v>5561</v>
      </c>
      <c r="B4431" s="6">
        <v>45084</v>
      </c>
      <c r="C4431" s="6" t="str">
        <f t="shared" si="207"/>
        <v>Jun</v>
      </c>
      <c r="D4431" t="s">
        <v>2754</v>
      </c>
      <c r="E4431" t="s">
        <v>36</v>
      </c>
      <c r="F4431" t="s">
        <v>627</v>
      </c>
      <c r="G4431">
        <v>6</v>
      </c>
      <c r="H4431" s="7">
        <v>252.16</v>
      </c>
      <c r="I4431" t="s">
        <v>103</v>
      </c>
      <c r="J4431" t="s">
        <v>72</v>
      </c>
      <c r="K4431">
        <v>5</v>
      </c>
      <c r="L4431" s="7">
        <f t="shared" si="208"/>
        <v>1512.96</v>
      </c>
      <c r="M4431" s="7"/>
      <c r="O4431">
        <f t="shared" si="209"/>
        <v>2</v>
      </c>
      <c r="Q4431" t="s">
        <v>104</v>
      </c>
    </row>
    <row r="4432" spans="1:17" x14ac:dyDescent="0.3">
      <c r="A4432" t="s">
        <v>5562</v>
      </c>
      <c r="B4432" s="6">
        <v>45236</v>
      </c>
      <c r="C4432" s="6" t="str">
        <f t="shared" si="207"/>
        <v>Nov</v>
      </c>
      <c r="D4432" t="s">
        <v>3225</v>
      </c>
      <c r="E4432" t="s">
        <v>36</v>
      </c>
      <c r="F4432" t="s">
        <v>1568</v>
      </c>
      <c r="G4432">
        <v>8</v>
      </c>
      <c r="H4432" s="7">
        <v>8.6</v>
      </c>
      <c r="I4432" t="s">
        <v>64</v>
      </c>
      <c r="J4432" t="s">
        <v>72</v>
      </c>
      <c r="K4432">
        <v>15</v>
      </c>
      <c r="L4432" s="7">
        <f t="shared" si="208"/>
        <v>68.8</v>
      </c>
      <c r="M4432" s="7"/>
      <c r="O4432">
        <f t="shared" si="209"/>
        <v>2</v>
      </c>
      <c r="Q4432" t="s">
        <v>65</v>
      </c>
    </row>
    <row r="4433" spans="1:17" x14ac:dyDescent="0.3">
      <c r="A4433" t="s">
        <v>5563</v>
      </c>
      <c r="B4433" s="6">
        <v>45161</v>
      </c>
      <c r="C4433" s="6" t="str">
        <f t="shared" si="207"/>
        <v>Aug</v>
      </c>
      <c r="D4433" t="s">
        <v>2158</v>
      </c>
      <c r="E4433" t="s">
        <v>62</v>
      </c>
      <c r="F4433" t="s">
        <v>170</v>
      </c>
      <c r="G4433">
        <v>6</v>
      </c>
      <c r="H4433" s="7">
        <v>35.15</v>
      </c>
      <c r="I4433" t="s">
        <v>103</v>
      </c>
      <c r="J4433" t="s">
        <v>87</v>
      </c>
      <c r="K4433">
        <v>5</v>
      </c>
      <c r="L4433" s="7">
        <f t="shared" si="208"/>
        <v>210.89999999999998</v>
      </c>
      <c r="M4433" s="7"/>
      <c r="O4433">
        <f t="shared" si="209"/>
        <v>2</v>
      </c>
      <c r="Q4433" t="s">
        <v>104</v>
      </c>
    </row>
    <row r="4434" spans="1:17" x14ac:dyDescent="0.3">
      <c r="A4434" t="s">
        <v>5564</v>
      </c>
      <c r="B4434" s="6">
        <v>44993</v>
      </c>
      <c r="C4434" s="6" t="str">
        <f t="shared" si="207"/>
        <v>Mar</v>
      </c>
      <c r="D4434" t="s">
        <v>496</v>
      </c>
      <c r="E4434" t="s">
        <v>26</v>
      </c>
      <c r="F4434" t="s">
        <v>322</v>
      </c>
      <c r="G4434">
        <v>3</v>
      </c>
      <c r="H4434" s="7">
        <v>217.28</v>
      </c>
      <c r="I4434" t="s">
        <v>103</v>
      </c>
      <c r="J4434" t="s">
        <v>87</v>
      </c>
      <c r="K4434">
        <v>15</v>
      </c>
      <c r="L4434" s="7">
        <f t="shared" si="208"/>
        <v>651.84</v>
      </c>
      <c r="M4434" s="7"/>
      <c r="O4434">
        <f t="shared" si="209"/>
        <v>2</v>
      </c>
      <c r="Q4434" t="s">
        <v>104</v>
      </c>
    </row>
    <row r="4435" spans="1:17" x14ac:dyDescent="0.3">
      <c r="A4435" t="s">
        <v>5565</v>
      </c>
      <c r="B4435" s="6">
        <v>45278</v>
      </c>
      <c r="C4435" s="6" t="str">
        <f t="shared" si="207"/>
        <v>Dec</v>
      </c>
      <c r="D4435" t="s">
        <v>1821</v>
      </c>
      <c r="E4435" t="s">
        <v>19</v>
      </c>
      <c r="F4435" t="s">
        <v>341</v>
      </c>
      <c r="G4435">
        <v>6</v>
      </c>
      <c r="H4435" s="7">
        <v>202.67</v>
      </c>
      <c r="I4435" t="s">
        <v>64</v>
      </c>
      <c r="J4435" t="s">
        <v>87</v>
      </c>
      <c r="K4435">
        <v>20</v>
      </c>
      <c r="L4435" s="7">
        <f t="shared" si="208"/>
        <v>1216.02</v>
      </c>
      <c r="M4435" s="7"/>
      <c r="O4435">
        <f t="shared" si="209"/>
        <v>2</v>
      </c>
      <c r="Q4435" t="s">
        <v>65</v>
      </c>
    </row>
    <row r="4436" spans="1:17" x14ac:dyDescent="0.3">
      <c r="A4436" t="s">
        <v>5566</v>
      </c>
      <c r="B4436" s="6">
        <v>45216</v>
      </c>
      <c r="C4436" s="6" t="str">
        <f t="shared" si="207"/>
        <v>Oct</v>
      </c>
      <c r="D4436" t="s">
        <v>1692</v>
      </c>
      <c r="E4436" t="s">
        <v>40</v>
      </c>
      <c r="F4436" t="s">
        <v>185</v>
      </c>
      <c r="G4436">
        <v>1</v>
      </c>
      <c r="H4436" s="7">
        <v>96.43</v>
      </c>
      <c r="I4436" t="s">
        <v>46</v>
      </c>
      <c r="J4436" t="s">
        <v>72</v>
      </c>
      <c r="K4436">
        <v>0</v>
      </c>
      <c r="L4436" s="7">
        <f t="shared" si="208"/>
        <v>96.43</v>
      </c>
      <c r="M4436" s="7"/>
      <c r="O4436">
        <f t="shared" si="209"/>
        <v>2</v>
      </c>
      <c r="Q4436" t="s">
        <v>47</v>
      </c>
    </row>
    <row r="4437" spans="1:17" x14ac:dyDescent="0.3">
      <c r="A4437" t="s">
        <v>5567</v>
      </c>
      <c r="B4437" s="6">
        <v>45273</v>
      </c>
      <c r="C4437" s="6" t="str">
        <f t="shared" si="207"/>
        <v>Dec</v>
      </c>
      <c r="D4437" t="s">
        <v>385</v>
      </c>
      <c r="E4437" t="s">
        <v>31</v>
      </c>
      <c r="F4437" t="s">
        <v>586</v>
      </c>
      <c r="G4437">
        <v>4</v>
      </c>
      <c r="H4437" s="7">
        <v>200.76</v>
      </c>
      <c r="I4437" t="s">
        <v>32</v>
      </c>
      <c r="J4437" t="s">
        <v>72</v>
      </c>
      <c r="K4437">
        <v>0</v>
      </c>
      <c r="L4437" s="7">
        <f t="shared" si="208"/>
        <v>803.04</v>
      </c>
      <c r="M4437" s="7"/>
      <c r="O4437">
        <f t="shared" si="209"/>
        <v>2</v>
      </c>
      <c r="Q4437" t="s">
        <v>33</v>
      </c>
    </row>
    <row r="4438" spans="1:17" x14ac:dyDescent="0.3">
      <c r="A4438" t="s">
        <v>5568</v>
      </c>
      <c r="B4438" s="6">
        <v>45141</v>
      </c>
      <c r="C4438" s="6" t="str">
        <f t="shared" si="207"/>
        <v>Aug</v>
      </c>
      <c r="D4438" t="s">
        <v>53</v>
      </c>
      <c r="E4438" t="s">
        <v>36</v>
      </c>
      <c r="F4438" t="s">
        <v>749</v>
      </c>
      <c r="G4438">
        <v>6</v>
      </c>
      <c r="H4438" s="7">
        <v>91.45</v>
      </c>
      <c r="I4438" t="s">
        <v>19</v>
      </c>
      <c r="J4438" t="s">
        <v>87</v>
      </c>
      <c r="K4438">
        <v>5</v>
      </c>
      <c r="L4438" s="7">
        <f t="shared" si="208"/>
        <v>548.70000000000005</v>
      </c>
      <c r="M4438" s="7"/>
      <c r="O4438">
        <f t="shared" si="209"/>
        <v>2</v>
      </c>
      <c r="Q4438" t="s">
        <v>19</v>
      </c>
    </row>
    <row r="4439" spans="1:17" x14ac:dyDescent="0.3">
      <c r="A4439" t="s">
        <v>5569</v>
      </c>
      <c r="B4439" s="6">
        <v>45120</v>
      </c>
      <c r="C4439" s="6" t="str">
        <f t="shared" si="207"/>
        <v>Jul</v>
      </c>
      <c r="D4439" t="s">
        <v>302</v>
      </c>
      <c r="E4439" t="s">
        <v>19</v>
      </c>
      <c r="F4439" t="s">
        <v>434</v>
      </c>
      <c r="G4439">
        <v>7</v>
      </c>
      <c r="H4439" s="7">
        <v>425.15</v>
      </c>
      <c r="I4439" t="s">
        <v>19</v>
      </c>
      <c r="J4439" t="s">
        <v>19</v>
      </c>
      <c r="K4439">
        <v>15</v>
      </c>
      <c r="L4439" s="7">
        <f t="shared" si="208"/>
        <v>2976.0499999999997</v>
      </c>
      <c r="M4439" s="7"/>
      <c r="O4439">
        <f t="shared" si="209"/>
        <v>3</v>
      </c>
      <c r="Q4439" t="s">
        <v>19</v>
      </c>
    </row>
    <row r="4440" spans="1:17" x14ac:dyDescent="0.3">
      <c r="A4440" t="s">
        <v>5570</v>
      </c>
      <c r="B4440" s="6">
        <v>45104</v>
      </c>
      <c r="C4440" s="6" t="str">
        <f t="shared" si="207"/>
        <v>Jun</v>
      </c>
      <c r="D4440" t="s">
        <v>1263</v>
      </c>
      <c r="E4440" t="s">
        <v>50</v>
      </c>
      <c r="F4440" t="s">
        <v>499</v>
      </c>
      <c r="G4440">
        <v>3</v>
      </c>
      <c r="H4440" s="7">
        <v>152.61000000000001</v>
      </c>
      <c r="I4440" t="s">
        <v>32</v>
      </c>
      <c r="J4440" t="s">
        <v>72</v>
      </c>
      <c r="K4440">
        <v>0</v>
      </c>
      <c r="L4440" s="7">
        <f t="shared" si="208"/>
        <v>457.83000000000004</v>
      </c>
      <c r="M4440" s="7"/>
      <c r="O4440">
        <f t="shared" si="209"/>
        <v>2</v>
      </c>
      <c r="Q4440" t="s">
        <v>33</v>
      </c>
    </row>
    <row r="4441" spans="1:17" x14ac:dyDescent="0.3">
      <c r="A4441" t="s">
        <v>5571</v>
      </c>
      <c r="B4441" s="6">
        <v>44940</v>
      </c>
      <c r="C4441" s="6" t="str">
        <f t="shared" si="207"/>
        <v>Jan</v>
      </c>
      <c r="D4441" t="s">
        <v>1466</v>
      </c>
      <c r="E4441" t="s">
        <v>31</v>
      </c>
      <c r="F4441" t="s">
        <v>154</v>
      </c>
      <c r="G4441">
        <v>9</v>
      </c>
      <c r="H4441" s="7">
        <v>301.29000000000002</v>
      </c>
      <c r="I4441" t="s">
        <v>103</v>
      </c>
      <c r="J4441" t="s">
        <v>72</v>
      </c>
      <c r="K4441">
        <v>15</v>
      </c>
      <c r="L4441" s="7">
        <f t="shared" si="208"/>
        <v>2711.61</v>
      </c>
      <c r="M4441" s="7"/>
      <c r="O4441">
        <f t="shared" si="209"/>
        <v>3</v>
      </c>
      <c r="Q4441" t="s">
        <v>104</v>
      </c>
    </row>
    <row r="4442" spans="1:17" x14ac:dyDescent="0.3">
      <c r="A4442" t="s">
        <v>5572</v>
      </c>
      <c r="B4442" s="6">
        <v>45217</v>
      </c>
      <c r="C4442" s="6" t="str">
        <f t="shared" si="207"/>
        <v>Oct</v>
      </c>
      <c r="D4442" t="s">
        <v>656</v>
      </c>
      <c r="E4442" t="s">
        <v>31</v>
      </c>
      <c r="F4442" t="s">
        <v>504</v>
      </c>
      <c r="G4442">
        <v>7</v>
      </c>
      <c r="H4442" s="7">
        <v>253.91</v>
      </c>
      <c r="I4442" t="s">
        <v>64</v>
      </c>
      <c r="J4442" t="s">
        <v>87</v>
      </c>
      <c r="K4442">
        <v>20</v>
      </c>
      <c r="L4442" s="7">
        <f t="shared" si="208"/>
        <v>1777.37</v>
      </c>
      <c r="M4442" s="7"/>
      <c r="O4442">
        <f t="shared" si="209"/>
        <v>2</v>
      </c>
      <c r="Q4442" t="s">
        <v>65</v>
      </c>
    </row>
    <row r="4443" spans="1:17" x14ac:dyDescent="0.3">
      <c r="A4443" t="s">
        <v>5573</v>
      </c>
      <c r="B4443" s="6">
        <v>45265</v>
      </c>
      <c r="C4443" s="6" t="str">
        <f t="shared" si="207"/>
        <v>Dec</v>
      </c>
      <c r="D4443" t="s">
        <v>2897</v>
      </c>
      <c r="E4443" t="s">
        <v>40</v>
      </c>
      <c r="F4443" t="s">
        <v>665</v>
      </c>
      <c r="G4443">
        <v>1</v>
      </c>
      <c r="H4443" s="7">
        <v>30.68</v>
      </c>
      <c r="I4443" t="s">
        <v>103</v>
      </c>
      <c r="J4443" t="s">
        <v>28</v>
      </c>
      <c r="K4443">
        <v>5</v>
      </c>
      <c r="L4443" s="7">
        <f t="shared" si="208"/>
        <v>30.68</v>
      </c>
      <c r="M4443" s="7"/>
      <c r="O4443">
        <f t="shared" si="209"/>
        <v>2</v>
      </c>
      <c r="Q4443" t="s">
        <v>104</v>
      </c>
    </row>
    <row r="4444" spans="1:17" x14ac:dyDescent="0.3">
      <c r="A4444" t="s">
        <v>5574</v>
      </c>
      <c r="B4444" s="6">
        <v>44927</v>
      </c>
      <c r="C4444" s="6" t="str">
        <f t="shared" si="207"/>
        <v>Jan</v>
      </c>
      <c r="D4444" t="s">
        <v>444</v>
      </c>
      <c r="E4444" t="s">
        <v>31</v>
      </c>
      <c r="F4444" t="s">
        <v>217</v>
      </c>
      <c r="G4444">
        <v>2</v>
      </c>
      <c r="H4444" s="7">
        <v>471.41</v>
      </c>
      <c r="I4444" t="s">
        <v>21</v>
      </c>
      <c r="J4444" t="s">
        <v>72</v>
      </c>
      <c r="K4444">
        <v>15</v>
      </c>
      <c r="L4444" s="7">
        <f t="shared" si="208"/>
        <v>942.82</v>
      </c>
      <c r="M4444" s="7"/>
      <c r="O4444">
        <f t="shared" si="209"/>
        <v>2</v>
      </c>
      <c r="Q4444" t="s">
        <v>23</v>
      </c>
    </row>
    <row r="4445" spans="1:17" x14ac:dyDescent="0.3">
      <c r="A4445" t="s">
        <v>5575</v>
      </c>
      <c r="B4445" s="6">
        <v>45223</v>
      </c>
      <c r="C4445" s="6" t="str">
        <f t="shared" si="207"/>
        <v>Oct</v>
      </c>
      <c r="D4445" t="s">
        <v>3225</v>
      </c>
      <c r="E4445" t="s">
        <v>62</v>
      </c>
      <c r="F4445" t="s">
        <v>732</v>
      </c>
      <c r="G4445">
        <v>1</v>
      </c>
      <c r="H4445" s="7">
        <v>252.16</v>
      </c>
      <c r="I4445" t="s">
        <v>19</v>
      </c>
      <c r="J4445" t="s">
        <v>19</v>
      </c>
      <c r="K4445">
        <v>5</v>
      </c>
      <c r="L4445" s="7">
        <f t="shared" si="208"/>
        <v>252.16</v>
      </c>
      <c r="M4445" s="7"/>
      <c r="O4445">
        <f t="shared" si="209"/>
        <v>2</v>
      </c>
      <c r="Q4445" t="s">
        <v>19</v>
      </c>
    </row>
    <row r="4446" spans="1:17" x14ac:dyDescent="0.3">
      <c r="A4446" t="s">
        <v>5576</v>
      </c>
      <c r="B4446" s="6">
        <v>45273</v>
      </c>
      <c r="C4446" s="6" t="str">
        <f t="shared" si="207"/>
        <v>Dec</v>
      </c>
      <c r="D4446" t="s">
        <v>233</v>
      </c>
      <c r="E4446" t="s">
        <v>19</v>
      </c>
      <c r="F4446" t="s">
        <v>90</v>
      </c>
      <c r="G4446">
        <v>9</v>
      </c>
      <c r="H4446" s="7">
        <v>165.9</v>
      </c>
      <c r="I4446" t="s">
        <v>19</v>
      </c>
      <c r="J4446" t="s">
        <v>42</v>
      </c>
      <c r="K4446">
        <v>15</v>
      </c>
      <c r="L4446" s="7">
        <f t="shared" si="208"/>
        <v>1493.1000000000001</v>
      </c>
      <c r="M4446" s="7"/>
      <c r="O4446">
        <f t="shared" si="209"/>
        <v>2</v>
      </c>
      <c r="Q4446" t="s">
        <v>19</v>
      </c>
    </row>
    <row r="4447" spans="1:17" x14ac:dyDescent="0.3">
      <c r="A4447" t="s">
        <v>5577</v>
      </c>
      <c r="B4447" s="6">
        <v>44945</v>
      </c>
      <c r="C4447" s="6" t="str">
        <f t="shared" si="207"/>
        <v>Jan</v>
      </c>
      <c r="D4447" t="s">
        <v>4063</v>
      </c>
      <c r="E4447" t="s">
        <v>36</v>
      </c>
      <c r="F4447" t="s">
        <v>386</v>
      </c>
      <c r="G4447">
        <v>9</v>
      </c>
      <c r="H4447" s="7">
        <v>83.27</v>
      </c>
      <c r="I4447" t="s">
        <v>21</v>
      </c>
      <c r="J4447" t="s">
        <v>42</v>
      </c>
      <c r="K4447">
        <v>10</v>
      </c>
      <c r="L4447" s="7">
        <f t="shared" si="208"/>
        <v>749.43</v>
      </c>
      <c r="M4447" s="7"/>
      <c r="O4447">
        <f t="shared" si="209"/>
        <v>2</v>
      </c>
      <c r="Q4447" t="s">
        <v>23</v>
      </c>
    </row>
    <row r="4448" spans="1:17" x14ac:dyDescent="0.3">
      <c r="A4448" t="s">
        <v>5578</v>
      </c>
      <c r="B4448" s="6">
        <v>45129</v>
      </c>
      <c r="C4448" s="6" t="str">
        <f t="shared" si="207"/>
        <v>Jul</v>
      </c>
      <c r="D4448" t="s">
        <v>1697</v>
      </c>
      <c r="E4448" t="s">
        <v>19</v>
      </c>
      <c r="F4448" t="s">
        <v>598</v>
      </c>
      <c r="G4448">
        <v>7</v>
      </c>
      <c r="H4448" s="7">
        <v>172.57</v>
      </c>
      <c r="I4448" t="s">
        <v>19</v>
      </c>
      <c r="J4448" t="s">
        <v>87</v>
      </c>
      <c r="K4448">
        <v>10</v>
      </c>
      <c r="L4448" s="7">
        <f t="shared" si="208"/>
        <v>1207.99</v>
      </c>
      <c r="M4448" s="7"/>
      <c r="O4448">
        <f t="shared" si="209"/>
        <v>2</v>
      </c>
      <c r="Q4448" t="s">
        <v>19</v>
      </c>
    </row>
    <row r="4449" spans="1:17" x14ac:dyDescent="0.3">
      <c r="A4449" t="s">
        <v>5579</v>
      </c>
      <c r="B4449" s="6">
        <v>45290</v>
      </c>
      <c r="C4449" s="6" t="str">
        <f t="shared" si="207"/>
        <v>Dec</v>
      </c>
      <c r="D4449" t="s">
        <v>614</v>
      </c>
      <c r="E4449" t="s">
        <v>40</v>
      </c>
      <c r="F4449" t="s">
        <v>975</v>
      </c>
      <c r="G4449">
        <v>3</v>
      </c>
      <c r="H4449" s="7">
        <v>15.15</v>
      </c>
      <c r="I4449" t="s">
        <v>46</v>
      </c>
      <c r="J4449" t="s">
        <v>42</v>
      </c>
      <c r="K4449">
        <v>15</v>
      </c>
      <c r="L4449" s="7">
        <f t="shared" si="208"/>
        <v>45.45</v>
      </c>
      <c r="M4449" s="7"/>
      <c r="O4449">
        <f t="shared" si="209"/>
        <v>2</v>
      </c>
      <c r="Q4449" t="s">
        <v>47</v>
      </c>
    </row>
    <row r="4450" spans="1:17" x14ac:dyDescent="0.3">
      <c r="A4450" t="s">
        <v>5580</v>
      </c>
      <c r="B4450" s="6">
        <v>44980</v>
      </c>
      <c r="C4450" s="6" t="str">
        <f t="shared" si="207"/>
        <v>Feb</v>
      </c>
      <c r="D4450" t="s">
        <v>1401</v>
      </c>
      <c r="E4450" t="s">
        <v>26</v>
      </c>
      <c r="F4450" t="s">
        <v>170</v>
      </c>
      <c r="G4450">
        <v>5</v>
      </c>
      <c r="H4450" s="7">
        <v>184.96</v>
      </c>
      <c r="I4450" t="s">
        <v>21</v>
      </c>
      <c r="J4450" t="s">
        <v>42</v>
      </c>
      <c r="K4450">
        <v>20</v>
      </c>
      <c r="L4450" s="7">
        <f t="shared" si="208"/>
        <v>924.80000000000007</v>
      </c>
      <c r="M4450" s="7"/>
      <c r="O4450">
        <f t="shared" si="209"/>
        <v>2</v>
      </c>
      <c r="Q4450" t="s">
        <v>23</v>
      </c>
    </row>
    <row r="4451" spans="1:17" x14ac:dyDescent="0.3">
      <c r="A4451" t="s">
        <v>5581</v>
      </c>
      <c r="B4451" s="6">
        <v>45246</v>
      </c>
      <c r="C4451" s="6" t="str">
        <f t="shared" si="207"/>
        <v>Nov</v>
      </c>
      <c r="D4451" t="s">
        <v>124</v>
      </c>
      <c r="E4451" t="s">
        <v>19</v>
      </c>
      <c r="F4451" t="s">
        <v>328</v>
      </c>
      <c r="G4451">
        <v>4</v>
      </c>
      <c r="H4451" s="7">
        <v>268.08999999999997</v>
      </c>
      <c r="I4451" t="s">
        <v>19</v>
      </c>
      <c r="J4451" t="s">
        <v>72</v>
      </c>
      <c r="K4451">
        <v>5</v>
      </c>
      <c r="L4451" s="7">
        <f t="shared" si="208"/>
        <v>1072.3599999999999</v>
      </c>
      <c r="M4451" s="7"/>
      <c r="O4451">
        <f t="shared" si="209"/>
        <v>2</v>
      </c>
      <c r="Q4451" t="s">
        <v>19</v>
      </c>
    </row>
    <row r="4452" spans="1:17" x14ac:dyDescent="0.3">
      <c r="A4452" t="s">
        <v>5582</v>
      </c>
      <c r="B4452" s="6">
        <v>44964</v>
      </c>
      <c r="C4452" s="6" t="str">
        <f t="shared" si="207"/>
        <v>Feb</v>
      </c>
      <c r="D4452" t="s">
        <v>951</v>
      </c>
      <c r="E4452" t="s">
        <v>50</v>
      </c>
      <c r="F4452" t="s">
        <v>234</v>
      </c>
      <c r="G4452">
        <v>7</v>
      </c>
      <c r="H4452" s="7">
        <v>252.16</v>
      </c>
      <c r="I4452" t="s">
        <v>64</v>
      </c>
      <c r="J4452" t="s">
        <v>72</v>
      </c>
      <c r="K4452">
        <v>10</v>
      </c>
      <c r="L4452" s="7">
        <f t="shared" si="208"/>
        <v>1765.12</v>
      </c>
      <c r="M4452" s="7"/>
      <c r="O4452">
        <f t="shared" si="209"/>
        <v>2</v>
      </c>
      <c r="Q4452" t="s">
        <v>65</v>
      </c>
    </row>
    <row r="4453" spans="1:17" x14ac:dyDescent="0.3">
      <c r="A4453" t="s">
        <v>5583</v>
      </c>
      <c r="B4453" s="6">
        <v>45127</v>
      </c>
      <c r="C4453" s="6" t="str">
        <f t="shared" si="207"/>
        <v>Jul</v>
      </c>
      <c r="D4453" t="s">
        <v>1451</v>
      </c>
      <c r="E4453" t="s">
        <v>26</v>
      </c>
      <c r="F4453" t="s">
        <v>538</v>
      </c>
      <c r="G4453">
        <v>9</v>
      </c>
      <c r="H4453" s="7">
        <v>345.25</v>
      </c>
      <c r="I4453" t="s">
        <v>46</v>
      </c>
      <c r="J4453" t="s">
        <v>22</v>
      </c>
      <c r="K4453">
        <v>15</v>
      </c>
      <c r="L4453" s="7">
        <f t="shared" si="208"/>
        <v>3107.25</v>
      </c>
      <c r="M4453" s="7"/>
      <c r="O4453">
        <f t="shared" si="209"/>
        <v>4</v>
      </c>
      <c r="Q4453" t="s">
        <v>47</v>
      </c>
    </row>
    <row r="4454" spans="1:17" x14ac:dyDescent="0.3">
      <c r="A4454" t="s">
        <v>5584</v>
      </c>
      <c r="B4454" s="6">
        <v>45062</v>
      </c>
      <c r="C4454" s="6" t="str">
        <f t="shared" si="207"/>
        <v>May</v>
      </c>
      <c r="D4454" t="s">
        <v>1388</v>
      </c>
      <c r="E4454" t="s">
        <v>62</v>
      </c>
      <c r="F4454" t="s">
        <v>1194</v>
      </c>
      <c r="G4454">
        <v>2</v>
      </c>
      <c r="H4454" s="7">
        <v>60.23</v>
      </c>
      <c r="I4454" t="s">
        <v>46</v>
      </c>
      <c r="J4454" t="s">
        <v>28</v>
      </c>
      <c r="K4454">
        <v>15</v>
      </c>
      <c r="L4454" s="7">
        <f t="shared" si="208"/>
        <v>120.46</v>
      </c>
      <c r="M4454" s="7"/>
      <c r="O4454">
        <f t="shared" si="209"/>
        <v>2</v>
      </c>
      <c r="Q4454" t="s">
        <v>47</v>
      </c>
    </row>
    <row r="4455" spans="1:17" x14ac:dyDescent="0.3">
      <c r="A4455" t="s">
        <v>5585</v>
      </c>
      <c r="B4455" s="6">
        <v>45226</v>
      </c>
      <c r="C4455" s="6" t="str">
        <f t="shared" si="207"/>
        <v>Oct</v>
      </c>
      <c r="D4455" t="s">
        <v>3773</v>
      </c>
      <c r="E4455" t="s">
        <v>19</v>
      </c>
      <c r="F4455" t="s">
        <v>730</v>
      </c>
      <c r="G4455">
        <v>8</v>
      </c>
      <c r="H4455" s="7">
        <v>78.13</v>
      </c>
      <c r="I4455" t="s">
        <v>32</v>
      </c>
      <c r="J4455" t="s">
        <v>87</v>
      </c>
      <c r="K4455">
        <v>10</v>
      </c>
      <c r="L4455" s="7">
        <f t="shared" si="208"/>
        <v>625.04</v>
      </c>
      <c r="M4455" s="7"/>
      <c r="O4455">
        <f t="shared" si="209"/>
        <v>2</v>
      </c>
      <c r="Q4455" t="s">
        <v>33</v>
      </c>
    </row>
    <row r="4456" spans="1:17" x14ac:dyDescent="0.3">
      <c r="A4456" t="s">
        <v>5586</v>
      </c>
      <c r="B4456" s="6">
        <v>45131</v>
      </c>
      <c r="C4456" s="6" t="str">
        <f t="shared" si="207"/>
        <v>Jul</v>
      </c>
      <c r="D4456" t="s">
        <v>2585</v>
      </c>
      <c r="E4456" t="s">
        <v>36</v>
      </c>
      <c r="F4456" t="s">
        <v>983</v>
      </c>
      <c r="G4456">
        <v>9</v>
      </c>
      <c r="H4456" s="7">
        <v>216.92</v>
      </c>
      <c r="I4456" t="s">
        <v>21</v>
      </c>
      <c r="J4456" t="s">
        <v>42</v>
      </c>
      <c r="K4456">
        <v>0</v>
      </c>
      <c r="L4456" s="7">
        <f t="shared" si="208"/>
        <v>1952.28</v>
      </c>
      <c r="M4456" s="7"/>
      <c r="O4456">
        <f t="shared" si="209"/>
        <v>2</v>
      </c>
      <c r="Q4456" t="s">
        <v>23</v>
      </c>
    </row>
    <row r="4457" spans="1:17" x14ac:dyDescent="0.3">
      <c r="A4457" t="s">
        <v>5587</v>
      </c>
      <c r="B4457" s="6">
        <v>45081</v>
      </c>
      <c r="C4457" s="6" t="str">
        <f t="shared" si="207"/>
        <v>Jun</v>
      </c>
      <c r="D4457" t="s">
        <v>689</v>
      </c>
      <c r="E4457" t="s">
        <v>50</v>
      </c>
      <c r="F4457" t="s">
        <v>983</v>
      </c>
      <c r="G4457">
        <v>9</v>
      </c>
      <c r="H4457" s="7">
        <v>101.88</v>
      </c>
      <c r="I4457" t="s">
        <v>103</v>
      </c>
      <c r="J4457" t="s">
        <v>22</v>
      </c>
      <c r="K4457">
        <v>10</v>
      </c>
      <c r="L4457" s="7">
        <f t="shared" si="208"/>
        <v>916.92</v>
      </c>
      <c r="M4457" s="7"/>
      <c r="O4457">
        <f t="shared" si="209"/>
        <v>2</v>
      </c>
      <c r="Q4457" t="s">
        <v>104</v>
      </c>
    </row>
    <row r="4458" spans="1:17" x14ac:dyDescent="0.3">
      <c r="A4458" t="s">
        <v>5588</v>
      </c>
      <c r="B4458" s="6">
        <v>45078</v>
      </c>
      <c r="C4458" s="6" t="str">
        <f t="shared" si="207"/>
        <v>Jun</v>
      </c>
      <c r="D4458" t="s">
        <v>2912</v>
      </c>
      <c r="E4458" t="s">
        <v>62</v>
      </c>
      <c r="F4458" t="s">
        <v>383</v>
      </c>
      <c r="G4458">
        <v>7</v>
      </c>
      <c r="H4458" s="7">
        <v>18.79</v>
      </c>
      <c r="I4458" t="s">
        <v>32</v>
      </c>
      <c r="J4458" t="s">
        <v>28</v>
      </c>
      <c r="K4458">
        <v>5</v>
      </c>
      <c r="L4458" s="7">
        <f t="shared" si="208"/>
        <v>131.53</v>
      </c>
      <c r="M4458" s="7"/>
      <c r="O4458">
        <f t="shared" si="209"/>
        <v>2</v>
      </c>
      <c r="Q4458" t="s">
        <v>33</v>
      </c>
    </row>
    <row r="4459" spans="1:17" x14ac:dyDescent="0.3">
      <c r="A4459" t="s">
        <v>5589</v>
      </c>
      <c r="B4459" s="6">
        <v>45156</v>
      </c>
      <c r="C4459" s="6" t="str">
        <f t="shared" si="207"/>
        <v>Aug</v>
      </c>
      <c r="D4459" t="s">
        <v>1154</v>
      </c>
      <c r="E4459" t="s">
        <v>19</v>
      </c>
      <c r="F4459" t="s">
        <v>51</v>
      </c>
      <c r="G4459">
        <v>9</v>
      </c>
      <c r="H4459" s="7">
        <v>403.48</v>
      </c>
      <c r="I4459" t="s">
        <v>46</v>
      </c>
      <c r="J4459" t="s">
        <v>72</v>
      </c>
      <c r="K4459">
        <v>10</v>
      </c>
      <c r="L4459" s="7">
        <f t="shared" si="208"/>
        <v>3631.32</v>
      </c>
      <c r="M4459" s="7"/>
      <c r="O4459">
        <f t="shared" si="209"/>
        <v>5</v>
      </c>
      <c r="Q4459" t="s">
        <v>47</v>
      </c>
    </row>
    <row r="4460" spans="1:17" x14ac:dyDescent="0.3">
      <c r="A4460" t="s">
        <v>5590</v>
      </c>
      <c r="B4460" s="6">
        <v>45051</v>
      </c>
      <c r="C4460" s="6" t="str">
        <f t="shared" si="207"/>
        <v>May</v>
      </c>
      <c r="D4460" t="s">
        <v>327</v>
      </c>
      <c r="E4460" t="s">
        <v>26</v>
      </c>
      <c r="F4460" t="s">
        <v>37</v>
      </c>
      <c r="G4460">
        <v>9</v>
      </c>
      <c r="H4460" s="7">
        <v>14.66</v>
      </c>
      <c r="I4460" t="s">
        <v>103</v>
      </c>
      <c r="J4460" t="s">
        <v>87</v>
      </c>
      <c r="K4460">
        <v>10</v>
      </c>
      <c r="L4460" s="7">
        <f t="shared" si="208"/>
        <v>131.94</v>
      </c>
      <c r="M4460" s="7"/>
      <c r="O4460">
        <f t="shared" si="209"/>
        <v>2</v>
      </c>
      <c r="Q4460" t="s">
        <v>104</v>
      </c>
    </row>
    <row r="4461" spans="1:17" x14ac:dyDescent="0.3">
      <c r="A4461" t="s">
        <v>5591</v>
      </c>
      <c r="B4461" s="6">
        <v>45253</v>
      </c>
      <c r="C4461" s="6" t="str">
        <f t="shared" si="207"/>
        <v>Nov</v>
      </c>
      <c r="D4461" t="s">
        <v>1466</v>
      </c>
      <c r="E4461" t="s">
        <v>19</v>
      </c>
      <c r="F4461" t="s">
        <v>263</v>
      </c>
      <c r="G4461">
        <v>3</v>
      </c>
      <c r="H4461" s="7">
        <v>252.16</v>
      </c>
      <c r="I4461" t="s">
        <v>21</v>
      </c>
      <c r="J4461" t="s">
        <v>72</v>
      </c>
      <c r="K4461">
        <v>20</v>
      </c>
      <c r="L4461" s="7">
        <f t="shared" si="208"/>
        <v>756.48</v>
      </c>
      <c r="M4461" s="7"/>
      <c r="O4461">
        <f t="shared" si="209"/>
        <v>2</v>
      </c>
      <c r="Q4461" t="s">
        <v>23</v>
      </c>
    </row>
    <row r="4462" spans="1:17" x14ac:dyDescent="0.3">
      <c r="A4462" t="s">
        <v>5592</v>
      </c>
      <c r="B4462" s="6">
        <v>45241</v>
      </c>
      <c r="C4462" s="6" t="str">
        <f t="shared" si="207"/>
        <v>Nov</v>
      </c>
      <c r="D4462" t="s">
        <v>1968</v>
      </c>
      <c r="E4462" t="s">
        <v>40</v>
      </c>
      <c r="F4462" t="s">
        <v>176</v>
      </c>
      <c r="G4462">
        <v>4</v>
      </c>
      <c r="H4462" s="7">
        <v>76.33</v>
      </c>
      <c r="I4462" t="s">
        <v>103</v>
      </c>
      <c r="J4462" t="s">
        <v>28</v>
      </c>
      <c r="K4462">
        <v>10</v>
      </c>
      <c r="L4462" s="7">
        <f t="shared" si="208"/>
        <v>305.32</v>
      </c>
      <c r="M4462" s="7"/>
      <c r="O4462">
        <f t="shared" si="209"/>
        <v>2</v>
      </c>
      <c r="Q4462" t="s">
        <v>104</v>
      </c>
    </row>
    <row r="4463" spans="1:17" x14ac:dyDescent="0.3">
      <c r="A4463" t="s">
        <v>5593</v>
      </c>
      <c r="B4463" s="6">
        <v>45228</v>
      </c>
      <c r="C4463" s="6" t="str">
        <f t="shared" si="207"/>
        <v>Oct</v>
      </c>
      <c r="D4463" t="s">
        <v>3207</v>
      </c>
      <c r="E4463" t="s">
        <v>40</v>
      </c>
      <c r="F4463" t="s">
        <v>913</v>
      </c>
      <c r="G4463">
        <v>2</v>
      </c>
      <c r="H4463" s="7">
        <v>487.47</v>
      </c>
      <c r="I4463" t="s">
        <v>103</v>
      </c>
      <c r="J4463" t="s">
        <v>72</v>
      </c>
      <c r="K4463">
        <v>20</v>
      </c>
      <c r="L4463" s="7">
        <f t="shared" si="208"/>
        <v>974.94</v>
      </c>
      <c r="M4463" s="7"/>
      <c r="O4463">
        <f t="shared" si="209"/>
        <v>2</v>
      </c>
      <c r="Q4463" t="s">
        <v>104</v>
      </c>
    </row>
    <row r="4464" spans="1:17" x14ac:dyDescent="0.3">
      <c r="A4464" t="s">
        <v>5594</v>
      </c>
      <c r="B4464" s="6">
        <v>45235</v>
      </c>
      <c r="C4464" s="6" t="str">
        <f t="shared" si="207"/>
        <v>Nov</v>
      </c>
      <c r="D4464" t="s">
        <v>885</v>
      </c>
      <c r="E4464" t="s">
        <v>50</v>
      </c>
      <c r="F4464" t="s">
        <v>27</v>
      </c>
      <c r="G4464">
        <v>3</v>
      </c>
      <c r="H4464" s="7">
        <v>303.92</v>
      </c>
      <c r="I4464" t="s">
        <v>32</v>
      </c>
      <c r="J4464" t="s">
        <v>22</v>
      </c>
      <c r="K4464">
        <v>10</v>
      </c>
      <c r="L4464" s="7">
        <f t="shared" si="208"/>
        <v>911.76</v>
      </c>
      <c r="M4464" s="7"/>
      <c r="O4464">
        <f t="shared" si="209"/>
        <v>2</v>
      </c>
      <c r="Q4464" t="s">
        <v>33</v>
      </c>
    </row>
    <row r="4465" spans="1:17" x14ac:dyDescent="0.3">
      <c r="A4465" t="s">
        <v>5595</v>
      </c>
      <c r="B4465" s="6">
        <v>45247</v>
      </c>
      <c r="C4465" s="6" t="str">
        <f t="shared" si="207"/>
        <v>Nov</v>
      </c>
      <c r="D4465" t="s">
        <v>525</v>
      </c>
      <c r="E4465" t="s">
        <v>19</v>
      </c>
      <c r="F4465" t="s">
        <v>148</v>
      </c>
      <c r="G4465">
        <v>5</v>
      </c>
      <c r="H4465" s="7">
        <v>368.82</v>
      </c>
      <c r="I4465" t="s">
        <v>46</v>
      </c>
      <c r="J4465" t="s">
        <v>22</v>
      </c>
      <c r="K4465">
        <v>10</v>
      </c>
      <c r="L4465" s="7">
        <f t="shared" si="208"/>
        <v>1844.1</v>
      </c>
      <c r="M4465" s="7"/>
      <c r="O4465">
        <f t="shared" si="209"/>
        <v>2</v>
      </c>
      <c r="Q4465" t="s">
        <v>47</v>
      </c>
    </row>
    <row r="4466" spans="1:17" x14ac:dyDescent="0.3">
      <c r="A4466" t="s">
        <v>5596</v>
      </c>
      <c r="B4466" s="6">
        <v>45256</v>
      </c>
      <c r="C4466" s="6" t="str">
        <f t="shared" si="207"/>
        <v>Nov</v>
      </c>
      <c r="D4466" t="s">
        <v>848</v>
      </c>
      <c r="E4466" t="s">
        <v>50</v>
      </c>
      <c r="F4466" t="s">
        <v>94</v>
      </c>
      <c r="G4466">
        <v>5</v>
      </c>
      <c r="H4466" s="7">
        <v>59.69</v>
      </c>
      <c r="I4466" t="s">
        <v>32</v>
      </c>
      <c r="J4466" t="s">
        <v>87</v>
      </c>
      <c r="K4466">
        <v>10</v>
      </c>
      <c r="L4466" s="7">
        <f t="shared" si="208"/>
        <v>298.45</v>
      </c>
      <c r="M4466" s="7"/>
      <c r="O4466">
        <f t="shared" si="209"/>
        <v>2</v>
      </c>
      <c r="Q4466" t="s">
        <v>33</v>
      </c>
    </row>
    <row r="4467" spans="1:17" x14ac:dyDescent="0.3">
      <c r="A4467" t="s">
        <v>5597</v>
      </c>
      <c r="B4467" s="6">
        <v>45133</v>
      </c>
      <c r="C4467" s="6" t="str">
        <f t="shared" si="207"/>
        <v>Jul</v>
      </c>
      <c r="D4467" t="s">
        <v>1546</v>
      </c>
      <c r="E4467" t="s">
        <v>36</v>
      </c>
      <c r="F4467" t="s">
        <v>722</v>
      </c>
      <c r="G4467">
        <v>6</v>
      </c>
      <c r="H4467" s="7">
        <v>431.74</v>
      </c>
      <c r="I4467" t="s">
        <v>32</v>
      </c>
      <c r="J4467" t="s">
        <v>72</v>
      </c>
      <c r="K4467">
        <v>10</v>
      </c>
      <c r="L4467" s="7">
        <f t="shared" si="208"/>
        <v>2590.44</v>
      </c>
      <c r="M4467" s="7"/>
      <c r="O4467">
        <f t="shared" si="209"/>
        <v>3</v>
      </c>
      <c r="Q4467" t="s">
        <v>33</v>
      </c>
    </row>
    <row r="4468" spans="1:17" x14ac:dyDescent="0.3">
      <c r="A4468" t="s">
        <v>5598</v>
      </c>
      <c r="B4468" s="6">
        <v>45264</v>
      </c>
      <c r="C4468" s="6" t="str">
        <f t="shared" si="207"/>
        <v>Dec</v>
      </c>
      <c r="D4468" t="s">
        <v>1692</v>
      </c>
      <c r="E4468" t="s">
        <v>62</v>
      </c>
      <c r="F4468" t="s">
        <v>415</v>
      </c>
      <c r="G4468">
        <v>7</v>
      </c>
      <c r="H4468" s="7">
        <v>420.4</v>
      </c>
      <c r="I4468" t="s">
        <v>103</v>
      </c>
      <c r="J4468" t="s">
        <v>22</v>
      </c>
      <c r="K4468">
        <v>10</v>
      </c>
      <c r="L4468" s="7">
        <f t="shared" si="208"/>
        <v>2942.7999999999997</v>
      </c>
      <c r="M4468" s="7"/>
      <c r="O4468">
        <f t="shared" si="209"/>
        <v>3</v>
      </c>
      <c r="Q4468" t="s">
        <v>104</v>
      </c>
    </row>
    <row r="4469" spans="1:17" x14ac:dyDescent="0.3">
      <c r="A4469" t="s">
        <v>5599</v>
      </c>
      <c r="B4469" s="6">
        <v>45041</v>
      </c>
      <c r="C4469" s="6" t="str">
        <f t="shared" si="207"/>
        <v>Apr</v>
      </c>
      <c r="D4469" t="s">
        <v>3725</v>
      </c>
      <c r="E4469" t="s">
        <v>50</v>
      </c>
      <c r="F4469" t="s">
        <v>222</v>
      </c>
      <c r="G4469">
        <v>7</v>
      </c>
      <c r="H4469" s="7">
        <v>328.23</v>
      </c>
      <c r="I4469" t="s">
        <v>64</v>
      </c>
      <c r="J4469" t="s">
        <v>42</v>
      </c>
      <c r="K4469">
        <v>5</v>
      </c>
      <c r="L4469" s="7">
        <f t="shared" si="208"/>
        <v>2297.61</v>
      </c>
      <c r="M4469" s="7"/>
      <c r="O4469">
        <f t="shared" si="209"/>
        <v>2</v>
      </c>
      <c r="Q4469" t="s">
        <v>65</v>
      </c>
    </row>
    <row r="4470" spans="1:17" x14ac:dyDescent="0.3">
      <c r="A4470" t="s">
        <v>5600</v>
      </c>
      <c r="B4470" s="6">
        <v>45003</v>
      </c>
      <c r="C4470" s="6" t="str">
        <f t="shared" si="207"/>
        <v>Mar</v>
      </c>
      <c r="D4470" t="s">
        <v>312</v>
      </c>
      <c r="E4470" t="s">
        <v>31</v>
      </c>
      <c r="F4470" t="s">
        <v>148</v>
      </c>
      <c r="G4470">
        <v>1</v>
      </c>
      <c r="H4470" s="7">
        <v>253.63</v>
      </c>
      <c r="I4470" t="s">
        <v>19</v>
      </c>
      <c r="J4470" t="s">
        <v>87</v>
      </c>
      <c r="K4470">
        <v>10</v>
      </c>
      <c r="L4470" s="7">
        <f t="shared" si="208"/>
        <v>253.63</v>
      </c>
      <c r="M4470" s="7"/>
      <c r="O4470">
        <f t="shared" si="209"/>
        <v>2</v>
      </c>
      <c r="Q4470" t="s">
        <v>19</v>
      </c>
    </row>
    <row r="4471" spans="1:17" x14ac:dyDescent="0.3">
      <c r="A4471" t="s">
        <v>5601</v>
      </c>
      <c r="B4471" s="6">
        <v>45214</v>
      </c>
      <c r="C4471" s="6" t="str">
        <f t="shared" si="207"/>
        <v>Oct</v>
      </c>
      <c r="D4471" t="s">
        <v>893</v>
      </c>
      <c r="E4471" t="s">
        <v>26</v>
      </c>
      <c r="F4471" t="s">
        <v>68</v>
      </c>
      <c r="G4471">
        <v>2</v>
      </c>
      <c r="H4471" s="7">
        <v>362.14</v>
      </c>
      <c r="I4471" t="s">
        <v>19</v>
      </c>
      <c r="J4471" t="s">
        <v>28</v>
      </c>
      <c r="K4471">
        <v>0</v>
      </c>
      <c r="L4471" s="7">
        <f t="shared" si="208"/>
        <v>724.28</v>
      </c>
      <c r="M4471" s="7"/>
      <c r="O4471">
        <f t="shared" si="209"/>
        <v>2</v>
      </c>
      <c r="Q4471" t="s">
        <v>19</v>
      </c>
    </row>
    <row r="4472" spans="1:17" x14ac:dyDescent="0.3">
      <c r="A4472" t="s">
        <v>5602</v>
      </c>
      <c r="B4472" s="6">
        <v>45208</v>
      </c>
      <c r="C4472" s="6" t="str">
        <f t="shared" si="207"/>
        <v>Oct</v>
      </c>
      <c r="D4472" t="s">
        <v>830</v>
      </c>
      <c r="E4472" t="s">
        <v>36</v>
      </c>
      <c r="F4472" t="s">
        <v>222</v>
      </c>
      <c r="G4472">
        <v>9</v>
      </c>
      <c r="H4472" s="7">
        <v>7.93</v>
      </c>
      <c r="I4472" t="s">
        <v>19</v>
      </c>
      <c r="J4472" t="s">
        <v>19</v>
      </c>
      <c r="K4472">
        <v>10</v>
      </c>
      <c r="L4472" s="7">
        <f t="shared" si="208"/>
        <v>71.37</v>
      </c>
      <c r="M4472" s="7"/>
      <c r="O4472">
        <f t="shared" si="209"/>
        <v>2</v>
      </c>
      <c r="Q4472" t="s">
        <v>19</v>
      </c>
    </row>
    <row r="4473" spans="1:17" x14ac:dyDescent="0.3">
      <c r="A4473" t="s">
        <v>5603</v>
      </c>
      <c r="B4473" s="6">
        <v>45071</v>
      </c>
      <c r="C4473" s="6" t="str">
        <f t="shared" si="207"/>
        <v>May</v>
      </c>
      <c r="D4473" t="s">
        <v>893</v>
      </c>
      <c r="E4473" t="s">
        <v>19</v>
      </c>
      <c r="F4473" t="s">
        <v>833</v>
      </c>
      <c r="G4473">
        <v>2</v>
      </c>
      <c r="H4473" s="7">
        <v>298.26</v>
      </c>
      <c r="I4473" t="s">
        <v>64</v>
      </c>
      <c r="J4473" t="s">
        <v>72</v>
      </c>
      <c r="K4473">
        <v>15</v>
      </c>
      <c r="L4473" s="7">
        <f t="shared" si="208"/>
        <v>596.52</v>
      </c>
      <c r="M4473" s="7"/>
      <c r="O4473">
        <f t="shared" si="209"/>
        <v>2</v>
      </c>
      <c r="Q4473" t="s">
        <v>65</v>
      </c>
    </row>
    <row r="4474" spans="1:17" x14ac:dyDescent="0.3">
      <c r="A4474" t="s">
        <v>5604</v>
      </c>
      <c r="B4474" s="6">
        <v>45137</v>
      </c>
      <c r="C4474" s="6" t="str">
        <f t="shared" si="207"/>
        <v>Jul</v>
      </c>
      <c r="D4474" t="s">
        <v>1158</v>
      </c>
      <c r="E4474" t="s">
        <v>36</v>
      </c>
      <c r="F4474" t="s">
        <v>234</v>
      </c>
      <c r="G4474">
        <v>6</v>
      </c>
      <c r="H4474" s="7">
        <v>424.47</v>
      </c>
      <c r="I4474" t="s">
        <v>32</v>
      </c>
      <c r="J4474" t="s">
        <v>72</v>
      </c>
      <c r="K4474">
        <v>15</v>
      </c>
      <c r="L4474" s="7">
        <f t="shared" si="208"/>
        <v>2546.8200000000002</v>
      </c>
      <c r="M4474" s="7"/>
      <c r="O4474">
        <f t="shared" si="209"/>
        <v>3</v>
      </c>
      <c r="Q4474" t="s">
        <v>33</v>
      </c>
    </row>
    <row r="4475" spans="1:17" x14ac:dyDescent="0.3">
      <c r="A4475" t="s">
        <v>5605</v>
      </c>
      <c r="B4475" s="6">
        <v>44993</v>
      </c>
      <c r="C4475" s="6" t="str">
        <f t="shared" si="207"/>
        <v>Mar</v>
      </c>
      <c r="D4475" t="s">
        <v>1383</v>
      </c>
      <c r="E4475" t="s">
        <v>36</v>
      </c>
      <c r="F4475" t="s">
        <v>224</v>
      </c>
      <c r="G4475">
        <v>1</v>
      </c>
      <c r="H4475" s="7">
        <v>181.67</v>
      </c>
      <c r="I4475" t="s">
        <v>19</v>
      </c>
      <c r="J4475" t="s">
        <v>28</v>
      </c>
      <c r="K4475">
        <v>15</v>
      </c>
      <c r="L4475" s="7">
        <f t="shared" si="208"/>
        <v>181.67</v>
      </c>
      <c r="M4475" s="7"/>
      <c r="O4475">
        <f t="shared" si="209"/>
        <v>2</v>
      </c>
      <c r="Q4475" t="s">
        <v>19</v>
      </c>
    </row>
    <row r="4476" spans="1:17" x14ac:dyDescent="0.3">
      <c r="A4476" t="s">
        <v>5606</v>
      </c>
      <c r="B4476" s="6">
        <v>45143</v>
      </c>
      <c r="C4476" s="6" t="str">
        <f t="shared" si="207"/>
        <v>Aug</v>
      </c>
      <c r="D4476" t="s">
        <v>2218</v>
      </c>
      <c r="E4476" t="s">
        <v>26</v>
      </c>
      <c r="F4476" t="s">
        <v>157</v>
      </c>
      <c r="G4476">
        <v>3</v>
      </c>
      <c r="H4476" s="7">
        <v>58.6</v>
      </c>
      <c r="I4476" t="s">
        <v>32</v>
      </c>
      <c r="J4476" t="s">
        <v>22</v>
      </c>
      <c r="K4476">
        <v>0</v>
      </c>
      <c r="L4476" s="7">
        <f t="shared" si="208"/>
        <v>175.8</v>
      </c>
      <c r="M4476" s="7"/>
      <c r="O4476">
        <f t="shared" si="209"/>
        <v>2</v>
      </c>
      <c r="Q4476" t="s">
        <v>33</v>
      </c>
    </row>
    <row r="4477" spans="1:17" x14ac:dyDescent="0.3">
      <c r="A4477" t="s">
        <v>5607</v>
      </c>
      <c r="B4477" s="6">
        <v>45244</v>
      </c>
      <c r="C4477" s="6" t="str">
        <f t="shared" si="207"/>
        <v>Nov</v>
      </c>
      <c r="D4477" t="s">
        <v>629</v>
      </c>
      <c r="E4477" t="s">
        <v>50</v>
      </c>
      <c r="F4477" t="s">
        <v>107</v>
      </c>
      <c r="G4477">
        <v>2</v>
      </c>
      <c r="H4477" s="7">
        <v>213.33</v>
      </c>
      <c r="I4477" t="s">
        <v>32</v>
      </c>
      <c r="J4477" t="s">
        <v>22</v>
      </c>
      <c r="K4477">
        <v>10</v>
      </c>
      <c r="L4477" s="7">
        <f t="shared" si="208"/>
        <v>426.66</v>
      </c>
      <c r="M4477" s="7"/>
      <c r="O4477">
        <f t="shared" si="209"/>
        <v>2</v>
      </c>
      <c r="Q4477" t="s">
        <v>33</v>
      </c>
    </row>
    <row r="4478" spans="1:17" x14ac:dyDescent="0.3">
      <c r="A4478" t="s">
        <v>5608</v>
      </c>
      <c r="B4478" s="6">
        <v>45095</v>
      </c>
      <c r="C4478" s="6" t="str">
        <f t="shared" si="207"/>
        <v>Jun</v>
      </c>
      <c r="D4478" t="s">
        <v>2701</v>
      </c>
      <c r="E4478" t="s">
        <v>19</v>
      </c>
      <c r="F4478" t="s">
        <v>224</v>
      </c>
      <c r="G4478">
        <v>3</v>
      </c>
      <c r="H4478" s="7">
        <v>364.92</v>
      </c>
      <c r="I4478" t="s">
        <v>32</v>
      </c>
      <c r="J4478" t="s">
        <v>72</v>
      </c>
      <c r="K4478">
        <v>10</v>
      </c>
      <c r="L4478" s="7">
        <f t="shared" si="208"/>
        <v>1094.76</v>
      </c>
      <c r="M4478" s="7"/>
      <c r="O4478">
        <f t="shared" si="209"/>
        <v>2</v>
      </c>
      <c r="Q4478" t="s">
        <v>33</v>
      </c>
    </row>
    <row r="4479" spans="1:17" x14ac:dyDescent="0.3">
      <c r="A4479" t="s">
        <v>5609</v>
      </c>
      <c r="B4479" s="6">
        <v>45049</v>
      </c>
      <c r="C4479" s="6" t="str">
        <f t="shared" si="207"/>
        <v>May</v>
      </c>
      <c r="D4479" t="s">
        <v>930</v>
      </c>
      <c r="E4479" t="s">
        <v>50</v>
      </c>
      <c r="F4479" t="s">
        <v>116</v>
      </c>
      <c r="G4479">
        <v>5</v>
      </c>
      <c r="H4479" s="7">
        <v>58.11</v>
      </c>
      <c r="I4479" t="s">
        <v>64</v>
      </c>
      <c r="J4479" t="s">
        <v>22</v>
      </c>
      <c r="K4479">
        <v>20</v>
      </c>
      <c r="L4479" s="7">
        <f t="shared" si="208"/>
        <v>290.55</v>
      </c>
      <c r="M4479" s="7"/>
      <c r="O4479">
        <f t="shared" si="209"/>
        <v>2</v>
      </c>
      <c r="Q4479" t="s">
        <v>65</v>
      </c>
    </row>
    <row r="4480" spans="1:17" x14ac:dyDescent="0.3">
      <c r="A4480" t="s">
        <v>5610</v>
      </c>
      <c r="B4480" s="6">
        <v>45153</v>
      </c>
      <c r="C4480" s="6" t="str">
        <f t="shared" si="207"/>
        <v>Aug</v>
      </c>
      <c r="D4480" t="s">
        <v>972</v>
      </c>
      <c r="E4480" t="s">
        <v>26</v>
      </c>
      <c r="F4480" t="s">
        <v>131</v>
      </c>
      <c r="G4480">
        <v>6</v>
      </c>
      <c r="H4480" s="7">
        <v>106.99</v>
      </c>
      <c r="I4480" t="s">
        <v>103</v>
      </c>
      <c r="J4480" t="s">
        <v>22</v>
      </c>
      <c r="K4480">
        <v>20</v>
      </c>
      <c r="L4480" s="7">
        <f t="shared" si="208"/>
        <v>641.93999999999994</v>
      </c>
      <c r="M4480" s="7"/>
      <c r="O4480">
        <f t="shared" si="209"/>
        <v>2</v>
      </c>
      <c r="Q4480" t="s">
        <v>104</v>
      </c>
    </row>
    <row r="4481" spans="1:17" x14ac:dyDescent="0.3">
      <c r="A4481" t="s">
        <v>5611</v>
      </c>
      <c r="B4481" s="6">
        <v>45042</v>
      </c>
      <c r="C4481" s="6" t="str">
        <f t="shared" si="207"/>
        <v>Apr</v>
      </c>
      <c r="D4481" t="s">
        <v>824</v>
      </c>
      <c r="E4481" t="s">
        <v>31</v>
      </c>
      <c r="F4481" t="s">
        <v>208</v>
      </c>
      <c r="G4481">
        <v>9</v>
      </c>
      <c r="H4481" s="7">
        <v>78.040000000000006</v>
      </c>
      <c r="I4481" t="s">
        <v>19</v>
      </c>
      <c r="J4481" t="s">
        <v>72</v>
      </c>
      <c r="K4481">
        <v>5</v>
      </c>
      <c r="L4481" s="7">
        <f t="shared" si="208"/>
        <v>702.36</v>
      </c>
      <c r="M4481" s="7"/>
      <c r="O4481">
        <f t="shared" si="209"/>
        <v>2</v>
      </c>
      <c r="Q4481" t="s">
        <v>19</v>
      </c>
    </row>
    <row r="4482" spans="1:17" x14ac:dyDescent="0.3">
      <c r="A4482" t="s">
        <v>5612</v>
      </c>
      <c r="B4482" s="6">
        <v>45071</v>
      </c>
      <c r="C4482" s="6" t="str">
        <f t="shared" si="207"/>
        <v>May</v>
      </c>
      <c r="D4482" t="s">
        <v>1087</v>
      </c>
      <c r="E4482" t="s">
        <v>19</v>
      </c>
      <c r="F4482" t="s">
        <v>398</v>
      </c>
      <c r="G4482">
        <v>4</v>
      </c>
      <c r="H4482" s="7">
        <v>399.49</v>
      </c>
      <c r="I4482" t="s">
        <v>64</v>
      </c>
      <c r="J4482" t="s">
        <v>19</v>
      </c>
      <c r="K4482">
        <v>0</v>
      </c>
      <c r="L4482" s="7">
        <f t="shared" si="208"/>
        <v>1597.96</v>
      </c>
      <c r="M4482" s="7"/>
      <c r="O4482">
        <f t="shared" si="209"/>
        <v>2</v>
      </c>
      <c r="Q4482" t="s">
        <v>65</v>
      </c>
    </row>
    <row r="4483" spans="1:17" x14ac:dyDescent="0.3">
      <c r="A4483" t="s">
        <v>5613</v>
      </c>
      <c r="B4483" s="6">
        <v>45204</v>
      </c>
      <c r="C4483" s="6" t="str">
        <f t="shared" ref="C4483:C4546" si="210">TEXT(B4483,"MMM")</f>
        <v>Oct</v>
      </c>
      <c r="D4483" t="s">
        <v>1460</v>
      </c>
      <c r="E4483" t="s">
        <v>19</v>
      </c>
      <c r="F4483" t="s">
        <v>122</v>
      </c>
      <c r="G4483">
        <v>7</v>
      </c>
      <c r="H4483" s="7">
        <v>36.130000000000003</v>
      </c>
      <c r="I4483" t="s">
        <v>19</v>
      </c>
      <c r="J4483" t="s">
        <v>28</v>
      </c>
      <c r="K4483">
        <v>10</v>
      </c>
      <c r="L4483" s="7">
        <f t="shared" ref="L4483:L4546" si="211">G4483*H4483</f>
        <v>252.91000000000003</v>
      </c>
      <c r="M4483" s="7"/>
      <c r="O4483">
        <f t="shared" si="209"/>
        <v>2</v>
      </c>
      <c r="Q4483" t="s">
        <v>19</v>
      </c>
    </row>
    <row r="4484" spans="1:17" x14ac:dyDescent="0.3">
      <c r="A4484" t="s">
        <v>5614</v>
      </c>
      <c r="B4484" s="6">
        <v>45203</v>
      </c>
      <c r="C4484" s="6" t="str">
        <f t="shared" si="210"/>
        <v>Oct</v>
      </c>
      <c r="D4484" t="s">
        <v>1135</v>
      </c>
      <c r="E4484" t="s">
        <v>19</v>
      </c>
      <c r="F4484" t="s">
        <v>198</v>
      </c>
      <c r="G4484">
        <v>6</v>
      </c>
      <c r="H4484" s="7">
        <v>344.86</v>
      </c>
      <c r="I4484" t="s">
        <v>46</v>
      </c>
      <c r="J4484" t="s">
        <v>22</v>
      </c>
      <c r="K4484">
        <v>10</v>
      </c>
      <c r="L4484" s="7">
        <f t="shared" si="211"/>
        <v>2069.16</v>
      </c>
      <c r="M4484" s="7"/>
      <c r="O4484">
        <f t="shared" ref="O4484:O4547" si="212">IF(L4484&gt;3500,5,IF(L4484&gt;3000,4,IF(L4484&gt;2500,3,IF(L4484&gt;2000,2,IF(L4484&gt;1000,2,2)))))</f>
        <v>2</v>
      </c>
      <c r="Q4484" t="s">
        <v>47</v>
      </c>
    </row>
    <row r="4485" spans="1:17" x14ac:dyDescent="0.3">
      <c r="A4485" t="s">
        <v>5615</v>
      </c>
      <c r="B4485" s="6">
        <v>45269</v>
      </c>
      <c r="C4485" s="6" t="str">
        <f t="shared" si="210"/>
        <v>Dec</v>
      </c>
      <c r="D4485" t="s">
        <v>39</v>
      </c>
      <c r="E4485" t="s">
        <v>36</v>
      </c>
      <c r="F4485" t="s">
        <v>708</v>
      </c>
      <c r="G4485">
        <v>2</v>
      </c>
      <c r="H4485" s="7">
        <v>186.4</v>
      </c>
      <c r="I4485" t="s">
        <v>46</v>
      </c>
      <c r="J4485" t="s">
        <v>28</v>
      </c>
      <c r="K4485">
        <v>15</v>
      </c>
      <c r="L4485" s="7">
        <f t="shared" si="211"/>
        <v>372.8</v>
      </c>
      <c r="M4485" s="7"/>
      <c r="O4485">
        <f t="shared" si="212"/>
        <v>2</v>
      </c>
      <c r="Q4485" t="s">
        <v>47</v>
      </c>
    </row>
    <row r="4486" spans="1:17" x14ac:dyDescent="0.3">
      <c r="A4486" t="s">
        <v>5616</v>
      </c>
      <c r="B4486" s="6">
        <v>45037</v>
      </c>
      <c r="C4486" s="6" t="str">
        <f t="shared" si="210"/>
        <v>Apr</v>
      </c>
      <c r="D4486" t="s">
        <v>751</v>
      </c>
      <c r="E4486" t="s">
        <v>19</v>
      </c>
      <c r="F4486" t="s">
        <v>1282</v>
      </c>
      <c r="G4486">
        <v>8</v>
      </c>
      <c r="H4486" s="7">
        <v>379.12</v>
      </c>
      <c r="I4486" t="s">
        <v>21</v>
      </c>
      <c r="J4486" t="s">
        <v>19</v>
      </c>
      <c r="K4486">
        <v>0</v>
      </c>
      <c r="L4486" s="7">
        <f t="shared" si="211"/>
        <v>3032.96</v>
      </c>
      <c r="M4486" s="7"/>
      <c r="O4486">
        <f t="shared" si="212"/>
        <v>4</v>
      </c>
      <c r="Q4486" t="s">
        <v>23</v>
      </c>
    </row>
    <row r="4487" spans="1:17" x14ac:dyDescent="0.3">
      <c r="A4487" t="s">
        <v>5617</v>
      </c>
      <c r="B4487" s="6">
        <v>45242</v>
      </c>
      <c r="C4487" s="6" t="str">
        <f t="shared" si="210"/>
        <v>Nov</v>
      </c>
      <c r="D4487" t="s">
        <v>766</v>
      </c>
      <c r="E4487" t="s">
        <v>19</v>
      </c>
      <c r="F4487" t="s">
        <v>378</v>
      </c>
      <c r="G4487">
        <v>7</v>
      </c>
      <c r="H4487" s="7">
        <v>482.37</v>
      </c>
      <c r="I4487" t="s">
        <v>103</v>
      </c>
      <c r="J4487" t="s">
        <v>28</v>
      </c>
      <c r="K4487">
        <v>0</v>
      </c>
      <c r="L4487" s="7">
        <f t="shared" si="211"/>
        <v>3376.59</v>
      </c>
      <c r="M4487" s="7"/>
      <c r="O4487">
        <f t="shared" si="212"/>
        <v>4</v>
      </c>
      <c r="Q4487" t="s">
        <v>104</v>
      </c>
    </row>
    <row r="4488" spans="1:17" x14ac:dyDescent="0.3">
      <c r="A4488" t="s">
        <v>5618</v>
      </c>
      <c r="B4488" s="6">
        <v>45013</v>
      </c>
      <c r="C4488" s="6" t="str">
        <f t="shared" si="210"/>
        <v>Mar</v>
      </c>
      <c r="D4488" t="s">
        <v>1846</v>
      </c>
      <c r="E4488" t="s">
        <v>19</v>
      </c>
      <c r="F4488" t="s">
        <v>1023</v>
      </c>
      <c r="G4488">
        <v>7</v>
      </c>
      <c r="H4488" s="7">
        <v>61.7</v>
      </c>
      <c r="I4488" t="s">
        <v>103</v>
      </c>
      <c r="J4488" t="s">
        <v>42</v>
      </c>
      <c r="K4488">
        <v>10</v>
      </c>
      <c r="L4488" s="7">
        <f t="shared" si="211"/>
        <v>431.90000000000003</v>
      </c>
      <c r="M4488" s="7"/>
      <c r="O4488">
        <f t="shared" si="212"/>
        <v>2</v>
      </c>
      <c r="Q4488" t="s">
        <v>104</v>
      </c>
    </row>
    <row r="4489" spans="1:17" x14ac:dyDescent="0.3">
      <c r="A4489" t="s">
        <v>5619</v>
      </c>
      <c r="B4489" s="6">
        <v>45160</v>
      </c>
      <c r="C4489" s="6" t="str">
        <f t="shared" si="210"/>
        <v>Aug</v>
      </c>
      <c r="D4489" t="s">
        <v>1169</v>
      </c>
      <c r="E4489" t="s">
        <v>31</v>
      </c>
      <c r="F4489" t="s">
        <v>420</v>
      </c>
      <c r="G4489">
        <v>8</v>
      </c>
      <c r="H4489" s="7">
        <v>160.62</v>
      </c>
      <c r="I4489" t="s">
        <v>64</v>
      </c>
      <c r="J4489" t="s">
        <v>72</v>
      </c>
      <c r="K4489">
        <v>10</v>
      </c>
      <c r="L4489" s="7">
        <f t="shared" si="211"/>
        <v>1284.96</v>
      </c>
      <c r="M4489" s="7"/>
      <c r="O4489">
        <f t="shared" si="212"/>
        <v>2</v>
      </c>
      <c r="Q4489" t="s">
        <v>65</v>
      </c>
    </row>
    <row r="4490" spans="1:17" x14ac:dyDescent="0.3">
      <c r="A4490" t="s">
        <v>5620</v>
      </c>
      <c r="B4490" s="6">
        <v>45165</v>
      </c>
      <c r="C4490" s="6" t="str">
        <f t="shared" si="210"/>
        <v>Aug</v>
      </c>
      <c r="D4490" t="s">
        <v>3059</v>
      </c>
      <c r="E4490" t="s">
        <v>31</v>
      </c>
      <c r="F4490" t="s">
        <v>41</v>
      </c>
      <c r="G4490">
        <v>1</v>
      </c>
      <c r="H4490" s="7">
        <v>406.01</v>
      </c>
      <c r="I4490" t="s">
        <v>21</v>
      </c>
      <c r="J4490" t="s">
        <v>72</v>
      </c>
      <c r="K4490">
        <v>5</v>
      </c>
      <c r="L4490" s="7">
        <f t="shared" si="211"/>
        <v>406.01</v>
      </c>
      <c r="M4490" s="7"/>
      <c r="O4490">
        <f t="shared" si="212"/>
        <v>2</v>
      </c>
      <c r="Q4490" t="s">
        <v>23</v>
      </c>
    </row>
    <row r="4491" spans="1:17" x14ac:dyDescent="0.3">
      <c r="A4491" t="s">
        <v>5621</v>
      </c>
      <c r="B4491" s="6">
        <v>45015</v>
      </c>
      <c r="C4491" s="6" t="str">
        <f t="shared" si="210"/>
        <v>Mar</v>
      </c>
      <c r="D4491" t="s">
        <v>1910</v>
      </c>
      <c r="E4491" t="s">
        <v>62</v>
      </c>
      <c r="F4491" t="s">
        <v>1374</v>
      </c>
      <c r="G4491">
        <v>1</v>
      </c>
      <c r="H4491" s="7">
        <v>136.75</v>
      </c>
      <c r="I4491" t="s">
        <v>103</v>
      </c>
      <c r="J4491" t="s">
        <v>19</v>
      </c>
      <c r="K4491">
        <v>10</v>
      </c>
      <c r="L4491" s="7">
        <f t="shared" si="211"/>
        <v>136.75</v>
      </c>
      <c r="M4491" s="7"/>
      <c r="O4491">
        <f t="shared" si="212"/>
        <v>2</v>
      </c>
      <c r="Q4491" t="s">
        <v>104</v>
      </c>
    </row>
    <row r="4492" spans="1:17" x14ac:dyDescent="0.3">
      <c r="A4492" t="s">
        <v>5622</v>
      </c>
      <c r="B4492" s="6">
        <v>45172</v>
      </c>
      <c r="C4492" s="6" t="str">
        <f t="shared" si="210"/>
        <v>Sep</v>
      </c>
      <c r="D4492" t="s">
        <v>4048</v>
      </c>
      <c r="E4492" t="s">
        <v>19</v>
      </c>
      <c r="F4492" t="s">
        <v>356</v>
      </c>
      <c r="G4492">
        <v>8</v>
      </c>
      <c r="H4492" s="7">
        <v>111.48</v>
      </c>
      <c r="I4492" t="s">
        <v>103</v>
      </c>
      <c r="J4492" t="s">
        <v>42</v>
      </c>
      <c r="K4492">
        <v>5</v>
      </c>
      <c r="L4492" s="7">
        <f t="shared" si="211"/>
        <v>891.84</v>
      </c>
      <c r="M4492" s="7"/>
      <c r="O4492">
        <f t="shared" si="212"/>
        <v>2</v>
      </c>
      <c r="Q4492" t="s">
        <v>104</v>
      </c>
    </row>
    <row r="4493" spans="1:17" x14ac:dyDescent="0.3">
      <c r="A4493" t="s">
        <v>5623</v>
      </c>
      <c r="B4493" s="6">
        <v>45002</v>
      </c>
      <c r="C4493" s="6" t="str">
        <f t="shared" si="210"/>
        <v>Mar</v>
      </c>
      <c r="D4493" t="s">
        <v>702</v>
      </c>
      <c r="E4493" t="s">
        <v>50</v>
      </c>
      <c r="F4493" t="s">
        <v>1328</v>
      </c>
      <c r="G4493">
        <v>4</v>
      </c>
      <c r="H4493" s="7">
        <v>413.56</v>
      </c>
      <c r="I4493" t="s">
        <v>64</v>
      </c>
      <c r="J4493" t="s">
        <v>72</v>
      </c>
      <c r="K4493">
        <v>5</v>
      </c>
      <c r="L4493" s="7">
        <f t="shared" si="211"/>
        <v>1654.24</v>
      </c>
      <c r="M4493" s="7"/>
      <c r="O4493">
        <f t="shared" si="212"/>
        <v>2</v>
      </c>
      <c r="Q4493" t="s">
        <v>65</v>
      </c>
    </row>
    <row r="4494" spans="1:17" x14ac:dyDescent="0.3">
      <c r="A4494" t="s">
        <v>5624</v>
      </c>
      <c r="B4494" s="6">
        <v>45112</v>
      </c>
      <c r="C4494" s="6" t="str">
        <f t="shared" si="210"/>
        <v>Jul</v>
      </c>
      <c r="D4494" t="s">
        <v>1444</v>
      </c>
      <c r="E4494" t="s">
        <v>50</v>
      </c>
      <c r="F4494" t="s">
        <v>242</v>
      </c>
      <c r="G4494">
        <v>5</v>
      </c>
      <c r="H4494" s="7">
        <v>493.61</v>
      </c>
      <c r="I4494" t="s">
        <v>21</v>
      </c>
      <c r="J4494" t="s">
        <v>72</v>
      </c>
      <c r="K4494">
        <v>15</v>
      </c>
      <c r="L4494" s="7">
        <f t="shared" si="211"/>
        <v>2468.0500000000002</v>
      </c>
      <c r="M4494" s="7"/>
      <c r="O4494">
        <f t="shared" si="212"/>
        <v>2</v>
      </c>
      <c r="Q4494" t="s">
        <v>23</v>
      </c>
    </row>
    <row r="4495" spans="1:17" x14ac:dyDescent="0.3">
      <c r="A4495" t="s">
        <v>5625</v>
      </c>
      <c r="B4495" s="6">
        <v>45113</v>
      </c>
      <c r="C4495" s="6" t="str">
        <f t="shared" si="210"/>
        <v>Jul</v>
      </c>
      <c r="D4495" t="s">
        <v>1523</v>
      </c>
      <c r="E4495" t="s">
        <v>31</v>
      </c>
      <c r="F4495" t="s">
        <v>975</v>
      </c>
      <c r="G4495">
        <v>8</v>
      </c>
      <c r="H4495" s="7">
        <v>280.66000000000003</v>
      </c>
      <c r="I4495" t="s">
        <v>32</v>
      </c>
      <c r="J4495" t="s">
        <v>42</v>
      </c>
      <c r="K4495">
        <v>15</v>
      </c>
      <c r="L4495" s="7">
        <f t="shared" si="211"/>
        <v>2245.2800000000002</v>
      </c>
      <c r="M4495" s="7"/>
      <c r="O4495">
        <f t="shared" si="212"/>
        <v>2</v>
      </c>
      <c r="Q4495" t="s">
        <v>33</v>
      </c>
    </row>
    <row r="4496" spans="1:17" x14ac:dyDescent="0.3">
      <c r="A4496" t="s">
        <v>5626</v>
      </c>
      <c r="B4496" s="6">
        <v>45072</v>
      </c>
      <c r="C4496" s="6" t="str">
        <f t="shared" si="210"/>
        <v>May</v>
      </c>
      <c r="D4496" t="s">
        <v>200</v>
      </c>
      <c r="E4496" t="s">
        <v>36</v>
      </c>
      <c r="F4496" t="s">
        <v>341</v>
      </c>
      <c r="G4496">
        <v>5</v>
      </c>
      <c r="H4496" s="7">
        <v>142.63</v>
      </c>
      <c r="I4496" t="s">
        <v>103</v>
      </c>
      <c r="J4496" t="s">
        <v>22</v>
      </c>
      <c r="K4496">
        <v>10</v>
      </c>
      <c r="L4496" s="7">
        <f t="shared" si="211"/>
        <v>713.15</v>
      </c>
      <c r="M4496" s="7"/>
      <c r="O4496">
        <f t="shared" si="212"/>
        <v>2</v>
      </c>
      <c r="Q4496" t="s">
        <v>104</v>
      </c>
    </row>
    <row r="4497" spans="1:17" x14ac:dyDescent="0.3">
      <c r="A4497" t="s">
        <v>5627</v>
      </c>
      <c r="B4497" s="6">
        <v>45000</v>
      </c>
      <c r="C4497" s="6" t="str">
        <f t="shared" si="210"/>
        <v>Mar</v>
      </c>
      <c r="D4497" t="s">
        <v>1209</v>
      </c>
      <c r="E4497" t="s">
        <v>26</v>
      </c>
      <c r="F4497" t="s">
        <v>81</v>
      </c>
      <c r="G4497">
        <v>4</v>
      </c>
      <c r="H4497" s="7">
        <v>202.29</v>
      </c>
      <c r="I4497" t="s">
        <v>46</v>
      </c>
      <c r="J4497" t="s">
        <v>28</v>
      </c>
      <c r="K4497">
        <v>10</v>
      </c>
      <c r="L4497" s="7">
        <f t="shared" si="211"/>
        <v>809.16</v>
      </c>
      <c r="M4497" s="7"/>
      <c r="O4497">
        <f t="shared" si="212"/>
        <v>2</v>
      </c>
      <c r="Q4497" t="s">
        <v>47</v>
      </c>
    </row>
    <row r="4498" spans="1:17" x14ac:dyDescent="0.3">
      <c r="A4498" t="s">
        <v>5628</v>
      </c>
      <c r="B4498" s="6">
        <v>45182</v>
      </c>
      <c r="C4498" s="6" t="str">
        <f t="shared" si="210"/>
        <v>Sep</v>
      </c>
      <c r="D4498" t="s">
        <v>1054</v>
      </c>
      <c r="E4498" t="s">
        <v>40</v>
      </c>
      <c r="F4498" t="s">
        <v>128</v>
      </c>
      <c r="G4498">
        <v>5</v>
      </c>
      <c r="H4498" s="7">
        <v>89.21</v>
      </c>
      <c r="I4498" t="s">
        <v>46</v>
      </c>
      <c r="J4498" t="s">
        <v>42</v>
      </c>
      <c r="K4498">
        <v>5</v>
      </c>
      <c r="L4498" s="7">
        <f t="shared" si="211"/>
        <v>446.04999999999995</v>
      </c>
      <c r="M4498" s="7"/>
      <c r="O4498">
        <f t="shared" si="212"/>
        <v>2</v>
      </c>
      <c r="Q4498" t="s">
        <v>47</v>
      </c>
    </row>
    <row r="4499" spans="1:17" x14ac:dyDescent="0.3">
      <c r="A4499" t="s">
        <v>5629</v>
      </c>
      <c r="B4499" s="6">
        <v>45236</v>
      </c>
      <c r="C4499" s="6" t="str">
        <f t="shared" si="210"/>
        <v>Nov</v>
      </c>
      <c r="D4499" t="s">
        <v>2535</v>
      </c>
      <c r="E4499" t="s">
        <v>31</v>
      </c>
      <c r="F4499" t="s">
        <v>722</v>
      </c>
      <c r="G4499">
        <v>5</v>
      </c>
      <c r="H4499" s="7">
        <v>382.13</v>
      </c>
      <c r="I4499" t="s">
        <v>32</v>
      </c>
      <c r="J4499" t="s">
        <v>72</v>
      </c>
      <c r="K4499">
        <v>10</v>
      </c>
      <c r="L4499" s="7">
        <f t="shared" si="211"/>
        <v>1910.65</v>
      </c>
      <c r="M4499" s="7"/>
      <c r="O4499">
        <f t="shared" si="212"/>
        <v>2</v>
      </c>
      <c r="Q4499" t="s">
        <v>33</v>
      </c>
    </row>
    <row r="4500" spans="1:17" x14ac:dyDescent="0.3">
      <c r="A4500" t="s">
        <v>5630</v>
      </c>
      <c r="B4500" s="6">
        <v>45252</v>
      </c>
      <c r="C4500" s="6" t="str">
        <f t="shared" si="210"/>
        <v>Nov</v>
      </c>
      <c r="D4500" t="s">
        <v>885</v>
      </c>
      <c r="E4500" t="s">
        <v>19</v>
      </c>
      <c r="F4500" t="s">
        <v>363</v>
      </c>
      <c r="G4500">
        <v>7</v>
      </c>
      <c r="H4500" s="7">
        <v>387.87</v>
      </c>
      <c r="I4500" t="s">
        <v>19</v>
      </c>
      <c r="J4500" t="s">
        <v>22</v>
      </c>
      <c r="K4500">
        <v>5</v>
      </c>
      <c r="L4500" s="7">
        <f t="shared" si="211"/>
        <v>2715.09</v>
      </c>
      <c r="M4500" s="7"/>
      <c r="O4500">
        <f t="shared" si="212"/>
        <v>3</v>
      </c>
      <c r="Q4500" t="s">
        <v>19</v>
      </c>
    </row>
    <row r="4501" spans="1:17" x14ac:dyDescent="0.3">
      <c r="A4501" t="s">
        <v>5631</v>
      </c>
      <c r="B4501" s="6">
        <v>45251</v>
      </c>
      <c r="C4501" s="6" t="str">
        <f t="shared" si="210"/>
        <v>Nov</v>
      </c>
      <c r="D4501" t="s">
        <v>349</v>
      </c>
      <c r="E4501" t="s">
        <v>31</v>
      </c>
      <c r="F4501" t="s">
        <v>1302</v>
      </c>
      <c r="G4501">
        <v>5</v>
      </c>
      <c r="H4501" s="7">
        <v>252.16</v>
      </c>
      <c r="I4501" t="s">
        <v>19</v>
      </c>
      <c r="J4501" t="s">
        <v>19</v>
      </c>
      <c r="K4501">
        <v>0</v>
      </c>
      <c r="L4501" s="7">
        <f t="shared" si="211"/>
        <v>1260.8</v>
      </c>
      <c r="M4501" s="7"/>
      <c r="O4501">
        <f t="shared" si="212"/>
        <v>2</v>
      </c>
      <c r="Q4501" t="s">
        <v>19</v>
      </c>
    </row>
    <row r="4502" spans="1:17" x14ac:dyDescent="0.3">
      <c r="A4502" t="s">
        <v>5632</v>
      </c>
      <c r="B4502" s="6">
        <v>45291</v>
      </c>
      <c r="C4502" s="6" t="str">
        <f t="shared" si="210"/>
        <v>Dec</v>
      </c>
      <c r="D4502" t="s">
        <v>1114</v>
      </c>
      <c r="E4502" t="s">
        <v>62</v>
      </c>
      <c r="F4502" t="s">
        <v>909</v>
      </c>
      <c r="G4502">
        <v>4</v>
      </c>
      <c r="H4502" s="7">
        <v>18.170000000000002</v>
      </c>
      <c r="I4502" t="s">
        <v>64</v>
      </c>
      <c r="J4502" t="s">
        <v>22</v>
      </c>
      <c r="K4502">
        <v>20</v>
      </c>
      <c r="L4502" s="7">
        <f t="shared" si="211"/>
        <v>72.680000000000007</v>
      </c>
      <c r="M4502" s="7"/>
      <c r="O4502">
        <f t="shared" si="212"/>
        <v>2</v>
      </c>
      <c r="Q4502" t="s">
        <v>65</v>
      </c>
    </row>
    <row r="4503" spans="1:17" x14ac:dyDescent="0.3">
      <c r="A4503" t="s">
        <v>5633</v>
      </c>
      <c r="B4503" s="6">
        <v>45051</v>
      </c>
      <c r="C4503" s="6" t="str">
        <f t="shared" si="210"/>
        <v>May</v>
      </c>
      <c r="D4503" t="s">
        <v>5254</v>
      </c>
      <c r="E4503" t="s">
        <v>31</v>
      </c>
      <c r="F4503" t="s">
        <v>254</v>
      </c>
      <c r="G4503">
        <v>5</v>
      </c>
      <c r="H4503" s="7">
        <v>252.16</v>
      </c>
      <c r="I4503" t="s">
        <v>46</v>
      </c>
      <c r="J4503" t="s">
        <v>42</v>
      </c>
      <c r="K4503">
        <v>20</v>
      </c>
      <c r="L4503" s="7">
        <f t="shared" si="211"/>
        <v>1260.8</v>
      </c>
      <c r="M4503" s="7"/>
      <c r="O4503">
        <f t="shared" si="212"/>
        <v>2</v>
      </c>
      <c r="Q4503" t="s">
        <v>47</v>
      </c>
    </row>
    <row r="4504" spans="1:17" x14ac:dyDescent="0.3">
      <c r="A4504" t="s">
        <v>5634</v>
      </c>
      <c r="B4504" s="6">
        <v>45236</v>
      </c>
      <c r="C4504" s="6" t="str">
        <f t="shared" si="210"/>
        <v>Nov</v>
      </c>
      <c r="D4504" t="s">
        <v>1287</v>
      </c>
      <c r="E4504" t="s">
        <v>26</v>
      </c>
      <c r="F4504" t="s">
        <v>1851</v>
      </c>
      <c r="G4504">
        <v>3</v>
      </c>
      <c r="H4504" s="7">
        <v>111.06</v>
      </c>
      <c r="I4504" t="s">
        <v>19</v>
      </c>
      <c r="J4504" t="s">
        <v>87</v>
      </c>
      <c r="K4504">
        <v>5</v>
      </c>
      <c r="L4504" s="7">
        <f t="shared" si="211"/>
        <v>333.18</v>
      </c>
      <c r="M4504" s="7"/>
      <c r="O4504">
        <f t="shared" si="212"/>
        <v>2</v>
      </c>
      <c r="Q4504" t="s">
        <v>19</v>
      </c>
    </row>
    <row r="4505" spans="1:17" x14ac:dyDescent="0.3">
      <c r="A4505" t="s">
        <v>5635</v>
      </c>
      <c r="B4505" s="6">
        <v>45208</v>
      </c>
      <c r="C4505" s="6" t="str">
        <f t="shared" si="210"/>
        <v>Oct</v>
      </c>
      <c r="D4505" t="s">
        <v>1673</v>
      </c>
      <c r="E4505" t="s">
        <v>31</v>
      </c>
      <c r="F4505" t="s">
        <v>37</v>
      </c>
      <c r="G4505">
        <v>4</v>
      </c>
      <c r="H4505" s="7">
        <v>173.74</v>
      </c>
      <c r="I4505" t="s">
        <v>64</v>
      </c>
      <c r="J4505" t="s">
        <v>28</v>
      </c>
      <c r="K4505">
        <v>10</v>
      </c>
      <c r="L4505" s="7">
        <f t="shared" si="211"/>
        <v>694.96</v>
      </c>
      <c r="M4505" s="7"/>
      <c r="O4505">
        <f t="shared" si="212"/>
        <v>2</v>
      </c>
      <c r="Q4505" t="s">
        <v>65</v>
      </c>
    </row>
    <row r="4506" spans="1:17" x14ac:dyDescent="0.3">
      <c r="A4506" t="s">
        <v>5636</v>
      </c>
      <c r="B4506" s="6">
        <v>45021</v>
      </c>
      <c r="C4506" s="6" t="str">
        <f t="shared" si="210"/>
        <v>Apr</v>
      </c>
      <c r="D4506" t="s">
        <v>262</v>
      </c>
      <c r="E4506" t="s">
        <v>26</v>
      </c>
      <c r="F4506" t="s">
        <v>188</v>
      </c>
      <c r="G4506">
        <v>4</v>
      </c>
      <c r="H4506" s="7">
        <v>393.55</v>
      </c>
      <c r="I4506" t="s">
        <v>64</v>
      </c>
      <c r="J4506" t="s">
        <v>42</v>
      </c>
      <c r="K4506">
        <v>15</v>
      </c>
      <c r="L4506" s="7">
        <f t="shared" si="211"/>
        <v>1574.2</v>
      </c>
      <c r="M4506" s="7"/>
      <c r="O4506">
        <f t="shared" si="212"/>
        <v>2</v>
      </c>
      <c r="Q4506" t="s">
        <v>65</v>
      </c>
    </row>
    <row r="4507" spans="1:17" x14ac:dyDescent="0.3">
      <c r="A4507" t="s">
        <v>5637</v>
      </c>
      <c r="B4507" s="6">
        <v>45126</v>
      </c>
      <c r="C4507" s="6" t="str">
        <f t="shared" si="210"/>
        <v>Jul</v>
      </c>
      <c r="D4507" t="s">
        <v>1091</v>
      </c>
      <c r="E4507" t="s">
        <v>62</v>
      </c>
      <c r="F4507" t="s">
        <v>234</v>
      </c>
      <c r="G4507">
        <v>3</v>
      </c>
      <c r="H4507" s="7">
        <v>100.06</v>
      </c>
      <c r="I4507" t="s">
        <v>32</v>
      </c>
      <c r="J4507" t="s">
        <v>22</v>
      </c>
      <c r="K4507">
        <v>10</v>
      </c>
      <c r="L4507" s="7">
        <f t="shared" si="211"/>
        <v>300.18</v>
      </c>
      <c r="M4507" s="7"/>
      <c r="O4507">
        <f t="shared" si="212"/>
        <v>2</v>
      </c>
      <c r="Q4507" t="s">
        <v>33</v>
      </c>
    </row>
    <row r="4508" spans="1:17" x14ac:dyDescent="0.3">
      <c r="A4508" t="s">
        <v>5638</v>
      </c>
      <c r="B4508" s="6">
        <v>45249</v>
      </c>
      <c r="C4508" s="6" t="str">
        <f t="shared" si="210"/>
        <v>Nov</v>
      </c>
      <c r="D4508" t="s">
        <v>5544</v>
      </c>
      <c r="E4508" t="s">
        <v>31</v>
      </c>
      <c r="F4508" t="s">
        <v>800</v>
      </c>
      <c r="G4508">
        <v>5</v>
      </c>
      <c r="H4508" s="7">
        <v>320.98</v>
      </c>
      <c r="I4508" t="s">
        <v>103</v>
      </c>
      <c r="J4508" t="s">
        <v>87</v>
      </c>
      <c r="K4508">
        <v>5</v>
      </c>
      <c r="L4508" s="7">
        <f t="shared" si="211"/>
        <v>1604.9</v>
      </c>
      <c r="M4508" s="7"/>
      <c r="O4508">
        <f t="shared" si="212"/>
        <v>2</v>
      </c>
      <c r="Q4508" t="s">
        <v>104</v>
      </c>
    </row>
    <row r="4509" spans="1:17" x14ac:dyDescent="0.3">
      <c r="A4509" t="s">
        <v>5639</v>
      </c>
      <c r="B4509" s="6">
        <v>45210</v>
      </c>
      <c r="C4509" s="6" t="str">
        <f t="shared" si="210"/>
        <v>Oct</v>
      </c>
      <c r="D4509" t="s">
        <v>2537</v>
      </c>
      <c r="E4509" t="s">
        <v>19</v>
      </c>
      <c r="F4509" t="s">
        <v>800</v>
      </c>
      <c r="G4509">
        <v>5</v>
      </c>
      <c r="H4509" s="7">
        <v>329.01</v>
      </c>
      <c r="I4509" t="s">
        <v>103</v>
      </c>
      <c r="J4509" t="s">
        <v>28</v>
      </c>
      <c r="K4509">
        <v>5</v>
      </c>
      <c r="L4509" s="7">
        <f t="shared" si="211"/>
        <v>1645.05</v>
      </c>
      <c r="M4509" s="7"/>
      <c r="O4509">
        <f t="shared" si="212"/>
        <v>2</v>
      </c>
      <c r="Q4509" t="s">
        <v>104</v>
      </c>
    </row>
    <row r="4510" spans="1:17" x14ac:dyDescent="0.3">
      <c r="A4510" t="s">
        <v>5640</v>
      </c>
      <c r="B4510" s="6">
        <v>44974</v>
      </c>
      <c r="C4510" s="6" t="str">
        <f t="shared" si="210"/>
        <v>Feb</v>
      </c>
      <c r="D4510" t="s">
        <v>2184</v>
      </c>
      <c r="E4510" t="s">
        <v>19</v>
      </c>
      <c r="F4510" t="s">
        <v>514</v>
      </c>
      <c r="G4510">
        <v>7</v>
      </c>
      <c r="H4510" s="7">
        <v>477.28</v>
      </c>
      <c r="I4510" t="s">
        <v>19</v>
      </c>
      <c r="J4510" t="s">
        <v>19</v>
      </c>
      <c r="K4510">
        <v>10</v>
      </c>
      <c r="L4510" s="7">
        <f t="shared" si="211"/>
        <v>3340.96</v>
      </c>
      <c r="M4510" s="7"/>
      <c r="O4510">
        <f t="shared" si="212"/>
        <v>4</v>
      </c>
      <c r="Q4510" t="s">
        <v>19</v>
      </c>
    </row>
    <row r="4511" spans="1:17" x14ac:dyDescent="0.3">
      <c r="A4511" t="s">
        <v>5641</v>
      </c>
      <c r="B4511" s="6">
        <v>45137</v>
      </c>
      <c r="C4511" s="6" t="str">
        <f t="shared" si="210"/>
        <v>Jul</v>
      </c>
      <c r="D4511" t="s">
        <v>1171</v>
      </c>
      <c r="E4511" t="s">
        <v>19</v>
      </c>
      <c r="F4511" t="s">
        <v>504</v>
      </c>
      <c r="G4511">
        <v>4</v>
      </c>
      <c r="H4511" s="7">
        <v>388.7</v>
      </c>
      <c r="I4511" t="s">
        <v>21</v>
      </c>
      <c r="J4511" t="s">
        <v>72</v>
      </c>
      <c r="K4511">
        <v>15</v>
      </c>
      <c r="L4511" s="7">
        <f t="shared" si="211"/>
        <v>1554.8</v>
      </c>
      <c r="M4511" s="7"/>
      <c r="O4511">
        <f t="shared" si="212"/>
        <v>2</v>
      </c>
      <c r="Q4511" t="s">
        <v>23</v>
      </c>
    </row>
    <row r="4512" spans="1:17" x14ac:dyDescent="0.3">
      <c r="A4512" t="s">
        <v>5642</v>
      </c>
      <c r="B4512" s="6">
        <v>45215</v>
      </c>
      <c r="C4512" s="6" t="str">
        <f t="shared" si="210"/>
        <v>Oct</v>
      </c>
      <c r="D4512" t="s">
        <v>2138</v>
      </c>
      <c r="E4512" t="s">
        <v>19</v>
      </c>
      <c r="F4512" t="s">
        <v>749</v>
      </c>
      <c r="G4512">
        <v>4</v>
      </c>
      <c r="H4512" s="7">
        <v>402.8</v>
      </c>
      <c r="I4512" t="s">
        <v>103</v>
      </c>
      <c r="J4512" t="s">
        <v>28</v>
      </c>
      <c r="K4512">
        <v>5</v>
      </c>
      <c r="L4512" s="7">
        <f t="shared" si="211"/>
        <v>1611.2</v>
      </c>
      <c r="M4512" s="7"/>
      <c r="O4512">
        <f t="shared" si="212"/>
        <v>2</v>
      </c>
      <c r="Q4512" t="s">
        <v>104</v>
      </c>
    </row>
    <row r="4513" spans="1:17" x14ac:dyDescent="0.3">
      <c r="A4513" t="s">
        <v>5643</v>
      </c>
      <c r="B4513" s="6">
        <v>45260</v>
      </c>
      <c r="C4513" s="6" t="str">
        <f t="shared" si="210"/>
        <v>Nov</v>
      </c>
      <c r="D4513" t="s">
        <v>3229</v>
      </c>
      <c r="E4513" t="s">
        <v>31</v>
      </c>
      <c r="F4513" t="s">
        <v>504</v>
      </c>
      <c r="G4513">
        <v>9</v>
      </c>
      <c r="H4513" s="7">
        <v>268.14</v>
      </c>
      <c r="I4513" t="s">
        <v>32</v>
      </c>
      <c r="J4513" t="s">
        <v>22</v>
      </c>
      <c r="K4513">
        <v>0</v>
      </c>
      <c r="L4513" s="7">
        <f t="shared" si="211"/>
        <v>2413.2599999999998</v>
      </c>
      <c r="M4513" s="7"/>
      <c r="O4513">
        <f t="shared" si="212"/>
        <v>2</v>
      </c>
      <c r="Q4513" t="s">
        <v>33</v>
      </c>
    </row>
    <row r="4514" spans="1:17" x14ac:dyDescent="0.3">
      <c r="A4514" t="s">
        <v>5644</v>
      </c>
      <c r="B4514" s="6">
        <v>45073</v>
      </c>
      <c r="C4514" s="6" t="str">
        <f t="shared" si="210"/>
        <v>May</v>
      </c>
      <c r="D4514" t="s">
        <v>727</v>
      </c>
      <c r="E4514" t="s">
        <v>26</v>
      </c>
      <c r="F4514" t="s">
        <v>214</v>
      </c>
      <c r="G4514">
        <v>6</v>
      </c>
      <c r="H4514" s="7">
        <v>97.46</v>
      </c>
      <c r="I4514" t="s">
        <v>103</v>
      </c>
      <c r="J4514" t="s">
        <v>42</v>
      </c>
      <c r="K4514">
        <v>15</v>
      </c>
      <c r="L4514" s="7">
        <f t="shared" si="211"/>
        <v>584.76</v>
      </c>
      <c r="M4514" s="7"/>
      <c r="O4514">
        <f t="shared" si="212"/>
        <v>2</v>
      </c>
      <c r="Q4514" t="s">
        <v>104</v>
      </c>
    </row>
    <row r="4515" spans="1:17" x14ac:dyDescent="0.3">
      <c r="A4515" t="s">
        <v>5645</v>
      </c>
      <c r="B4515" s="6">
        <v>45030</v>
      </c>
      <c r="C4515" s="6" t="str">
        <f t="shared" si="210"/>
        <v>Apr</v>
      </c>
      <c r="D4515" t="s">
        <v>762</v>
      </c>
      <c r="E4515" t="s">
        <v>31</v>
      </c>
      <c r="F4515" t="s">
        <v>110</v>
      </c>
      <c r="G4515">
        <v>4</v>
      </c>
      <c r="H4515" s="7">
        <v>215.65</v>
      </c>
      <c r="I4515" t="s">
        <v>21</v>
      </c>
      <c r="J4515" t="s">
        <v>87</v>
      </c>
      <c r="K4515">
        <v>0</v>
      </c>
      <c r="L4515" s="7">
        <f t="shared" si="211"/>
        <v>862.6</v>
      </c>
      <c r="M4515" s="7"/>
      <c r="O4515">
        <f t="shared" si="212"/>
        <v>2</v>
      </c>
      <c r="Q4515" t="s">
        <v>23</v>
      </c>
    </row>
    <row r="4516" spans="1:17" x14ac:dyDescent="0.3">
      <c r="A4516" t="s">
        <v>5646</v>
      </c>
      <c r="B4516" s="6">
        <v>45236</v>
      </c>
      <c r="C4516" s="6" t="str">
        <f t="shared" si="210"/>
        <v>Nov</v>
      </c>
      <c r="D4516" t="s">
        <v>259</v>
      </c>
      <c r="E4516" t="s">
        <v>50</v>
      </c>
      <c r="F4516" t="s">
        <v>198</v>
      </c>
      <c r="G4516">
        <v>2</v>
      </c>
      <c r="H4516" s="7">
        <v>277</v>
      </c>
      <c r="I4516" t="s">
        <v>19</v>
      </c>
      <c r="J4516" t="s">
        <v>22</v>
      </c>
      <c r="K4516">
        <v>20</v>
      </c>
      <c r="L4516" s="7">
        <f t="shared" si="211"/>
        <v>554</v>
      </c>
      <c r="M4516" s="7"/>
      <c r="O4516">
        <f t="shared" si="212"/>
        <v>2</v>
      </c>
      <c r="Q4516" t="s">
        <v>19</v>
      </c>
    </row>
    <row r="4517" spans="1:17" x14ac:dyDescent="0.3">
      <c r="A4517" t="s">
        <v>5647</v>
      </c>
      <c r="B4517" s="6">
        <v>45146</v>
      </c>
      <c r="C4517" s="6" t="str">
        <f t="shared" si="210"/>
        <v>Aug</v>
      </c>
      <c r="D4517" t="s">
        <v>2883</v>
      </c>
      <c r="E4517" t="s">
        <v>19</v>
      </c>
      <c r="F4517" t="s">
        <v>450</v>
      </c>
      <c r="G4517">
        <v>6</v>
      </c>
      <c r="H4517" s="7">
        <v>340.82</v>
      </c>
      <c r="I4517" t="s">
        <v>46</v>
      </c>
      <c r="J4517" t="s">
        <v>42</v>
      </c>
      <c r="K4517">
        <v>10</v>
      </c>
      <c r="L4517" s="7">
        <f t="shared" si="211"/>
        <v>2044.92</v>
      </c>
      <c r="M4517" s="7"/>
      <c r="O4517">
        <f t="shared" si="212"/>
        <v>2</v>
      </c>
      <c r="Q4517" t="s">
        <v>47</v>
      </c>
    </row>
    <row r="4518" spans="1:17" x14ac:dyDescent="0.3">
      <c r="A4518" t="s">
        <v>5648</v>
      </c>
      <c r="B4518" s="6">
        <v>45012</v>
      </c>
      <c r="C4518" s="6" t="str">
        <f t="shared" si="210"/>
        <v>Mar</v>
      </c>
      <c r="D4518" t="s">
        <v>2843</v>
      </c>
      <c r="E4518" t="s">
        <v>40</v>
      </c>
      <c r="F4518" t="s">
        <v>619</v>
      </c>
      <c r="G4518">
        <v>2</v>
      </c>
      <c r="H4518" s="7">
        <v>305.82</v>
      </c>
      <c r="I4518" t="s">
        <v>32</v>
      </c>
      <c r="J4518" t="s">
        <v>19</v>
      </c>
      <c r="K4518">
        <v>15</v>
      </c>
      <c r="L4518" s="7">
        <f t="shared" si="211"/>
        <v>611.64</v>
      </c>
      <c r="M4518" s="7"/>
      <c r="O4518">
        <f t="shared" si="212"/>
        <v>2</v>
      </c>
      <c r="Q4518" t="s">
        <v>33</v>
      </c>
    </row>
    <row r="4519" spans="1:17" x14ac:dyDescent="0.3">
      <c r="A4519" t="s">
        <v>5649</v>
      </c>
      <c r="B4519" s="6">
        <v>44963</v>
      </c>
      <c r="C4519" s="6" t="str">
        <f t="shared" si="210"/>
        <v>Feb</v>
      </c>
      <c r="D4519" t="s">
        <v>1828</v>
      </c>
      <c r="E4519" t="s">
        <v>36</v>
      </c>
      <c r="F4519" t="s">
        <v>1194</v>
      </c>
      <c r="G4519">
        <v>5</v>
      </c>
      <c r="H4519" s="7">
        <v>200.02</v>
      </c>
      <c r="I4519" t="s">
        <v>103</v>
      </c>
      <c r="J4519" t="s">
        <v>72</v>
      </c>
      <c r="K4519">
        <v>15</v>
      </c>
      <c r="L4519" s="7">
        <f t="shared" si="211"/>
        <v>1000.1</v>
      </c>
      <c r="M4519" s="7"/>
      <c r="O4519">
        <f t="shared" si="212"/>
        <v>2</v>
      </c>
      <c r="Q4519" t="s">
        <v>104</v>
      </c>
    </row>
    <row r="4520" spans="1:17" x14ac:dyDescent="0.3">
      <c r="A4520" t="s">
        <v>5650</v>
      </c>
      <c r="B4520" s="6">
        <v>45259</v>
      </c>
      <c r="C4520" s="6" t="str">
        <f t="shared" si="210"/>
        <v>Nov</v>
      </c>
      <c r="D4520" t="s">
        <v>774</v>
      </c>
      <c r="E4520" t="s">
        <v>19</v>
      </c>
      <c r="F4520" t="s">
        <v>1302</v>
      </c>
      <c r="G4520">
        <v>6</v>
      </c>
      <c r="H4520" s="7">
        <v>136.33000000000001</v>
      </c>
      <c r="I4520" t="s">
        <v>46</v>
      </c>
      <c r="J4520" t="s">
        <v>87</v>
      </c>
      <c r="K4520">
        <v>10</v>
      </c>
      <c r="L4520" s="7">
        <f t="shared" si="211"/>
        <v>817.98</v>
      </c>
      <c r="M4520" s="7"/>
      <c r="O4520">
        <f t="shared" si="212"/>
        <v>2</v>
      </c>
      <c r="Q4520" t="s">
        <v>47</v>
      </c>
    </row>
    <row r="4521" spans="1:17" x14ac:dyDescent="0.3">
      <c r="A4521" t="s">
        <v>5651</v>
      </c>
      <c r="B4521" s="6">
        <v>45131</v>
      </c>
      <c r="C4521" s="6" t="str">
        <f t="shared" si="210"/>
        <v>Jul</v>
      </c>
      <c r="D4521" t="s">
        <v>1110</v>
      </c>
      <c r="E4521" t="s">
        <v>19</v>
      </c>
      <c r="F4521" t="s">
        <v>99</v>
      </c>
      <c r="G4521">
        <v>4</v>
      </c>
      <c r="H4521" s="7">
        <v>88.27</v>
      </c>
      <c r="I4521" t="s">
        <v>32</v>
      </c>
      <c r="J4521" t="s">
        <v>72</v>
      </c>
      <c r="K4521">
        <v>10</v>
      </c>
      <c r="L4521" s="7">
        <f t="shared" si="211"/>
        <v>353.08</v>
      </c>
      <c r="M4521" s="7"/>
      <c r="O4521">
        <f t="shared" si="212"/>
        <v>2</v>
      </c>
      <c r="Q4521" t="s">
        <v>33</v>
      </c>
    </row>
    <row r="4522" spans="1:17" x14ac:dyDescent="0.3">
      <c r="A4522" t="s">
        <v>5652</v>
      </c>
      <c r="B4522" s="6">
        <v>45261</v>
      </c>
      <c r="C4522" s="6" t="str">
        <f t="shared" si="210"/>
        <v>Dec</v>
      </c>
      <c r="D4522" t="s">
        <v>4384</v>
      </c>
      <c r="E4522" t="s">
        <v>36</v>
      </c>
      <c r="F4522" t="s">
        <v>193</v>
      </c>
      <c r="G4522">
        <v>3</v>
      </c>
      <c r="H4522" s="7">
        <v>348.45</v>
      </c>
      <c r="I4522" t="s">
        <v>21</v>
      </c>
      <c r="J4522" t="s">
        <v>19</v>
      </c>
      <c r="K4522">
        <v>10</v>
      </c>
      <c r="L4522" s="7">
        <f t="shared" si="211"/>
        <v>1045.3499999999999</v>
      </c>
      <c r="M4522" s="7"/>
      <c r="O4522">
        <f t="shared" si="212"/>
        <v>2</v>
      </c>
      <c r="Q4522" t="s">
        <v>23</v>
      </c>
    </row>
    <row r="4523" spans="1:17" x14ac:dyDescent="0.3">
      <c r="A4523" t="s">
        <v>5653</v>
      </c>
      <c r="B4523" s="6">
        <v>45246</v>
      </c>
      <c r="C4523" s="6" t="str">
        <f t="shared" si="210"/>
        <v>Nov</v>
      </c>
      <c r="D4523" t="s">
        <v>629</v>
      </c>
      <c r="E4523" t="s">
        <v>19</v>
      </c>
      <c r="F4523" t="s">
        <v>1282</v>
      </c>
      <c r="G4523">
        <v>5</v>
      </c>
      <c r="H4523" s="7">
        <v>324.47000000000003</v>
      </c>
      <c r="I4523" t="s">
        <v>64</v>
      </c>
      <c r="J4523" t="s">
        <v>19</v>
      </c>
      <c r="K4523">
        <v>15</v>
      </c>
      <c r="L4523" s="7">
        <f t="shared" si="211"/>
        <v>1622.3500000000001</v>
      </c>
      <c r="M4523" s="7"/>
      <c r="O4523">
        <f t="shared" si="212"/>
        <v>2</v>
      </c>
      <c r="Q4523" t="s">
        <v>65</v>
      </c>
    </row>
    <row r="4524" spans="1:17" x14ac:dyDescent="0.3">
      <c r="A4524" t="s">
        <v>5654</v>
      </c>
      <c r="B4524" s="6">
        <v>44987</v>
      </c>
      <c r="C4524" s="6" t="str">
        <f t="shared" si="210"/>
        <v>Mar</v>
      </c>
      <c r="D4524" t="s">
        <v>2032</v>
      </c>
      <c r="E4524" t="s">
        <v>26</v>
      </c>
      <c r="F4524" t="s">
        <v>122</v>
      </c>
      <c r="G4524">
        <v>2</v>
      </c>
      <c r="H4524" s="7">
        <v>345.25</v>
      </c>
      <c r="I4524" t="s">
        <v>103</v>
      </c>
      <c r="J4524" t="s">
        <v>72</v>
      </c>
      <c r="K4524">
        <v>20</v>
      </c>
      <c r="L4524" s="7">
        <f t="shared" si="211"/>
        <v>690.5</v>
      </c>
      <c r="M4524" s="7"/>
      <c r="O4524">
        <f t="shared" si="212"/>
        <v>2</v>
      </c>
      <c r="Q4524" t="s">
        <v>104</v>
      </c>
    </row>
    <row r="4525" spans="1:17" x14ac:dyDescent="0.3">
      <c r="A4525" t="s">
        <v>5655</v>
      </c>
      <c r="B4525" s="6">
        <v>45146</v>
      </c>
      <c r="C4525" s="6" t="str">
        <f t="shared" si="210"/>
        <v>Aug</v>
      </c>
      <c r="D4525" t="s">
        <v>25</v>
      </c>
      <c r="E4525" t="s">
        <v>50</v>
      </c>
      <c r="F4525" t="s">
        <v>165</v>
      </c>
      <c r="G4525">
        <v>6</v>
      </c>
      <c r="H4525" s="7">
        <v>189.4</v>
      </c>
      <c r="I4525" t="s">
        <v>21</v>
      </c>
      <c r="J4525" t="s">
        <v>19</v>
      </c>
      <c r="K4525">
        <v>5</v>
      </c>
      <c r="L4525" s="7">
        <f t="shared" si="211"/>
        <v>1136.4000000000001</v>
      </c>
      <c r="M4525" s="7"/>
      <c r="O4525">
        <f t="shared" si="212"/>
        <v>2</v>
      </c>
      <c r="Q4525" t="s">
        <v>23</v>
      </c>
    </row>
    <row r="4526" spans="1:17" x14ac:dyDescent="0.3">
      <c r="A4526" t="s">
        <v>5656</v>
      </c>
      <c r="B4526" s="6">
        <v>44982</v>
      </c>
      <c r="C4526" s="6" t="str">
        <f t="shared" si="210"/>
        <v>Feb</v>
      </c>
      <c r="D4526" t="s">
        <v>178</v>
      </c>
      <c r="E4526" t="s">
        <v>36</v>
      </c>
      <c r="F4526" t="s">
        <v>208</v>
      </c>
      <c r="G4526">
        <v>4</v>
      </c>
      <c r="H4526" s="7">
        <v>134.88999999999999</v>
      </c>
      <c r="I4526" t="s">
        <v>21</v>
      </c>
      <c r="J4526" t="s">
        <v>19</v>
      </c>
      <c r="K4526">
        <v>10</v>
      </c>
      <c r="L4526" s="7">
        <f t="shared" si="211"/>
        <v>539.55999999999995</v>
      </c>
      <c r="M4526" s="7"/>
      <c r="O4526">
        <f t="shared" si="212"/>
        <v>2</v>
      </c>
      <c r="Q4526" t="s">
        <v>23</v>
      </c>
    </row>
    <row r="4527" spans="1:17" x14ac:dyDescent="0.3">
      <c r="A4527" t="s">
        <v>5657</v>
      </c>
      <c r="B4527" s="6">
        <v>45066</v>
      </c>
      <c r="C4527" s="6" t="str">
        <f t="shared" si="210"/>
        <v>May</v>
      </c>
      <c r="D4527" t="s">
        <v>1156</v>
      </c>
      <c r="E4527" t="s">
        <v>19</v>
      </c>
      <c r="F4527" t="s">
        <v>909</v>
      </c>
      <c r="G4527">
        <v>6</v>
      </c>
      <c r="H4527" s="7">
        <v>381.06</v>
      </c>
      <c r="I4527" t="s">
        <v>21</v>
      </c>
      <c r="J4527" t="s">
        <v>28</v>
      </c>
      <c r="K4527">
        <v>10</v>
      </c>
      <c r="L4527" s="7">
        <f t="shared" si="211"/>
        <v>2286.36</v>
      </c>
      <c r="M4527" s="7"/>
      <c r="O4527">
        <f t="shared" si="212"/>
        <v>2</v>
      </c>
      <c r="Q4527" t="s">
        <v>23</v>
      </c>
    </row>
    <row r="4528" spans="1:17" x14ac:dyDescent="0.3">
      <c r="A4528" t="s">
        <v>5658</v>
      </c>
      <c r="B4528" s="6">
        <v>45254</v>
      </c>
      <c r="C4528" s="6" t="str">
        <f t="shared" si="210"/>
        <v>Nov</v>
      </c>
      <c r="D4528" t="s">
        <v>1898</v>
      </c>
      <c r="E4528" t="s">
        <v>62</v>
      </c>
      <c r="F4528" t="s">
        <v>1461</v>
      </c>
      <c r="G4528">
        <v>4</v>
      </c>
      <c r="H4528" s="7">
        <v>387.96</v>
      </c>
      <c r="I4528" t="s">
        <v>21</v>
      </c>
      <c r="J4528" t="s">
        <v>22</v>
      </c>
      <c r="K4528">
        <v>10</v>
      </c>
      <c r="L4528" s="7">
        <f t="shared" si="211"/>
        <v>1551.84</v>
      </c>
      <c r="M4528" s="7"/>
      <c r="O4528">
        <f t="shared" si="212"/>
        <v>2</v>
      </c>
      <c r="Q4528" t="s">
        <v>23</v>
      </c>
    </row>
    <row r="4529" spans="1:17" x14ac:dyDescent="0.3">
      <c r="A4529" t="s">
        <v>5659</v>
      </c>
      <c r="B4529" s="6">
        <v>44976</v>
      </c>
      <c r="C4529" s="6" t="str">
        <f t="shared" si="210"/>
        <v>Feb</v>
      </c>
      <c r="D4529" t="s">
        <v>565</v>
      </c>
      <c r="E4529" t="s">
        <v>19</v>
      </c>
      <c r="F4529" t="s">
        <v>334</v>
      </c>
      <c r="G4529">
        <v>4</v>
      </c>
      <c r="H4529" s="7">
        <v>230.53</v>
      </c>
      <c r="I4529" t="s">
        <v>46</v>
      </c>
      <c r="J4529" t="s">
        <v>22</v>
      </c>
      <c r="K4529">
        <v>20</v>
      </c>
      <c r="L4529" s="7">
        <f t="shared" si="211"/>
        <v>922.12</v>
      </c>
      <c r="M4529" s="7"/>
      <c r="O4529">
        <f t="shared" si="212"/>
        <v>2</v>
      </c>
      <c r="Q4529" t="s">
        <v>47</v>
      </c>
    </row>
    <row r="4530" spans="1:17" x14ac:dyDescent="0.3">
      <c r="A4530" t="s">
        <v>5660</v>
      </c>
      <c r="B4530" s="6">
        <v>45196</v>
      </c>
      <c r="C4530" s="6" t="str">
        <f t="shared" si="210"/>
        <v>Sep</v>
      </c>
      <c r="D4530" t="s">
        <v>2687</v>
      </c>
      <c r="E4530" t="s">
        <v>62</v>
      </c>
      <c r="F4530" t="s">
        <v>231</v>
      </c>
      <c r="G4530">
        <v>4</v>
      </c>
      <c r="H4530" s="7">
        <v>307.89</v>
      </c>
      <c r="I4530" t="s">
        <v>21</v>
      </c>
      <c r="J4530" t="s">
        <v>87</v>
      </c>
      <c r="K4530">
        <v>10</v>
      </c>
      <c r="L4530" s="7">
        <f t="shared" si="211"/>
        <v>1231.56</v>
      </c>
      <c r="M4530" s="7"/>
      <c r="O4530">
        <f t="shared" si="212"/>
        <v>2</v>
      </c>
      <c r="Q4530" t="s">
        <v>23</v>
      </c>
    </row>
    <row r="4531" spans="1:17" x14ac:dyDescent="0.3">
      <c r="A4531" t="s">
        <v>5661</v>
      </c>
      <c r="B4531" s="6">
        <v>45192</v>
      </c>
      <c r="C4531" s="6" t="str">
        <f t="shared" si="210"/>
        <v>Sep</v>
      </c>
      <c r="D4531" t="s">
        <v>533</v>
      </c>
      <c r="E4531" t="s">
        <v>50</v>
      </c>
      <c r="F4531" t="s">
        <v>190</v>
      </c>
      <c r="G4531">
        <v>9</v>
      </c>
      <c r="H4531" s="7">
        <v>189.89</v>
      </c>
      <c r="I4531" t="s">
        <v>103</v>
      </c>
      <c r="J4531" t="s">
        <v>22</v>
      </c>
      <c r="K4531">
        <v>20</v>
      </c>
      <c r="L4531" s="7">
        <f t="shared" si="211"/>
        <v>1709.0099999999998</v>
      </c>
      <c r="M4531" s="7"/>
      <c r="O4531">
        <f t="shared" si="212"/>
        <v>2</v>
      </c>
      <c r="Q4531" t="s">
        <v>104</v>
      </c>
    </row>
    <row r="4532" spans="1:17" x14ac:dyDescent="0.3">
      <c r="A4532" t="s">
        <v>5662</v>
      </c>
      <c r="B4532" s="6">
        <v>45230</v>
      </c>
      <c r="C4532" s="6" t="str">
        <f t="shared" si="210"/>
        <v>Oct</v>
      </c>
      <c r="D4532" t="s">
        <v>130</v>
      </c>
      <c r="E4532" t="s">
        <v>19</v>
      </c>
      <c r="F4532" t="s">
        <v>807</v>
      </c>
      <c r="G4532">
        <v>7</v>
      </c>
      <c r="H4532" s="7">
        <v>352.46</v>
      </c>
      <c r="I4532" t="s">
        <v>64</v>
      </c>
      <c r="J4532" t="s">
        <v>19</v>
      </c>
      <c r="K4532">
        <v>10</v>
      </c>
      <c r="L4532" s="7">
        <f t="shared" si="211"/>
        <v>2467.2199999999998</v>
      </c>
      <c r="M4532" s="7"/>
      <c r="O4532">
        <f t="shared" si="212"/>
        <v>2</v>
      </c>
      <c r="Q4532" t="s">
        <v>65</v>
      </c>
    </row>
    <row r="4533" spans="1:17" x14ac:dyDescent="0.3">
      <c r="A4533" t="s">
        <v>5663</v>
      </c>
      <c r="B4533" s="6">
        <v>44946</v>
      </c>
      <c r="C4533" s="6" t="str">
        <f t="shared" si="210"/>
        <v>Jan</v>
      </c>
      <c r="D4533" t="s">
        <v>1017</v>
      </c>
      <c r="E4533" t="s">
        <v>62</v>
      </c>
      <c r="F4533" t="s">
        <v>486</v>
      </c>
      <c r="G4533">
        <v>3</v>
      </c>
      <c r="H4533" s="7">
        <v>418.68</v>
      </c>
      <c r="I4533" t="s">
        <v>64</v>
      </c>
      <c r="J4533" t="s">
        <v>42</v>
      </c>
      <c r="K4533">
        <v>10</v>
      </c>
      <c r="L4533" s="7">
        <f t="shared" si="211"/>
        <v>1256.04</v>
      </c>
      <c r="M4533" s="7"/>
      <c r="O4533">
        <f t="shared" si="212"/>
        <v>2</v>
      </c>
      <c r="Q4533" t="s">
        <v>65</v>
      </c>
    </row>
    <row r="4534" spans="1:17" x14ac:dyDescent="0.3">
      <c r="A4534" t="s">
        <v>5664</v>
      </c>
      <c r="B4534" s="6">
        <v>45161</v>
      </c>
      <c r="C4534" s="6" t="str">
        <f t="shared" si="210"/>
        <v>Aug</v>
      </c>
      <c r="D4534" t="s">
        <v>1916</v>
      </c>
      <c r="E4534" t="s">
        <v>19</v>
      </c>
      <c r="F4534" t="s">
        <v>139</v>
      </c>
      <c r="G4534">
        <v>3</v>
      </c>
      <c r="H4534" s="7">
        <v>345.68</v>
      </c>
      <c r="I4534" t="s">
        <v>64</v>
      </c>
      <c r="J4534" t="s">
        <v>19</v>
      </c>
      <c r="K4534">
        <v>5</v>
      </c>
      <c r="L4534" s="7">
        <f t="shared" si="211"/>
        <v>1037.04</v>
      </c>
      <c r="M4534" s="7"/>
      <c r="O4534">
        <f t="shared" si="212"/>
        <v>2</v>
      </c>
      <c r="Q4534" t="s">
        <v>65</v>
      </c>
    </row>
    <row r="4535" spans="1:17" x14ac:dyDescent="0.3">
      <c r="A4535" t="s">
        <v>5665</v>
      </c>
      <c r="B4535" s="6">
        <v>45274</v>
      </c>
      <c r="C4535" s="6" t="str">
        <f t="shared" si="210"/>
        <v>Dec</v>
      </c>
      <c r="D4535" t="s">
        <v>5154</v>
      </c>
      <c r="E4535" t="s">
        <v>40</v>
      </c>
      <c r="F4535" t="s">
        <v>1568</v>
      </c>
      <c r="G4535">
        <v>5</v>
      </c>
      <c r="H4535" s="7">
        <v>258.73</v>
      </c>
      <c r="I4535" t="s">
        <v>64</v>
      </c>
      <c r="J4535" t="s">
        <v>22</v>
      </c>
      <c r="K4535">
        <v>10</v>
      </c>
      <c r="L4535" s="7">
        <f t="shared" si="211"/>
        <v>1293.6500000000001</v>
      </c>
      <c r="M4535" s="7"/>
      <c r="O4535">
        <f t="shared" si="212"/>
        <v>2</v>
      </c>
      <c r="Q4535" t="s">
        <v>65</v>
      </c>
    </row>
    <row r="4536" spans="1:17" x14ac:dyDescent="0.3">
      <c r="A4536" t="s">
        <v>5666</v>
      </c>
      <c r="B4536" s="6">
        <v>45019</v>
      </c>
      <c r="C4536" s="6" t="str">
        <f t="shared" si="210"/>
        <v>Apr</v>
      </c>
      <c r="D4536" t="s">
        <v>1254</v>
      </c>
      <c r="E4536" t="s">
        <v>36</v>
      </c>
      <c r="F4536" t="s">
        <v>198</v>
      </c>
      <c r="G4536">
        <v>6</v>
      </c>
      <c r="H4536" s="7">
        <v>232.04</v>
      </c>
      <c r="I4536" t="s">
        <v>32</v>
      </c>
      <c r="J4536" t="s">
        <v>22</v>
      </c>
      <c r="K4536">
        <v>10</v>
      </c>
      <c r="L4536" s="7">
        <f t="shared" si="211"/>
        <v>1392.24</v>
      </c>
      <c r="M4536" s="7"/>
      <c r="O4536">
        <f t="shared" si="212"/>
        <v>2</v>
      </c>
      <c r="Q4536" t="s">
        <v>33</v>
      </c>
    </row>
    <row r="4537" spans="1:17" x14ac:dyDescent="0.3">
      <c r="A4537" t="s">
        <v>5667</v>
      </c>
      <c r="B4537" s="6">
        <v>45236</v>
      </c>
      <c r="C4537" s="6" t="str">
        <f t="shared" si="210"/>
        <v>Nov</v>
      </c>
      <c r="D4537" t="s">
        <v>458</v>
      </c>
      <c r="E4537" t="s">
        <v>31</v>
      </c>
      <c r="F4537" t="s">
        <v>59</v>
      </c>
      <c r="G4537">
        <v>4</v>
      </c>
      <c r="H4537" s="7">
        <v>322.95</v>
      </c>
      <c r="I4537" t="s">
        <v>21</v>
      </c>
      <c r="J4537" t="s">
        <v>22</v>
      </c>
      <c r="K4537">
        <v>20</v>
      </c>
      <c r="L4537" s="7">
        <f t="shared" si="211"/>
        <v>1291.8</v>
      </c>
      <c r="M4537" s="7"/>
      <c r="O4537">
        <f t="shared" si="212"/>
        <v>2</v>
      </c>
      <c r="Q4537" t="s">
        <v>23</v>
      </c>
    </row>
    <row r="4538" spans="1:17" x14ac:dyDescent="0.3">
      <c r="A4538" t="s">
        <v>5668</v>
      </c>
      <c r="B4538" s="6">
        <v>45224</v>
      </c>
      <c r="C4538" s="6" t="str">
        <f t="shared" si="210"/>
        <v>Oct</v>
      </c>
      <c r="D4538" t="s">
        <v>897</v>
      </c>
      <c r="E4538" t="s">
        <v>40</v>
      </c>
      <c r="F4538" t="s">
        <v>749</v>
      </c>
      <c r="G4538">
        <v>9</v>
      </c>
      <c r="H4538" s="7">
        <v>341.51</v>
      </c>
      <c r="I4538" t="s">
        <v>21</v>
      </c>
      <c r="J4538" t="s">
        <v>42</v>
      </c>
      <c r="K4538">
        <v>0</v>
      </c>
      <c r="L4538" s="7">
        <f t="shared" si="211"/>
        <v>3073.59</v>
      </c>
      <c r="M4538" s="7"/>
      <c r="O4538">
        <f t="shared" si="212"/>
        <v>4</v>
      </c>
      <c r="Q4538" t="s">
        <v>23</v>
      </c>
    </row>
    <row r="4539" spans="1:17" x14ac:dyDescent="0.3">
      <c r="A4539" t="s">
        <v>5669</v>
      </c>
      <c r="B4539" s="6">
        <v>45030</v>
      </c>
      <c r="C4539" s="6" t="str">
        <f t="shared" si="210"/>
        <v>Apr</v>
      </c>
      <c r="D4539" t="s">
        <v>3142</v>
      </c>
      <c r="E4539" t="s">
        <v>36</v>
      </c>
      <c r="F4539" t="s">
        <v>913</v>
      </c>
      <c r="G4539">
        <v>4</v>
      </c>
      <c r="H4539" s="7">
        <v>281.57</v>
      </c>
      <c r="I4539" t="s">
        <v>32</v>
      </c>
      <c r="J4539" t="s">
        <v>42</v>
      </c>
      <c r="K4539">
        <v>10</v>
      </c>
      <c r="L4539" s="7">
        <f t="shared" si="211"/>
        <v>1126.28</v>
      </c>
      <c r="M4539" s="7"/>
      <c r="O4539">
        <f t="shared" si="212"/>
        <v>2</v>
      </c>
      <c r="Q4539" t="s">
        <v>33</v>
      </c>
    </row>
    <row r="4540" spans="1:17" x14ac:dyDescent="0.3">
      <c r="A4540" t="s">
        <v>5670</v>
      </c>
      <c r="B4540" s="6">
        <v>45099</v>
      </c>
      <c r="C4540" s="6" t="str">
        <f t="shared" si="210"/>
        <v>Jun</v>
      </c>
      <c r="D4540" t="s">
        <v>1421</v>
      </c>
      <c r="E4540" t="s">
        <v>19</v>
      </c>
      <c r="F4540" t="s">
        <v>325</v>
      </c>
      <c r="G4540">
        <v>9</v>
      </c>
      <c r="H4540" s="7">
        <v>314.35000000000002</v>
      </c>
      <c r="I4540" t="s">
        <v>19</v>
      </c>
      <c r="J4540" t="s">
        <v>19</v>
      </c>
      <c r="K4540">
        <v>20</v>
      </c>
      <c r="L4540" s="7">
        <f t="shared" si="211"/>
        <v>2829.15</v>
      </c>
      <c r="M4540" s="7"/>
      <c r="O4540">
        <f t="shared" si="212"/>
        <v>3</v>
      </c>
      <c r="Q4540" t="s">
        <v>19</v>
      </c>
    </row>
    <row r="4541" spans="1:17" x14ac:dyDescent="0.3">
      <c r="A4541" t="s">
        <v>5671</v>
      </c>
      <c r="B4541" s="6">
        <v>45279</v>
      </c>
      <c r="C4541" s="6" t="str">
        <f t="shared" si="210"/>
        <v>Dec</v>
      </c>
      <c r="D4541" t="s">
        <v>2236</v>
      </c>
      <c r="E4541" t="s">
        <v>36</v>
      </c>
      <c r="F4541" t="s">
        <v>281</v>
      </c>
      <c r="G4541">
        <v>4</v>
      </c>
      <c r="H4541" s="7">
        <v>52.81</v>
      </c>
      <c r="I4541" t="s">
        <v>103</v>
      </c>
      <c r="J4541" t="s">
        <v>28</v>
      </c>
      <c r="K4541">
        <v>10</v>
      </c>
      <c r="L4541" s="7">
        <f t="shared" si="211"/>
        <v>211.24</v>
      </c>
      <c r="M4541" s="7"/>
      <c r="O4541">
        <f t="shared" si="212"/>
        <v>2</v>
      </c>
      <c r="Q4541" t="s">
        <v>104</v>
      </c>
    </row>
    <row r="4542" spans="1:17" x14ac:dyDescent="0.3">
      <c r="A4542" t="s">
        <v>5672</v>
      </c>
      <c r="B4542" s="6">
        <v>45183</v>
      </c>
      <c r="C4542" s="6" t="str">
        <f t="shared" si="210"/>
        <v>Sep</v>
      </c>
      <c r="D4542" t="s">
        <v>1848</v>
      </c>
      <c r="E4542" t="s">
        <v>36</v>
      </c>
      <c r="F4542" t="s">
        <v>646</v>
      </c>
      <c r="G4542">
        <v>2</v>
      </c>
      <c r="H4542" s="7">
        <v>476.12</v>
      </c>
      <c r="I4542" t="s">
        <v>64</v>
      </c>
      <c r="J4542" t="s">
        <v>72</v>
      </c>
      <c r="K4542">
        <v>10</v>
      </c>
      <c r="L4542" s="7">
        <f t="shared" si="211"/>
        <v>952.24</v>
      </c>
      <c r="M4542" s="7"/>
      <c r="O4542">
        <f t="shared" si="212"/>
        <v>2</v>
      </c>
      <c r="Q4542" t="s">
        <v>65</v>
      </c>
    </row>
    <row r="4543" spans="1:17" x14ac:dyDescent="0.3">
      <c r="A4543" t="s">
        <v>5673</v>
      </c>
      <c r="B4543" s="6">
        <v>45045</v>
      </c>
      <c r="C4543" s="6" t="str">
        <f t="shared" si="210"/>
        <v>Apr</v>
      </c>
      <c r="D4543" t="s">
        <v>677</v>
      </c>
      <c r="E4543" t="s">
        <v>62</v>
      </c>
      <c r="F4543" t="s">
        <v>78</v>
      </c>
      <c r="G4543">
        <v>2</v>
      </c>
      <c r="H4543" s="7">
        <v>396.43</v>
      </c>
      <c r="I4543" t="s">
        <v>64</v>
      </c>
      <c r="J4543" t="s">
        <v>28</v>
      </c>
      <c r="K4543">
        <v>20</v>
      </c>
      <c r="L4543" s="7">
        <f t="shared" si="211"/>
        <v>792.86</v>
      </c>
      <c r="M4543" s="7"/>
      <c r="O4543">
        <f t="shared" si="212"/>
        <v>2</v>
      </c>
      <c r="Q4543" t="s">
        <v>65</v>
      </c>
    </row>
    <row r="4544" spans="1:17" x14ac:dyDescent="0.3">
      <c r="A4544" t="s">
        <v>5674</v>
      </c>
      <c r="B4544" s="6">
        <v>45104</v>
      </c>
      <c r="C4544" s="6" t="str">
        <f t="shared" si="210"/>
        <v>Jun</v>
      </c>
      <c r="D4544" t="s">
        <v>2079</v>
      </c>
      <c r="E4544" t="s">
        <v>40</v>
      </c>
      <c r="F4544" t="s">
        <v>372</v>
      </c>
      <c r="G4544">
        <v>5</v>
      </c>
      <c r="H4544" s="7">
        <v>190.09</v>
      </c>
      <c r="I4544" t="s">
        <v>64</v>
      </c>
      <c r="J4544" t="s">
        <v>42</v>
      </c>
      <c r="K4544">
        <v>5</v>
      </c>
      <c r="L4544" s="7">
        <f t="shared" si="211"/>
        <v>950.45</v>
      </c>
      <c r="M4544" s="7"/>
      <c r="O4544">
        <f t="shared" si="212"/>
        <v>2</v>
      </c>
      <c r="Q4544" t="s">
        <v>65</v>
      </c>
    </row>
    <row r="4545" spans="1:17" x14ac:dyDescent="0.3">
      <c r="A4545" t="s">
        <v>5675</v>
      </c>
      <c r="B4545" s="6">
        <v>45285</v>
      </c>
      <c r="C4545" s="6" t="str">
        <f t="shared" si="210"/>
        <v>Dec</v>
      </c>
      <c r="D4545" t="s">
        <v>1171</v>
      </c>
      <c r="E4545" t="s">
        <v>31</v>
      </c>
      <c r="F4545" t="s">
        <v>20</v>
      </c>
      <c r="G4545">
        <v>4</v>
      </c>
      <c r="H4545" s="7">
        <v>283.58999999999997</v>
      </c>
      <c r="I4545" t="s">
        <v>32</v>
      </c>
      <c r="J4545" t="s">
        <v>72</v>
      </c>
      <c r="K4545">
        <v>20</v>
      </c>
      <c r="L4545" s="7">
        <f t="shared" si="211"/>
        <v>1134.3599999999999</v>
      </c>
      <c r="M4545" s="7"/>
      <c r="O4545">
        <f t="shared" si="212"/>
        <v>2</v>
      </c>
      <c r="Q4545" t="s">
        <v>33</v>
      </c>
    </row>
    <row r="4546" spans="1:17" x14ac:dyDescent="0.3">
      <c r="A4546" t="s">
        <v>5676</v>
      </c>
      <c r="B4546" s="6">
        <v>45259</v>
      </c>
      <c r="C4546" s="6" t="str">
        <f t="shared" si="210"/>
        <v>Nov</v>
      </c>
      <c r="D4546" t="s">
        <v>1821</v>
      </c>
      <c r="E4546" t="s">
        <v>19</v>
      </c>
      <c r="F4546" t="s">
        <v>165</v>
      </c>
      <c r="G4546">
        <v>7</v>
      </c>
      <c r="H4546" s="7">
        <v>28.43</v>
      </c>
      <c r="I4546" t="s">
        <v>64</v>
      </c>
      <c r="J4546" t="s">
        <v>42</v>
      </c>
      <c r="K4546">
        <v>15</v>
      </c>
      <c r="L4546" s="7">
        <f t="shared" si="211"/>
        <v>199.01</v>
      </c>
      <c r="M4546" s="7"/>
      <c r="O4546">
        <f t="shared" si="212"/>
        <v>2</v>
      </c>
      <c r="Q4546" t="s">
        <v>65</v>
      </c>
    </row>
    <row r="4547" spans="1:17" x14ac:dyDescent="0.3">
      <c r="A4547" t="s">
        <v>5677</v>
      </c>
      <c r="B4547" s="6">
        <v>45089</v>
      </c>
      <c r="C4547" s="6" t="str">
        <f t="shared" ref="C4547:C4610" si="213">TEXT(B4547,"MMM")</f>
        <v>Jun</v>
      </c>
      <c r="D4547" t="s">
        <v>2887</v>
      </c>
      <c r="E4547" t="s">
        <v>31</v>
      </c>
      <c r="F4547" t="s">
        <v>113</v>
      </c>
      <c r="G4547">
        <v>5</v>
      </c>
      <c r="H4547" s="7">
        <v>25.41</v>
      </c>
      <c r="I4547" t="s">
        <v>21</v>
      </c>
      <c r="J4547" t="s">
        <v>87</v>
      </c>
      <c r="K4547">
        <v>0</v>
      </c>
      <c r="L4547" s="7">
        <f t="shared" ref="L4547:L4610" si="214">G4547*H4547</f>
        <v>127.05</v>
      </c>
      <c r="M4547" s="7"/>
      <c r="O4547">
        <f t="shared" si="212"/>
        <v>2</v>
      </c>
      <c r="Q4547" t="s">
        <v>23</v>
      </c>
    </row>
    <row r="4548" spans="1:17" x14ac:dyDescent="0.3">
      <c r="A4548" t="s">
        <v>5678</v>
      </c>
      <c r="B4548" s="6">
        <v>44972</v>
      </c>
      <c r="C4548" s="6" t="str">
        <f t="shared" si="213"/>
        <v>Feb</v>
      </c>
      <c r="D4548" t="s">
        <v>1081</v>
      </c>
      <c r="E4548" t="s">
        <v>19</v>
      </c>
      <c r="F4548" t="s">
        <v>472</v>
      </c>
      <c r="G4548">
        <v>6</v>
      </c>
      <c r="H4548" s="7">
        <v>129.15</v>
      </c>
      <c r="I4548" t="s">
        <v>19</v>
      </c>
      <c r="J4548" t="s">
        <v>22</v>
      </c>
      <c r="K4548">
        <v>10</v>
      </c>
      <c r="L4548" s="7">
        <f t="shared" si="214"/>
        <v>774.90000000000009</v>
      </c>
      <c r="M4548" s="7"/>
      <c r="O4548">
        <f t="shared" ref="O4548:O4611" si="215">IF(L4548&gt;3500,5,IF(L4548&gt;3000,4,IF(L4548&gt;2500,3,IF(L4548&gt;2000,2,IF(L4548&gt;1000,2,2)))))</f>
        <v>2</v>
      </c>
      <c r="Q4548" t="s">
        <v>19</v>
      </c>
    </row>
    <row r="4549" spans="1:17" x14ac:dyDescent="0.3">
      <c r="A4549" t="s">
        <v>5679</v>
      </c>
      <c r="B4549" s="6">
        <v>44971</v>
      </c>
      <c r="C4549" s="6" t="str">
        <f t="shared" si="213"/>
        <v>Feb</v>
      </c>
      <c r="D4549" t="s">
        <v>915</v>
      </c>
      <c r="E4549" t="s">
        <v>36</v>
      </c>
      <c r="F4549" t="s">
        <v>409</v>
      </c>
      <c r="G4549">
        <v>4</v>
      </c>
      <c r="H4549" s="7">
        <v>346.4</v>
      </c>
      <c r="I4549" t="s">
        <v>46</v>
      </c>
      <c r="J4549" t="s">
        <v>87</v>
      </c>
      <c r="K4549">
        <v>20</v>
      </c>
      <c r="L4549" s="7">
        <f t="shared" si="214"/>
        <v>1385.6</v>
      </c>
      <c r="M4549" s="7"/>
      <c r="O4549">
        <f t="shared" si="215"/>
        <v>2</v>
      </c>
      <c r="Q4549" t="s">
        <v>47</v>
      </c>
    </row>
    <row r="4550" spans="1:17" x14ac:dyDescent="0.3">
      <c r="A4550" t="s">
        <v>5680</v>
      </c>
      <c r="B4550" s="6">
        <v>44982</v>
      </c>
      <c r="C4550" s="6" t="str">
        <f t="shared" si="213"/>
        <v>Feb</v>
      </c>
      <c r="D4550" t="s">
        <v>508</v>
      </c>
      <c r="E4550" t="s">
        <v>62</v>
      </c>
      <c r="F4550" t="s">
        <v>239</v>
      </c>
      <c r="G4550">
        <v>2</v>
      </c>
      <c r="H4550" s="7">
        <v>426.81</v>
      </c>
      <c r="I4550" t="s">
        <v>103</v>
      </c>
      <c r="J4550" t="s">
        <v>19</v>
      </c>
      <c r="K4550">
        <v>10</v>
      </c>
      <c r="L4550" s="7">
        <f t="shared" si="214"/>
        <v>853.62</v>
      </c>
      <c r="M4550" s="7"/>
      <c r="O4550">
        <f t="shared" si="215"/>
        <v>2</v>
      </c>
      <c r="Q4550" t="s">
        <v>104</v>
      </c>
    </row>
    <row r="4551" spans="1:17" x14ac:dyDescent="0.3">
      <c r="A4551" t="s">
        <v>5681</v>
      </c>
      <c r="B4551" s="6">
        <v>44935</v>
      </c>
      <c r="C4551" s="6" t="str">
        <f t="shared" si="213"/>
        <v>Jan</v>
      </c>
      <c r="D4551" t="s">
        <v>4044</v>
      </c>
      <c r="E4551" t="s">
        <v>31</v>
      </c>
      <c r="F4551" t="s">
        <v>308</v>
      </c>
      <c r="G4551">
        <v>9</v>
      </c>
      <c r="H4551" s="7">
        <v>281.8</v>
      </c>
      <c r="I4551" t="s">
        <v>32</v>
      </c>
      <c r="J4551" t="s">
        <v>19</v>
      </c>
      <c r="K4551">
        <v>10</v>
      </c>
      <c r="L4551" s="7">
        <f t="shared" si="214"/>
        <v>2536.2000000000003</v>
      </c>
      <c r="M4551" s="7"/>
      <c r="O4551">
        <f t="shared" si="215"/>
        <v>3</v>
      </c>
      <c r="Q4551" t="s">
        <v>33</v>
      </c>
    </row>
    <row r="4552" spans="1:17" x14ac:dyDescent="0.3">
      <c r="A4552" t="s">
        <v>5682</v>
      </c>
      <c r="B4552" s="6">
        <v>45138</v>
      </c>
      <c r="C4552" s="6" t="str">
        <f t="shared" si="213"/>
        <v>Jul</v>
      </c>
      <c r="D4552" t="s">
        <v>1124</v>
      </c>
      <c r="E4552" t="s">
        <v>19</v>
      </c>
      <c r="F4552" t="s">
        <v>45</v>
      </c>
      <c r="G4552">
        <v>7</v>
      </c>
      <c r="H4552" s="7">
        <v>268.41000000000003</v>
      </c>
      <c r="I4552" t="s">
        <v>64</v>
      </c>
      <c r="J4552" t="s">
        <v>22</v>
      </c>
      <c r="K4552">
        <v>10</v>
      </c>
      <c r="L4552" s="7">
        <f t="shared" si="214"/>
        <v>1878.8700000000001</v>
      </c>
      <c r="M4552" s="7"/>
      <c r="O4552">
        <f t="shared" si="215"/>
        <v>2</v>
      </c>
      <c r="Q4552" t="s">
        <v>65</v>
      </c>
    </row>
    <row r="4553" spans="1:17" x14ac:dyDescent="0.3">
      <c r="A4553" t="s">
        <v>5683</v>
      </c>
      <c r="B4553" s="6">
        <v>44975</v>
      </c>
      <c r="C4553" s="6" t="str">
        <f t="shared" si="213"/>
        <v>Feb</v>
      </c>
      <c r="D4553" t="s">
        <v>2671</v>
      </c>
      <c r="E4553" t="s">
        <v>26</v>
      </c>
      <c r="F4553" t="s">
        <v>145</v>
      </c>
      <c r="G4553">
        <v>4</v>
      </c>
      <c r="H4553" s="7">
        <v>204.14</v>
      </c>
      <c r="I4553" t="s">
        <v>46</v>
      </c>
      <c r="J4553" t="s">
        <v>28</v>
      </c>
      <c r="K4553">
        <v>20</v>
      </c>
      <c r="L4553" s="7">
        <f t="shared" si="214"/>
        <v>816.56</v>
      </c>
      <c r="M4553" s="7"/>
      <c r="O4553">
        <f t="shared" si="215"/>
        <v>2</v>
      </c>
      <c r="Q4553" t="s">
        <v>47</v>
      </c>
    </row>
    <row r="4554" spans="1:17" x14ac:dyDescent="0.3">
      <c r="A4554" t="s">
        <v>5684</v>
      </c>
      <c r="B4554" s="6">
        <v>45276</v>
      </c>
      <c r="C4554" s="6" t="str">
        <f t="shared" si="213"/>
        <v>Dec</v>
      </c>
      <c r="D4554" t="s">
        <v>755</v>
      </c>
      <c r="E4554" t="s">
        <v>26</v>
      </c>
      <c r="F4554" t="s">
        <v>693</v>
      </c>
      <c r="G4554">
        <v>3</v>
      </c>
      <c r="H4554" s="7">
        <v>84.99</v>
      </c>
      <c r="I4554" t="s">
        <v>32</v>
      </c>
      <c r="J4554" t="s">
        <v>19</v>
      </c>
      <c r="K4554">
        <v>15</v>
      </c>
      <c r="L4554" s="7">
        <f t="shared" si="214"/>
        <v>254.96999999999997</v>
      </c>
      <c r="M4554" s="7"/>
      <c r="O4554">
        <f t="shared" si="215"/>
        <v>2</v>
      </c>
      <c r="Q4554" t="s">
        <v>33</v>
      </c>
    </row>
    <row r="4555" spans="1:17" x14ac:dyDescent="0.3">
      <c r="A4555" t="s">
        <v>5685</v>
      </c>
      <c r="B4555" s="6">
        <v>45060</v>
      </c>
      <c r="C4555" s="6" t="str">
        <f t="shared" si="213"/>
        <v>May</v>
      </c>
      <c r="D4555" t="s">
        <v>277</v>
      </c>
      <c r="E4555" t="s">
        <v>62</v>
      </c>
      <c r="F4555" t="s">
        <v>887</v>
      </c>
      <c r="G4555">
        <v>3</v>
      </c>
      <c r="H4555" s="7">
        <v>63.59</v>
      </c>
      <c r="I4555" t="s">
        <v>32</v>
      </c>
      <c r="J4555" t="s">
        <v>22</v>
      </c>
      <c r="K4555">
        <v>20</v>
      </c>
      <c r="L4555" s="7">
        <f t="shared" si="214"/>
        <v>190.77</v>
      </c>
      <c r="M4555" s="7"/>
      <c r="O4555">
        <f t="shared" si="215"/>
        <v>2</v>
      </c>
      <c r="Q4555" t="s">
        <v>33</v>
      </c>
    </row>
    <row r="4556" spans="1:17" x14ac:dyDescent="0.3">
      <c r="A4556" t="s">
        <v>5686</v>
      </c>
      <c r="B4556" s="6">
        <v>45046</v>
      </c>
      <c r="C4556" s="6" t="str">
        <f t="shared" si="213"/>
        <v>Apr</v>
      </c>
      <c r="D4556" t="s">
        <v>1062</v>
      </c>
      <c r="E4556" t="s">
        <v>36</v>
      </c>
      <c r="F4556" t="s">
        <v>800</v>
      </c>
      <c r="G4556">
        <v>9</v>
      </c>
      <c r="H4556" s="7">
        <v>381.54</v>
      </c>
      <c r="I4556" t="s">
        <v>64</v>
      </c>
      <c r="J4556" t="s">
        <v>22</v>
      </c>
      <c r="K4556">
        <v>5</v>
      </c>
      <c r="L4556" s="7">
        <f t="shared" si="214"/>
        <v>3433.86</v>
      </c>
      <c r="M4556" s="7"/>
      <c r="O4556">
        <f t="shared" si="215"/>
        <v>4</v>
      </c>
      <c r="Q4556" t="s">
        <v>65</v>
      </c>
    </row>
    <row r="4557" spans="1:17" x14ac:dyDescent="0.3">
      <c r="A4557" t="s">
        <v>5687</v>
      </c>
      <c r="B4557" s="6">
        <v>45276</v>
      </c>
      <c r="C4557" s="6" t="str">
        <f t="shared" si="213"/>
        <v>Dec</v>
      </c>
      <c r="D4557" t="s">
        <v>2811</v>
      </c>
      <c r="E4557" t="s">
        <v>19</v>
      </c>
      <c r="F4557" t="s">
        <v>270</v>
      </c>
      <c r="G4557">
        <v>5</v>
      </c>
      <c r="H4557" s="7">
        <v>464.11</v>
      </c>
      <c r="I4557" t="s">
        <v>32</v>
      </c>
      <c r="J4557" t="s">
        <v>87</v>
      </c>
      <c r="K4557">
        <v>15</v>
      </c>
      <c r="L4557" s="7">
        <f t="shared" si="214"/>
        <v>2320.5500000000002</v>
      </c>
      <c r="M4557" s="7"/>
      <c r="O4557">
        <f t="shared" si="215"/>
        <v>2</v>
      </c>
      <c r="Q4557" t="s">
        <v>33</v>
      </c>
    </row>
    <row r="4558" spans="1:17" x14ac:dyDescent="0.3">
      <c r="A4558" t="s">
        <v>5688</v>
      </c>
      <c r="B4558" s="6">
        <v>45281</v>
      </c>
      <c r="C4558" s="6" t="str">
        <f t="shared" si="213"/>
        <v>Dec</v>
      </c>
      <c r="D4558" t="s">
        <v>1140</v>
      </c>
      <c r="E4558" t="s">
        <v>50</v>
      </c>
      <c r="F4558" t="s">
        <v>84</v>
      </c>
      <c r="G4558">
        <v>3</v>
      </c>
      <c r="H4558" s="7">
        <v>231.85</v>
      </c>
      <c r="I4558" t="s">
        <v>46</v>
      </c>
      <c r="J4558" t="s">
        <v>28</v>
      </c>
      <c r="K4558">
        <v>10</v>
      </c>
      <c r="L4558" s="7">
        <f t="shared" si="214"/>
        <v>695.55</v>
      </c>
      <c r="M4558" s="7"/>
      <c r="O4558">
        <f t="shared" si="215"/>
        <v>2</v>
      </c>
      <c r="Q4558" t="s">
        <v>47</v>
      </c>
    </row>
    <row r="4559" spans="1:17" x14ac:dyDescent="0.3">
      <c r="A4559" t="s">
        <v>5689</v>
      </c>
      <c r="B4559" s="6">
        <v>45210</v>
      </c>
      <c r="C4559" s="6" t="str">
        <f t="shared" si="213"/>
        <v>Oct</v>
      </c>
      <c r="D4559" t="s">
        <v>2076</v>
      </c>
      <c r="E4559" t="s">
        <v>31</v>
      </c>
      <c r="F4559" t="s">
        <v>1117</v>
      </c>
      <c r="G4559">
        <v>5</v>
      </c>
      <c r="H4559" s="7">
        <v>331.43</v>
      </c>
      <c r="I4559" t="s">
        <v>103</v>
      </c>
      <c r="J4559" t="s">
        <v>19</v>
      </c>
      <c r="K4559">
        <v>20</v>
      </c>
      <c r="L4559" s="7">
        <f t="shared" si="214"/>
        <v>1657.15</v>
      </c>
      <c r="M4559" s="7"/>
      <c r="O4559">
        <f t="shared" si="215"/>
        <v>2</v>
      </c>
      <c r="Q4559" t="s">
        <v>104</v>
      </c>
    </row>
    <row r="4560" spans="1:17" x14ac:dyDescent="0.3">
      <c r="A4560" t="s">
        <v>5690</v>
      </c>
      <c r="B4560" s="6">
        <v>45224</v>
      </c>
      <c r="C4560" s="6" t="str">
        <f t="shared" si="213"/>
        <v>Oct</v>
      </c>
      <c r="D4560" t="s">
        <v>286</v>
      </c>
      <c r="E4560" t="s">
        <v>31</v>
      </c>
      <c r="F4560" t="s">
        <v>353</v>
      </c>
      <c r="G4560">
        <v>2</v>
      </c>
      <c r="H4560" s="7">
        <v>457.66</v>
      </c>
      <c r="I4560" t="s">
        <v>19</v>
      </c>
      <c r="J4560" t="s">
        <v>19</v>
      </c>
      <c r="K4560">
        <v>10</v>
      </c>
      <c r="L4560" s="7">
        <f t="shared" si="214"/>
        <v>915.32</v>
      </c>
      <c r="M4560" s="7"/>
      <c r="O4560">
        <f t="shared" si="215"/>
        <v>2</v>
      </c>
      <c r="Q4560" t="s">
        <v>19</v>
      </c>
    </row>
    <row r="4561" spans="1:17" x14ac:dyDescent="0.3">
      <c r="A4561" t="s">
        <v>5691</v>
      </c>
      <c r="B4561" s="6">
        <v>45097</v>
      </c>
      <c r="C4561" s="6" t="str">
        <f t="shared" si="213"/>
        <v>Jun</v>
      </c>
      <c r="D4561" t="s">
        <v>2233</v>
      </c>
      <c r="E4561" t="s">
        <v>40</v>
      </c>
      <c r="F4561" t="s">
        <v>281</v>
      </c>
      <c r="G4561">
        <v>4</v>
      </c>
      <c r="H4561" s="7">
        <v>49.61</v>
      </c>
      <c r="I4561" t="s">
        <v>21</v>
      </c>
      <c r="J4561" t="s">
        <v>28</v>
      </c>
      <c r="K4561">
        <v>0</v>
      </c>
      <c r="L4561" s="7">
        <f t="shared" si="214"/>
        <v>198.44</v>
      </c>
      <c r="M4561" s="7"/>
      <c r="O4561">
        <f t="shared" si="215"/>
        <v>2</v>
      </c>
      <c r="Q4561" t="s">
        <v>23</v>
      </c>
    </row>
    <row r="4562" spans="1:17" x14ac:dyDescent="0.3">
      <c r="A4562" t="s">
        <v>5692</v>
      </c>
      <c r="B4562" s="6">
        <v>45190</v>
      </c>
      <c r="C4562" s="6" t="str">
        <f t="shared" si="213"/>
        <v>Sep</v>
      </c>
      <c r="D4562" t="s">
        <v>2079</v>
      </c>
      <c r="E4562" t="s">
        <v>40</v>
      </c>
      <c r="F4562" t="s">
        <v>270</v>
      </c>
      <c r="G4562">
        <v>2</v>
      </c>
      <c r="H4562" s="7">
        <v>386.39</v>
      </c>
      <c r="I4562" t="s">
        <v>19</v>
      </c>
      <c r="J4562" t="s">
        <v>72</v>
      </c>
      <c r="K4562">
        <v>15</v>
      </c>
      <c r="L4562" s="7">
        <f t="shared" si="214"/>
        <v>772.78</v>
      </c>
      <c r="M4562" s="7"/>
      <c r="O4562">
        <f t="shared" si="215"/>
        <v>2</v>
      </c>
      <c r="Q4562" t="s">
        <v>19</v>
      </c>
    </row>
    <row r="4563" spans="1:17" x14ac:dyDescent="0.3">
      <c r="A4563" t="s">
        <v>5693</v>
      </c>
      <c r="B4563" s="6">
        <v>45112</v>
      </c>
      <c r="C4563" s="6" t="str">
        <f t="shared" si="213"/>
        <v>Jul</v>
      </c>
      <c r="D4563" t="s">
        <v>1444</v>
      </c>
      <c r="E4563" t="s">
        <v>36</v>
      </c>
      <c r="F4563" t="s">
        <v>334</v>
      </c>
      <c r="G4563">
        <v>2</v>
      </c>
      <c r="H4563" s="7">
        <v>310.32</v>
      </c>
      <c r="I4563" t="s">
        <v>46</v>
      </c>
      <c r="J4563" t="s">
        <v>19</v>
      </c>
      <c r="K4563">
        <v>20</v>
      </c>
      <c r="L4563" s="7">
        <f t="shared" si="214"/>
        <v>620.64</v>
      </c>
      <c r="M4563" s="7"/>
      <c r="O4563">
        <f t="shared" si="215"/>
        <v>2</v>
      </c>
      <c r="Q4563" t="s">
        <v>47</v>
      </c>
    </row>
    <row r="4564" spans="1:17" x14ac:dyDescent="0.3">
      <c r="A4564" t="s">
        <v>5694</v>
      </c>
      <c r="B4564" s="6">
        <v>45067</v>
      </c>
      <c r="C4564" s="6" t="str">
        <f t="shared" si="213"/>
        <v>May</v>
      </c>
      <c r="D4564" t="s">
        <v>256</v>
      </c>
      <c r="E4564" t="s">
        <v>26</v>
      </c>
      <c r="F4564" t="s">
        <v>598</v>
      </c>
      <c r="G4564">
        <v>8</v>
      </c>
      <c r="H4564" s="7">
        <v>301.33</v>
      </c>
      <c r="I4564" t="s">
        <v>19</v>
      </c>
      <c r="J4564" t="s">
        <v>28</v>
      </c>
      <c r="K4564">
        <v>0</v>
      </c>
      <c r="L4564" s="7">
        <f t="shared" si="214"/>
        <v>2410.64</v>
      </c>
      <c r="M4564" s="7"/>
      <c r="O4564">
        <f t="shared" si="215"/>
        <v>2</v>
      </c>
      <c r="Q4564" t="s">
        <v>19</v>
      </c>
    </row>
    <row r="4565" spans="1:17" x14ac:dyDescent="0.3">
      <c r="A4565" t="s">
        <v>5695</v>
      </c>
      <c r="B4565" s="6">
        <v>45115</v>
      </c>
      <c r="C4565" s="6" t="str">
        <f t="shared" si="213"/>
        <v>Jul</v>
      </c>
      <c r="D4565" t="s">
        <v>2138</v>
      </c>
      <c r="E4565" t="s">
        <v>50</v>
      </c>
      <c r="F4565" t="s">
        <v>466</v>
      </c>
      <c r="G4565">
        <v>1</v>
      </c>
      <c r="H4565" s="7">
        <v>149.81</v>
      </c>
      <c r="I4565" t="s">
        <v>103</v>
      </c>
      <c r="J4565" t="s">
        <v>22</v>
      </c>
      <c r="K4565">
        <v>20</v>
      </c>
      <c r="L4565" s="7">
        <f t="shared" si="214"/>
        <v>149.81</v>
      </c>
      <c r="M4565" s="7"/>
      <c r="O4565">
        <f t="shared" si="215"/>
        <v>2</v>
      </c>
      <c r="Q4565" t="s">
        <v>104</v>
      </c>
    </row>
    <row r="4566" spans="1:17" x14ac:dyDescent="0.3">
      <c r="A4566" t="s">
        <v>5696</v>
      </c>
      <c r="B4566" s="6">
        <v>45125</v>
      </c>
      <c r="C4566" s="6" t="str">
        <f t="shared" si="213"/>
        <v>Jul</v>
      </c>
      <c r="D4566" t="s">
        <v>879</v>
      </c>
      <c r="E4566" t="s">
        <v>31</v>
      </c>
      <c r="F4566" t="s">
        <v>469</v>
      </c>
      <c r="G4566">
        <v>7</v>
      </c>
      <c r="H4566" s="7">
        <v>343.53</v>
      </c>
      <c r="I4566" t="s">
        <v>32</v>
      </c>
      <c r="J4566" t="s">
        <v>19</v>
      </c>
      <c r="K4566">
        <v>5</v>
      </c>
      <c r="L4566" s="7">
        <f t="shared" si="214"/>
        <v>2404.71</v>
      </c>
      <c r="M4566" s="7"/>
      <c r="O4566">
        <f t="shared" si="215"/>
        <v>2</v>
      </c>
      <c r="Q4566" t="s">
        <v>33</v>
      </c>
    </row>
    <row r="4567" spans="1:17" x14ac:dyDescent="0.3">
      <c r="A4567" t="s">
        <v>5697</v>
      </c>
      <c r="B4567" s="6">
        <v>45193</v>
      </c>
      <c r="C4567" s="6" t="str">
        <f t="shared" si="213"/>
        <v>Sep</v>
      </c>
      <c r="D4567" t="s">
        <v>1177</v>
      </c>
      <c r="E4567" t="s">
        <v>36</v>
      </c>
      <c r="F4567" t="s">
        <v>125</v>
      </c>
      <c r="G4567">
        <v>5</v>
      </c>
      <c r="H4567" s="7">
        <v>398.42</v>
      </c>
      <c r="I4567" t="s">
        <v>103</v>
      </c>
      <c r="J4567" t="s">
        <v>28</v>
      </c>
      <c r="K4567">
        <v>10</v>
      </c>
      <c r="L4567" s="7">
        <f t="shared" si="214"/>
        <v>1992.1000000000001</v>
      </c>
      <c r="M4567" s="7"/>
      <c r="O4567">
        <f t="shared" si="215"/>
        <v>2</v>
      </c>
      <c r="Q4567" t="s">
        <v>104</v>
      </c>
    </row>
    <row r="4568" spans="1:17" x14ac:dyDescent="0.3">
      <c r="A4568" t="s">
        <v>5698</v>
      </c>
      <c r="B4568" s="6">
        <v>44928</v>
      </c>
      <c r="C4568" s="6" t="str">
        <f t="shared" si="213"/>
        <v>Jan</v>
      </c>
      <c r="D4568" t="s">
        <v>1552</v>
      </c>
      <c r="E4568" t="s">
        <v>26</v>
      </c>
      <c r="F4568" t="s">
        <v>403</v>
      </c>
      <c r="G4568">
        <v>8</v>
      </c>
      <c r="H4568" s="7">
        <v>60.86</v>
      </c>
      <c r="I4568" t="s">
        <v>46</v>
      </c>
      <c r="J4568" t="s">
        <v>42</v>
      </c>
      <c r="K4568">
        <v>10</v>
      </c>
      <c r="L4568" s="7">
        <f t="shared" si="214"/>
        <v>486.88</v>
      </c>
      <c r="M4568" s="7"/>
      <c r="O4568">
        <f t="shared" si="215"/>
        <v>2</v>
      </c>
      <c r="Q4568" t="s">
        <v>47</v>
      </c>
    </row>
    <row r="4569" spans="1:17" x14ac:dyDescent="0.3">
      <c r="A4569" t="s">
        <v>5699</v>
      </c>
      <c r="B4569" s="6">
        <v>45065</v>
      </c>
      <c r="C4569" s="6" t="str">
        <f t="shared" si="213"/>
        <v>May</v>
      </c>
      <c r="D4569" t="s">
        <v>2746</v>
      </c>
      <c r="E4569" t="s">
        <v>62</v>
      </c>
      <c r="F4569" t="s">
        <v>693</v>
      </c>
      <c r="G4569">
        <v>1</v>
      </c>
      <c r="H4569" s="7">
        <v>269.08999999999997</v>
      </c>
      <c r="I4569" t="s">
        <v>46</v>
      </c>
      <c r="J4569" t="s">
        <v>28</v>
      </c>
      <c r="K4569">
        <v>20</v>
      </c>
      <c r="L4569" s="7">
        <f t="shared" si="214"/>
        <v>269.08999999999997</v>
      </c>
      <c r="M4569" s="7"/>
      <c r="O4569">
        <f t="shared" si="215"/>
        <v>2</v>
      </c>
      <c r="Q4569" t="s">
        <v>47</v>
      </c>
    </row>
    <row r="4570" spans="1:17" x14ac:dyDescent="0.3">
      <c r="A4570" t="s">
        <v>5700</v>
      </c>
      <c r="B4570" s="6">
        <v>45101</v>
      </c>
      <c r="C4570" s="6" t="str">
        <f t="shared" si="213"/>
        <v>Jun</v>
      </c>
      <c r="D4570" t="s">
        <v>915</v>
      </c>
      <c r="E4570" t="s">
        <v>50</v>
      </c>
      <c r="F4570" t="s">
        <v>205</v>
      </c>
      <c r="G4570">
        <v>7</v>
      </c>
      <c r="H4570" s="7">
        <v>55.13</v>
      </c>
      <c r="I4570" t="s">
        <v>103</v>
      </c>
      <c r="J4570" t="s">
        <v>72</v>
      </c>
      <c r="K4570">
        <v>15</v>
      </c>
      <c r="L4570" s="7">
        <f t="shared" si="214"/>
        <v>385.91</v>
      </c>
      <c r="M4570" s="7"/>
      <c r="O4570">
        <f t="shared" si="215"/>
        <v>2</v>
      </c>
      <c r="Q4570" t="s">
        <v>104</v>
      </c>
    </row>
    <row r="4571" spans="1:17" x14ac:dyDescent="0.3">
      <c r="A4571" t="s">
        <v>5701</v>
      </c>
      <c r="B4571" s="6">
        <v>44932</v>
      </c>
      <c r="C4571" s="6" t="str">
        <f t="shared" si="213"/>
        <v>Jan</v>
      </c>
      <c r="D4571" t="s">
        <v>2277</v>
      </c>
      <c r="E4571" t="s">
        <v>31</v>
      </c>
      <c r="F4571" t="s">
        <v>248</v>
      </c>
      <c r="G4571">
        <v>5</v>
      </c>
      <c r="H4571" s="7">
        <v>436.92</v>
      </c>
      <c r="I4571" t="s">
        <v>46</v>
      </c>
      <c r="J4571" t="s">
        <v>19</v>
      </c>
      <c r="K4571">
        <v>20</v>
      </c>
      <c r="L4571" s="7">
        <f t="shared" si="214"/>
        <v>2184.6</v>
      </c>
      <c r="M4571" s="7"/>
      <c r="O4571">
        <f t="shared" si="215"/>
        <v>2</v>
      </c>
      <c r="Q4571" t="s">
        <v>47</v>
      </c>
    </row>
    <row r="4572" spans="1:17" x14ac:dyDescent="0.3">
      <c r="A4572" t="s">
        <v>5702</v>
      </c>
      <c r="B4572" s="6">
        <v>45228</v>
      </c>
      <c r="C4572" s="6" t="str">
        <f t="shared" si="213"/>
        <v>Oct</v>
      </c>
      <c r="D4572" t="s">
        <v>1751</v>
      </c>
      <c r="E4572" t="s">
        <v>26</v>
      </c>
      <c r="F4572" t="s">
        <v>389</v>
      </c>
      <c r="G4572">
        <v>4</v>
      </c>
      <c r="H4572" s="7">
        <v>256.27999999999997</v>
      </c>
      <c r="I4572" t="s">
        <v>64</v>
      </c>
      <c r="J4572" t="s">
        <v>42</v>
      </c>
      <c r="K4572">
        <v>20</v>
      </c>
      <c r="L4572" s="7">
        <f t="shared" si="214"/>
        <v>1025.1199999999999</v>
      </c>
      <c r="M4572" s="7"/>
      <c r="O4572">
        <f t="shared" si="215"/>
        <v>2</v>
      </c>
      <c r="Q4572" t="s">
        <v>65</v>
      </c>
    </row>
    <row r="4573" spans="1:17" x14ac:dyDescent="0.3">
      <c r="A4573" t="s">
        <v>5703</v>
      </c>
      <c r="B4573" s="6">
        <v>45252</v>
      </c>
      <c r="C4573" s="6" t="str">
        <f t="shared" si="213"/>
        <v>Nov</v>
      </c>
      <c r="D4573" t="s">
        <v>4289</v>
      </c>
      <c r="E4573" t="s">
        <v>40</v>
      </c>
      <c r="F4573" t="s">
        <v>722</v>
      </c>
      <c r="G4573">
        <v>7</v>
      </c>
      <c r="H4573" s="7">
        <v>404.94</v>
      </c>
      <c r="I4573" t="s">
        <v>46</v>
      </c>
      <c r="J4573" t="s">
        <v>42</v>
      </c>
      <c r="K4573">
        <v>20</v>
      </c>
      <c r="L4573" s="7">
        <f t="shared" si="214"/>
        <v>2834.58</v>
      </c>
      <c r="M4573" s="7"/>
      <c r="O4573">
        <f t="shared" si="215"/>
        <v>3</v>
      </c>
      <c r="Q4573" t="s">
        <v>47</v>
      </c>
    </row>
    <row r="4574" spans="1:17" x14ac:dyDescent="0.3">
      <c r="A4574" t="s">
        <v>5704</v>
      </c>
      <c r="B4574" s="6">
        <v>45109</v>
      </c>
      <c r="C4574" s="6" t="str">
        <f t="shared" si="213"/>
        <v>Jul</v>
      </c>
      <c r="D4574" t="s">
        <v>272</v>
      </c>
      <c r="E4574" t="s">
        <v>62</v>
      </c>
      <c r="F4574" t="s">
        <v>278</v>
      </c>
      <c r="G4574">
        <v>2</v>
      </c>
      <c r="H4574" s="7">
        <v>187.2</v>
      </c>
      <c r="I4574" t="s">
        <v>46</v>
      </c>
      <c r="J4574" t="s">
        <v>87</v>
      </c>
      <c r="K4574">
        <v>20</v>
      </c>
      <c r="L4574" s="7">
        <f t="shared" si="214"/>
        <v>374.4</v>
      </c>
      <c r="M4574" s="7"/>
      <c r="O4574">
        <f t="shared" si="215"/>
        <v>2</v>
      </c>
      <c r="Q4574" t="s">
        <v>47</v>
      </c>
    </row>
    <row r="4575" spans="1:17" x14ac:dyDescent="0.3">
      <c r="A4575" t="s">
        <v>5705</v>
      </c>
      <c r="B4575" s="6">
        <v>45068</v>
      </c>
      <c r="C4575" s="6" t="str">
        <f t="shared" si="213"/>
        <v>May</v>
      </c>
      <c r="D4575" t="s">
        <v>391</v>
      </c>
      <c r="E4575" t="s">
        <v>19</v>
      </c>
      <c r="F4575" t="s">
        <v>122</v>
      </c>
      <c r="G4575">
        <v>1</v>
      </c>
      <c r="H4575" s="7">
        <v>66.91</v>
      </c>
      <c r="I4575" t="s">
        <v>21</v>
      </c>
      <c r="J4575" t="s">
        <v>42</v>
      </c>
      <c r="K4575">
        <v>15</v>
      </c>
      <c r="L4575" s="7">
        <f t="shared" si="214"/>
        <v>66.91</v>
      </c>
      <c r="M4575" s="7"/>
      <c r="O4575">
        <f t="shared" si="215"/>
        <v>2</v>
      </c>
      <c r="Q4575" t="s">
        <v>23</v>
      </c>
    </row>
    <row r="4576" spans="1:17" x14ac:dyDescent="0.3">
      <c r="A4576" t="s">
        <v>5706</v>
      </c>
      <c r="B4576" s="6">
        <v>45107</v>
      </c>
      <c r="C4576" s="6" t="str">
        <f t="shared" si="213"/>
        <v>Jun</v>
      </c>
      <c r="D4576" t="s">
        <v>1473</v>
      </c>
      <c r="E4576" t="s">
        <v>50</v>
      </c>
      <c r="F4576" t="s">
        <v>708</v>
      </c>
      <c r="G4576">
        <v>1</v>
      </c>
      <c r="H4576" s="7">
        <v>25.54</v>
      </c>
      <c r="I4576" t="s">
        <v>19</v>
      </c>
      <c r="J4576" t="s">
        <v>28</v>
      </c>
      <c r="K4576">
        <v>15</v>
      </c>
      <c r="L4576" s="7">
        <f t="shared" si="214"/>
        <v>25.54</v>
      </c>
      <c r="M4576" s="7"/>
      <c r="O4576">
        <f t="shared" si="215"/>
        <v>2</v>
      </c>
      <c r="Q4576" t="s">
        <v>19</v>
      </c>
    </row>
    <row r="4577" spans="1:17" x14ac:dyDescent="0.3">
      <c r="A4577" t="s">
        <v>5707</v>
      </c>
      <c r="B4577" s="6">
        <v>45143</v>
      </c>
      <c r="C4577" s="6" t="str">
        <f t="shared" si="213"/>
        <v>Aug</v>
      </c>
      <c r="D4577" t="s">
        <v>1781</v>
      </c>
      <c r="E4577" t="s">
        <v>40</v>
      </c>
      <c r="F4577" t="s">
        <v>480</v>
      </c>
      <c r="G4577">
        <v>1</v>
      </c>
      <c r="H4577" s="7">
        <v>144.35</v>
      </c>
      <c r="I4577" t="s">
        <v>103</v>
      </c>
      <c r="J4577" t="s">
        <v>42</v>
      </c>
      <c r="K4577">
        <v>20</v>
      </c>
      <c r="L4577" s="7">
        <f t="shared" si="214"/>
        <v>144.35</v>
      </c>
      <c r="M4577" s="7"/>
      <c r="O4577">
        <f t="shared" si="215"/>
        <v>2</v>
      </c>
      <c r="Q4577" t="s">
        <v>104</v>
      </c>
    </row>
    <row r="4578" spans="1:17" x14ac:dyDescent="0.3">
      <c r="A4578" t="s">
        <v>5708</v>
      </c>
      <c r="B4578" s="6">
        <v>45051</v>
      </c>
      <c r="C4578" s="6" t="str">
        <f t="shared" si="213"/>
        <v>May</v>
      </c>
      <c r="D4578" t="s">
        <v>67</v>
      </c>
      <c r="E4578" t="s">
        <v>36</v>
      </c>
      <c r="F4578" t="s">
        <v>350</v>
      </c>
      <c r="G4578">
        <v>5</v>
      </c>
      <c r="H4578" s="7">
        <v>125.9</v>
      </c>
      <c r="I4578" t="s">
        <v>46</v>
      </c>
      <c r="J4578" t="s">
        <v>42</v>
      </c>
      <c r="K4578">
        <v>10</v>
      </c>
      <c r="L4578" s="7">
        <f t="shared" si="214"/>
        <v>629.5</v>
      </c>
      <c r="M4578" s="7"/>
      <c r="O4578">
        <f t="shared" si="215"/>
        <v>2</v>
      </c>
      <c r="Q4578" t="s">
        <v>47</v>
      </c>
    </row>
    <row r="4579" spans="1:17" x14ac:dyDescent="0.3">
      <c r="A4579" t="s">
        <v>5709</v>
      </c>
      <c r="B4579" s="6">
        <v>45108</v>
      </c>
      <c r="C4579" s="6" t="str">
        <f t="shared" si="213"/>
        <v>Jul</v>
      </c>
      <c r="D4579" t="s">
        <v>207</v>
      </c>
      <c r="E4579" t="s">
        <v>36</v>
      </c>
      <c r="F4579" t="s">
        <v>706</v>
      </c>
      <c r="G4579">
        <v>7</v>
      </c>
      <c r="H4579" s="7">
        <v>282.37</v>
      </c>
      <c r="I4579" t="s">
        <v>32</v>
      </c>
      <c r="J4579" t="s">
        <v>42</v>
      </c>
      <c r="K4579">
        <v>20</v>
      </c>
      <c r="L4579" s="7">
        <f t="shared" si="214"/>
        <v>1976.5900000000001</v>
      </c>
      <c r="M4579" s="7"/>
      <c r="O4579">
        <f t="shared" si="215"/>
        <v>2</v>
      </c>
      <c r="Q4579" t="s">
        <v>33</v>
      </c>
    </row>
    <row r="4580" spans="1:17" x14ac:dyDescent="0.3">
      <c r="A4580" t="s">
        <v>5710</v>
      </c>
      <c r="B4580" s="6">
        <v>44929</v>
      </c>
      <c r="C4580" s="6" t="str">
        <f t="shared" si="213"/>
        <v>Jan</v>
      </c>
      <c r="D4580" t="s">
        <v>2256</v>
      </c>
      <c r="E4580" t="s">
        <v>31</v>
      </c>
      <c r="F4580" t="s">
        <v>646</v>
      </c>
      <c r="G4580">
        <v>2</v>
      </c>
      <c r="H4580" s="7">
        <v>15.76</v>
      </c>
      <c r="I4580" t="s">
        <v>64</v>
      </c>
      <c r="J4580" t="s">
        <v>42</v>
      </c>
      <c r="K4580">
        <v>10</v>
      </c>
      <c r="L4580" s="7">
        <f t="shared" si="214"/>
        <v>31.52</v>
      </c>
      <c r="M4580" s="7"/>
      <c r="O4580">
        <f t="shared" si="215"/>
        <v>2</v>
      </c>
      <c r="Q4580" t="s">
        <v>65</v>
      </c>
    </row>
    <row r="4581" spans="1:17" x14ac:dyDescent="0.3">
      <c r="A4581" t="s">
        <v>5711</v>
      </c>
      <c r="B4581" s="6">
        <v>45191</v>
      </c>
      <c r="C4581" s="6" t="str">
        <f t="shared" si="213"/>
        <v>Sep</v>
      </c>
      <c r="D4581" t="s">
        <v>1240</v>
      </c>
      <c r="E4581" t="s">
        <v>36</v>
      </c>
      <c r="F4581" t="s">
        <v>1851</v>
      </c>
      <c r="G4581">
        <v>8</v>
      </c>
      <c r="H4581" s="7">
        <v>262.68</v>
      </c>
      <c r="I4581" t="s">
        <v>21</v>
      </c>
      <c r="J4581" t="s">
        <v>87</v>
      </c>
      <c r="K4581">
        <v>10</v>
      </c>
      <c r="L4581" s="7">
        <f t="shared" si="214"/>
        <v>2101.44</v>
      </c>
      <c r="M4581" s="7"/>
      <c r="O4581">
        <f t="shared" si="215"/>
        <v>2</v>
      </c>
      <c r="Q4581" t="s">
        <v>23</v>
      </c>
    </row>
    <row r="4582" spans="1:17" x14ac:dyDescent="0.3">
      <c r="A4582" t="s">
        <v>5712</v>
      </c>
      <c r="B4582" s="6">
        <v>45043</v>
      </c>
      <c r="C4582" s="6" t="str">
        <f t="shared" si="213"/>
        <v>Apr</v>
      </c>
      <c r="D4582" t="s">
        <v>5544</v>
      </c>
      <c r="E4582" t="s">
        <v>19</v>
      </c>
      <c r="F4582" t="s">
        <v>110</v>
      </c>
      <c r="G4582">
        <v>4</v>
      </c>
      <c r="H4582" s="7">
        <v>198.93</v>
      </c>
      <c r="I4582" t="s">
        <v>46</v>
      </c>
      <c r="J4582" t="s">
        <v>19</v>
      </c>
      <c r="K4582">
        <v>15</v>
      </c>
      <c r="L4582" s="7">
        <f t="shared" si="214"/>
        <v>795.72</v>
      </c>
      <c r="M4582" s="7"/>
      <c r="O4582">
        <f t="shared" si="215"/>
        <v>2</v>
      </c>
      <c r="Q4582" t="s">
        <v>47</v>
      </c>
    </row>
    <row r="4583" spans="1:17" x14ac:dyDescent="0.3">
      <c r="A4583" t="s">
        <v>5713</v>
      </c>
      <c r="B4583" s="6">
        <v>45261</v>
      </c>
      <c r="C4583" s="6" t="str">
        <f t="shared" si="213"/>
        <v>Dec</v>
      </c>
      <c r="D4583" t="s">
        <v>1812</v>
      </c>
      <c r="E4583" t="s">
        <v>62</v>
      </c>
      <c r="F4583" t="s">
        <v>179</v>
      </c>
      <c r="G4583">
        <v>3</v>
      </c>
      <c r="H4583" s="7">
        <v>290.68</v>
      </c>
      <c r="I4583" t="s">
        <v>46</v>
      </c>
      <c r="J4583" t="s">
        <v>87</v>
      </c>
      <c r="K4583">
        <v>10</v>
      </c>
      <c r="L4583" s="7">
        <f t="shared" si="214"/>
        <v>872.04</v>
      </c>
      <c r="M4583" s="7"/>
      <c r="O4583">
        <f t="shared" si="215"/>
        <v>2</v>
      </c>
      <c r="Q4583" t="s">
        <v>47</v>
      </c>
    </row>
    <row r="4584" spans="1:17" x14ac:dyDescent="0.3">
      <c r="A4584" t="s">
        <v>5714</v>
      </c>
      <c r="B4584" s="6">
        <v>45005</v>
      </c>
      <c r="C4584" s="6" t="str">
        <f t="shared" si="213"/>
        <v>Mar</v>
      </c>
      <c r="D4584" t="s">
        <v>1052</v>
      </c>
      <c r="E4584" t="s">
        <v>50</v>
      </c>
      <c r="F4584" t="s">
        <v>173</v>
      </c>
      <c r="G4584">
        <v>8</v>
      </c>
      <c r="H4584" s="7">
        <v>352.7</v>
      </c>
      <c r="I4584" t="s">
        <v>64</v>
      </c>
      <c r="J4584" t="s">
        <v>72</v>
      </c>
      <c r="K4584">
        <v>10</v>
      </c>
      <c r="L4584" s="7">
        <f t="shared" si="214"/>
        <v>2821.6</v>
      </c>
      <c r="M4584" s="7"/>
      <c r="O4584">
        <f t="shared" si="215"/>
        <v>3</v>
      </c>
      <c r="Q4584" t="s">
        <v>65</v>
      </c>
    </row>
    <row r="4585" spans="1:17" x14ac:dyDescent="0.3">
      <c r="A4585" t="s">
        <v>5715</v>
      </c>
      <c r="B4585" s="6">
        <v>45126</v>
      </c>
      <c r="C4585" s="6" t="str">
        <f t="shared" si="213"/>
        <v>Jul</v>
      </c>
      <c r="D4585" t="s">
        <v>2022</v>
      </c>
      <c r="E4585" t="s">
        <v>19</v>
      </c>
      <c r="F4585" t="s">
        <v>90</v>
      </c>
      <c r="G4585">
        <v>5</v>
      </c>
      <c r="H4585" s="7">
        <v>318.88</v>
      </c>
      <c r="I4585" t="s">
        <v>21</v>
      </c>
      <c r="J4585" t="s">
        <v>19</v>
      </c>
      <c r="K4585">
        <v>5</v>
      </c>
      <c r="L4585" s="7">
        <f t="shared" si="214"/>
        <v>1594.4</v>
      </c>
      <c r="M4585" s="7"/>
      <c r="O4585">
        <f t="shared" si="215"/>
        <v>2</v>
      </c>
      <c r="Q4585" t="s">
        <v>23</v>
      </c>
    </row>
    <row r="4586" spans="1:17" x14ac:dyDescent="0.3">
      <c r="A4586" t="s">
        <v>5716</v>
      </c>
      <c r="B4586" s="6">
        <v>44979</v>
      </c>
      <c r="C4586" s="6" t="str">
        <f t="shared" si="213"/>
        <v>Feb</v>
      </c>
      <c r="D4586" t="s">
        <v>781</v>
      </c>
      <c r="E4586" t="s">
        <v>62</v>
      </c>
      <c r="F4586" t="s">
        <v>298</v>
      </c>
      <c r="G4586">
        <v>3</v>
      </c>
      <c r="H4586" s="7">
        <v>492.4</v>
      </c>
      <c r="I4586" t="s">
        <v>46</v>
      </c>
      <c r="J4586" t="s">
        <v>87</v>
      </c>
      <c r="K4586">
        <v>20</v>
      </c>
      <c r="L4586" s="7">
        <f t="shared" si="214"/>
        <v>1477.1999999999998</v>
      </c>
      <c r="M4586" s="7"/>
      <c r="O4586">
        <f t="shared" si="215"/>
        <v>2</v>
      </c>
      <c r="Q4586" t="s">
        <v>47</v>
      </c>
    </row>
    <row r="4587" spans="1:17" x14ac:dyDescent="0.3">
      <c r="A4587" t="s">
        <v>5717</v>
      </c>
      <c r="B4587" s="6">
        <v>45230</v>
      </c>
      <c r="C4587" s="6" t="str">
        <f t="shared" si="213"/>
        <v>Oct</v>
      </c>
      <c r="D4587" t="s">
        <v>53</v>
      </c>
      <c r="E4587" t="s">
        <v>62</v>
      </c>
      <c r="F4587" t="s">
        <v>263</v>
      </c>
      <c r="G4587">
        <v>3</v>
      </c>
      <c r="H4587" s="7">
        <v>73.44</v>
      </c>
      <c r="I4587" t="s">
        <v>64</v>
      </c>
      <c r="J4587" t="s">
        <v>22</v>
      </c>
      <c r="K4587">
        <v>20</v>
      </c>
      <c r="L4587" s="7">
        <f t="shared" si="214"/>
        <v>220.32</v>
      </c>
      <c r="M4587" s="7"/>
      <c r="O4587">
        <f t="shared" si="215"/>
        <v>2</v>
      </c>
      <c r="Q4587" t="s">
        <v>65</v>
      </c>
    </row>
    <row r="4588" spans="1:17" x14ac:dyDescent="0.3">
      <c r="A4588" t="s">
        <v>5718</v>
      </c>
      <c r="B4588" s="6">
        <v>45028</v>
      </c>
      <c r="C4588" s="6" t="str">
        <f t="shared" si="213"/>
        <v>Apr</v>
      </c>
      <c r="D4588" t="s">
        <v>1856</v>
      </c>
      <c r="E4588" t="s">
        <v>40</v>
      </c>
      <c r="F4588" t="s">
        <v>520</v>
      </c>
      <c r="G4588">
        <v>1</v>
      </c>
      <c r="H4588" s="7">
        <v>217.72</v>
      </c>
      <c r="I4588" t="s">
        <v>32</v>
      </c>
      <c r="J4588" t="s">
        <v>72</v>
      </c>
      <c r="K4588">
        <v>20</v>
      </c>
      <c r="L4588" s="7">
        <f t="shared" si="214"/>
        <v>217.72</v>
      </c>
      <c r="M4588" s="7"/>
      <c r="O4588">
        <f t="shared" si="215"/>
        <v>2</v>
      </c>
      <c r="Q4588" t="s">
        <v>33</v>
      </c>
    </row>
    <row r="4589" spans="1:17" x14ac:dyDescent="0.3">
      <c r="A4589" t="s">
        <v>5719</v>
      </c>
      <c r="B4589" s="6">
        <v>45255</v>
      </c>
      <c r="C4589" s="6" t="str">
        <f t="shared" si="213"/>
        <v>Nov</v>
      </c>
      <c r="D4589" t="s">
        <v>596</v>
      </c>
      <c r="E4589" t="s">
        <v>50</v>
      </c>
      <c r="F4589" t="s">
        <v>511</v>
      </c>
      <c r="G4589">
        <v>6</v>
      </c>
      <c r="H4589" s="7">
        <v>215.29</v>
      </c>
      <c r="I4589" t="s">
        <v>46</v>
      </c>
      <c r="J4589" t="s">
        <v>19</v>
      </c>
      <c r="K4589">
        <v>20</v>
      </c>
      <c r="L4589" s="7">
        <f t="shared" si="214"/>
        <v>1291.74</v>
      </c>
      <c r="M4589" s="7"/>
      <c r="O4589">
        <f t="shared" si="215"/>
        <v>2</v>
      </c>
      <c r="Q4589" t="s">
        <v>47</v>
      </c>
    </row>
    <row r="4590" spans="1:17" x14ac:dyDescent="0.3">
      <c r="A4590" t="s">
        <v>5720</v>
      </c>
      <c r="B4590" s="6">
        <v>45117</v>
      </c>
      <c r="C4590" s="6" t="str">
        <f t="shared" si="213"/>
        <v>Jul</v>
      </c>
      <c r="D4590" t="s">
        <v>2108</v>
      </c>
      <c r="E4590" t="s">
        <v>26</v>
      </c>
      <c r="F4590" t="s">
        <v>278</v>
      </c>
      <c r="G4590">
        <v>2</v>
      </c>
      <c r="H4590" s="7">
        <v>211.44</v>
      </c>
      <c r="I4590" t="s">
        <v>32</v>
      </c>
      <c r="J4590" t="s">
        <v>72</v>
      </c>
      <c r="K4590">
        <v>0</v>
      </c>
      <c r="L4590" s="7">
        <f t="shared" si="214"/>
        <v>422.88</v>
      </c>
      <c r="M4590" s="7"/>
      <c r="O4590">
        <f t="shared" si="215"/>
        <v>2</v>
      </c>
      <c r="Q4590" t="s">
        <v>33</v>
      </c>
    </row>
    <row r="4591" spans="1:17" x14ac:dyDescent="0.3">
      <c r="A4591" t="s">
        <v>5721</v>
      </c>
      <c r="B4591" s="6">
        <v>45051</v>
      </c>
      <c r="C4591" s="6" t="str">
        <f t="shared" si="213"/>
        <v>May</v>
      </c>
      <c r="D4591" t="s">
        <v>1158</v>
      </c>
      <c r="E4591" t="s">
        <v>36</v>
      </c>
      <c r="F4591" t="s">
        <v>331</v>
      </c>
      <c r="G4591">
        <v>1</v>
      </c>
      <c r="H4591" s="7">
        <v>333.58</v>
      </c>
      <c r="I4591" t="s">
        <v>103</v>
      </c>
      <c r="J4591" t="s">
        <v>72</v>
      </c>
      <c r="K4591">
        <v>20</v>
      </c>
      <c r="L4591" s="7">
        <f t="shared" si="214"/>
        <v>333.58</v>
      </c>
      <c r="M4591" s="7"/>
      <c r="O4591">
        <f t="shared" si="215"/>
        <v>2</v>
      </c>
      <c r="Q4591" t="s">
        <v>104</v>
      </c>
    </row>
    <row r="4592" spans="1:17" x14ac:dyDescent="0.3">
      <c r="A4592" t="s">
        <v>5722</v>
      </c>
      <c r="B4592" s="6">
        <v>45244</v>
      </c>
      <c r="C4592" s="6" t="str">
        <f t="shared" si="213"/>
        <v>Nov</v>
      </c>
      <c r="D4592" t="s">
        <v>1525</v>
      </c>
      <c r="E4592" t="s">
        <v>50</v>
      </c>
      <c r="F4592" t="s">
        <v>789</v>
      </c>
      <c r="G4592">
        <v>2</v>
      </c>
      <c r="H4592" s="7">
        <v>247.46</v>
      </c>
      <c r="I4592" t="s">
        <v>103</v>
      </c>
      <c r="J4592" t="s">
        <v>42</v>
      </c>
      <c r="K4592">
        <v>15</v>
      </c>
      <c r="L4592" s="7">
        <f t="shared" si="214"/>
        <v>494.92</v>
      </c>
      <c r="M4592" s="7"/>
      <c r="O4592">
        <f t="shared" si="215"/>
        <v>2</v>
      </c>
      <c r="Q4592" t="s">
        <v>104</v>
      </c>
    </row>
    <row r="4593" spans="1:17" x14ac:dyDescent="0.3">
      <c r="A4593" t="s">
        <v>5723</v>
      </c>
      <c r="B4593" s="6">
        <v>45164</v>
      </c>
      <c r="C4593" s="6" t="str">
        <f t="shared" si="213"/>
        <v>Aug</v>
      </c>
      <c r="D4593" t="s">
        <v>2619</v>
      </c>
      <c r="E4593" t="s">
        <v>26</v>
      </c>
      <c r="F4593" t="s">
        <v>246</v>
      </c>
      <c r="G4593">
        <v>6</v>
      </c>
      <c r="H4593" s="7">
        <v>261.13</v>
      </c>
      <c r="I4593" t="s">
        <v>32</v>
      </c>
      <c r="J4593" t="s">
        <v>42</v>
      </c>
      <c r="K4593">
        <v>15</v>
      </c>
      <c r="L4593" s="7">
        <f t="shared" si="214"/>
        <v>1566.78</v>
      </c>
      <c r="M4593" s="7"/>
      <c r="O4593">
        <f t="shared" si="215"/>
        <v>2</v>
      </c>
      <c r="Q4593" t="s">
        <v>33</v>
      </c>
    </row>
    <row r="4594" spans="1:17" x14ac:dyDescent="0.3">
      <c r="A4594" t="s">
        <v>5724</v>
      </c>
      <c r="B4594" s="6">
        <v>44941</v>
      </c>
      <c r="C4594" s="6" t="str">
        <f t="shared" si="213"/>
        <v>Jan</v>
      </c>
      <c r="D4594" t="s">
        <v>343</v>
      </c>
      <c r="E4594" t="s">
        <v>26</v>
      </c>
      <c r="F4594" t="s">
        <v>684</v>
      </c>
      <c r="G4594">
        <v>4</v>
      </c>
      <c r="H4594" s="7">
        <v>219.02</v>
      </c>
      <c r="I4594" t="s">
        <v>64</v>
      </c>
      <c r="J4594" t="s">
        <v>19</v>
      </c>
      <c r="K4594">
        <v>0</v>
      </c>
      <c r="L4594" s="7">
        <f t="shared" si="214"/>
        <v>876.08</v>
      </c>
      <c r="M4594" s="7"/>
      <c r="O4594">
        <f t="shared" si="215"/>
        <v>2</v>
      </c>
      <c r="Q4594" t="s">
        <v>65</v>
      </c>
    </row>
    <row r="4595" spans="1:17" x14ac:dyDescent="0.3">
      <c r="A4595" t="s">
        <v>5725</v>
      </c>
      <c r="B4595" s="6">
        <v>45024</v>
      </c>
      <c r="C4595" s="6" t="str">
        <f t="shared" si="213"/>
        <v>Apr</v>
      </c>
      <c r="D4595" t="s">
        <v>1898</v>
      </c>
      <c r="E4595" t="s">
        <v>26</v>
      </c>
      <c r="F4595" t="s">
        <v>514</v>
      </c>
      <c r="G4595">
        <v>6</v>
      </c>
      <c r="H4595" s="7">
        <v>495.89</v>
      </c>
      <c r="I4595" t="s">
        <v>103</v>
      </c>
      <c r="J4595" t="s">
        <v>42</v>
      </c>
      <c r="K4595">
        <v>20</v>
      </c>
      <c r="L4595" s="7">
        <f t="shared" si="214"/>
        <v>2975.34</v>
      </c>
      <c r="M4595" s="7"/>
      <c r="O4595">
        <f t="shared" si="215"/>
        <v>3</v>
      </c>
      <c r="Q4595" t="s">
        <v>104</v>
      </c>
    </row>
    <row r="4596" spans="1:17" x14ac:dyDescent="0.3">
      <c r="A4596" t="s">
        <v>5726</v>
      </c>
      <c r="B4596" s="6">
        <v>44998</v>
      </c>
      <c r="C4596" s="6" t="str">
        <f t="shared" si="213"/>
        <v>Mar</v>
      </c>
      <c r="D4596" t="s">
        <v>2277</v>
      </c>
      <c r="E4596" t="s">
        <v>50</v>
      </c>
      <c r="F4596" t="s">
        <v>822</v>
      </c>
      <c r="G4596">
        <v>9</v>
      </c>
      <c r="H4596" s="7">
        <v>464.14</v>
      </c>
      <c r="I4596" t="s">
        <v>21</v>
      </c>
      <c r="J4596" t="s">
        <v>87</v>
      </c>
      <c r="K4596">
        <v>10</v>
      </c>
      <c r="L4596" s="7">
        <f t="shared" si="214"/>
        <v>4177.26</v>
      </c>
      <c r="M4596" s="7"/>
      <c r="O4596">
        <f t="shared" si="215"/>
        <v>5</v>
      </c>
      <c r="Q4596" t="s">
        <v>23</v>
      </c>
    </row>
    <row r="4597" spans="1:17" x14ac:dyDescent="0.3">
      <c r="A4597" t="s">
        <v>5727</v>
      </c>
      <c r="B4597" s="6">
        <v>44986</v>
      </c>
      <c r="C4597" s="6" t="str">
        <f t="shared" si="213"/>
        <v>Mar</v>
      </c>
      <c r="D4597" t="s">
        <v>607</v>
      </c>
      <c r="E4597" t="s">
        <v>19</v>
      </c>
      <c r="F4597" t="s">
        <v>270</v>
      </c>
      <c r="G4597">
        <v>8</v>
      </c>
      <c r="H4597" s="7">
        <v>157.32</v>
      </c>
      <c r="I4597" t="s">
        <v>21</v>
      </c>
      <c r="J4597" t="s">
        <v>22</v>
      </c>
      <c r="K4597">
        <v>20</v>
      </c>
      <c r="L4597" s="7">
        <f t="shared" si="214"/>
        <v>1258.56</v>
      </c>
      <c r="M4597" s="7"/>
      <c r="O4597">
        <f t="shared" si="215"/>
        <v>2</v>
      </c>
      <c r="Q4597" t="s">
        <v>23</v>
      </c>
    </row>
    <row r="4598" spans="1:17" x14ac:dyDescent="0.3">
      <c r="A4598" t="s">
        <v>5728</v>
      </c>
      <c r="B4598" s="6">
        <v>45028</v>
      </c>
      <c r="C4598" s="6" t="str">
        <f t="shared" si="213"/>
        <v>Apr</v>
      </c>
      <c r="D4598" t="s">
        <v>167</v>
      </c>
      <c r="E4598" t="s">
        <v>19</v>
      </c>
      <c r="F4598" t="s">
        <v>1251</v>
      </c>
      <c r="G4598">
        <v>1</v>
      </c>
      <c r="H4598" s="7">
        <v>60.24</v>
      </c>
      <c r="I4598" t="s">
        <v>46</v>
      </c>
      <c r="J4598" t="s">
        <v>87</v>
      </c>
      <c r="K4598">
        <v>15</v>
      </c>
      <c r="L4598" s="7">
        <f t="shared" si="214"/>
        <v>60.24</v>
      </c>
      <c r="M4598" s="7"/>
      <c r="O4598">
        <f t="shared" si="215"/>
        <v>2</v>
      </c>
      <c r="Q4598" t="s">
        <v>47</v>
      </c>
    </row>
    <row r="4599" spans="1:17" x14ac:dyDescent="0.3">
      <c r="A4599" t="s">
        <v>5729</v>
      </c>
      <c r="B4599" s="6">
        <v>45013</v>
      </c>
      <c r="C4599" s="6" t="str">
        <f t="shared" si="213"/>
        <v>Mar</v>
      </c>
      <c r="D4599" t="s">
        <v>1466</v>
      </c>
      <c r="E4599" t="s">
        <v>19</v>
      </c>
      <c r="F4599" t="s">
        <v>176</v>
      </c>
      <c r="G4599">
        <v>5</v>
      </c>
      <c r="H4599" s="7">
        <v>420.68</v>
      </c>
      <c r="I4599" t="s">
        <v>103</v>
      </c>
      <c r="J4599" t="s">
        <v>28</v>
      </c>
      <c r="K4599">
        <v>5</v>
      </c>
      <c r="L4599" s="7">
        <f t="shared" si="214"/>
        <v>2103.4</v>
      </c>
      <c r="M4599" s="7"/>
      <c r="O4599">
        <f t="shared" si="215"/>
        <v>2</v>
      </c>
      <c r="Q4599" t="s">
        <v>104</v>
      </c>
    </row>
    <row r="4600" spans="1:17" x14ac:dyDescent="0.3">
      <c r="A4600" t="s">
        <v>5730</v>
      </c>
      <c r="B4600" s="6">
        <v>45193</v>
      </c>
      <c r="C4600" s="6" t="str">
        <f t="shared" si="213"/>
        <v>Sep</v>
      </c>
      <c r="D4600" t="s">
        <v>1087</v>
      </c>
      <c r="E4600" t="s">
        <v>62</v>
      </c>
      <c r="F4600" t="s">
        <v>234</v>
      </c>
      <c r="G4600">
        <v>9</v>
      </c>
      <c r="H4600" s="7">
        <v>498.6</v>
      </c>
      <c r="I4600" t="s">
        <v>19</v>
      </c>
      <c r="J4600" t="s">
        <v>22</v>
      </c>
      <c r="K4600">
        <v>10</v>
      </c>
      <c r="L4600" s="7">
        <f t="shared" si="214"/>
        <v>4487.4000000000005</v>
      </c>
      <c r="M4600" s="7"/>
      <c r="O4600">
        <f t="shared" si="215"/>
        <v>5</v>
      </c>
      <c r="Q4600" t="s">
        <v>19</v>
      </c>
    </row>
    <row r="4601" spans="1:17" x14ac:dyDescent="0.3">
      <c r="A4601" t="s">
        <v>5731</v>
      </c>
      <c r="B4601" s="6">
        <v>45085</v>
      </c>
      <c r="C4601" s="6" t="str">
        <f t="shared" si="213"/>
        <v>Jun</v>
      </c>
      <c r="D4601" t="s">
        <v>751</v>
      </c>
      <c r="E4601" t="s">
        <v>31</v>
      </c>
      <c r="F4601" t="s">
        <v>1251</v>
      </c>
      <c r="G4601">
        <v>6</v>
      </c>
      <c r="H4601" s="7">
        <v>149.84</v>
      </c>
      <c r="I4601" t="s">
        <v>46</v>
      </c>
      <c r="J4601" t="s">
        <v>42</v>
      </c>
      <c r="K4601">
        <v>5</v>
      </c>
      <c r="L4601" s="7">
        <f t="shared" si="214"/>
        <v>899.04</v>
      </c>
      <c r="M4601" s="7"/>
      <c r="O4601">
        <f t="shared" si="215"/>
        <v>2</v>
      </c>
      <c r="Q4601" t="s">
        <v>47</v>
      </c>
    </row>
    <row r="4602" spans="1:17" x14ac:dyDescent="0.3">
      <c r="A4602" t="s">
        <v>5732</v>
      </c>
      <c r="B4602" s="6">
        <v>44984</v>
      </c>
      <c r="C4602" s="6" t="str">
        <f t="shared" si="213"/>
        <v>Feb</v>
      </c>
      <c r="D4602" t="s">
        <v>1187</v>
      </c>
      <c r="E4602" t="s">
        <v>26</v>
      </c>
      <c r="F4602" t="s">
        <v>523</v>
      </c>
      <c r="G4602">
        <v>5</v>
      </c>
      <c r="H4602" s="7">
        <v>182.1</v>
      </c>
      <c r="I4602" t="s">
        <v>103</v>
      </c>
      <c r="J4602" t="s">
        <v>72</v>
      </c>
      <c r="K4602">
        <v>10</v>
      </c>
      <c r="L4602" s="7">
        <f t="shared" si="214"/>
        <v>910.5</v>
      </c>
      <c r="M4602" s="7"/>
      <c r="O4602">
        <f t="shared" si="215"/>
        <v>2</v>
      </c>
      <c r="Q4602" t="s">
        <v>104</v>
      </c>
    </row>
    <row r="4603" spans="1:17" x14ac:dyDescent="0.3">
      <c r="A4603" t="s">
        <v>5733</v>
      </c>
      <c r="B4603" s="6">
        <v>44964</v>
      </c>
      <c r="C4603" s="6" t="str">
        <f t="shared" si="213"/>
        <v>Feb</v>
      </c>
      <c r="D4603" t="s">
        <v>2883</v>
      </c>
      <c r="E4603" t="s">
        <v>31</v>
      </c>
      <c r="F4603" t="s">
        <v>237</v>
      </c>
      <c r="G4603">
        <v>6</v>
      </c>
      <c r="H4603" s="7">
        <v>471.11</v>
      </c>
      <c r="I4603" t="s">
        <v>64</v>
      </c>
      <c r="J4603" t="s">
        <v>87</v>
      </c>
      <c r="K4603">
        <v>20</v>
      </c>
      <c r="L4603" s="7">
        <f t="shared" si="214"/>
        <v>2826.66</v>
      </c>
      <c r="M4603" s="7"/>
      <c r="O4603">
        <f t="shared" si="215"/>
        <v>3</v>
      </c>
      <c r="Q4603" t="s">
        <v>65</v>
      </c>
    </row>
    <row r="4604" spans="1:17" x14ac:dyDescent="0.3">
      <c r="A4604" t="s">
        <v>5734</v>
      </c>
      <c r="B4604" s="6">
        <v>45045</v>
      </c>
      <c r="C4604" s="6" t="str">
        <f t="shared" si="213"/>
        <v>Apr</v>
      </c>
      <c r="D4604" t="s">
        <v>1864</v>
      </c>
      <c r="E4604" t="s">
        <v>26</v>
      </c>
      <c r="F4604" t="s">
        <v>41</v>
      </c>
      <c r="G4604">
        <v>6</v>
      </c>
      <c r="H4604" s="7">
        <v>357.01</v>
      </c>
      <c r="I4604" t="s">
        <v>21</v>
      </c>
      <c r="J4604" t="s">
        <v>72</v>
      </c>
      <c r="K4604">
        <v>0</v>
      </c>
      <c r="L4604" s="7">
        <f t="shared" si="214"/>
        <v>2142.06</v>
      </c>
      <c r="M4604" s="7"/>
      <c r="O4604">
        <f t="shared" si="215"/>
        <v>2</v>
      </c>
      <c r="Q4604" t="s">
        <v>23</v>
      </c>
    </row>
    <row r="4605" spans="1:17" x14ac:dyDescent="0.3">
      <c r="A4605" t="s">
        <v>5735</v>
      </c>
      <c r="B4605" s="6">
        <v>45098</v>
      </c>
      <c r="C4605" s="6" t="str">
        <f t="shared" si="213"/>
        <v>Jun</v>
      </c>
      <c r="D4605" t="s">
        <v>124</v>
      </c>
      <c r="E4605" t="s">
        <v>62</v>
      </c>
      <c r="F4605" t="s">
        <v>182</v>
      </c>
      <c r="G4605">
        <v>9</v>
      </c>
      <c r="H4605" s="7">
        <v>151.34</v>
      </c>
      <c r="I4605" t="s">
        <v>103</v>
      </c>
      <c r="J4605" t="s">
        <v>28</v>
      </c>
      <c r="K4605">
        <v>20</v>
      </c>
      <c r="L4605" s="7">
        <f t="shared" si="214"/>
        <v>1362.06</v>
      </c>
      <c r="M4605" s="7"/>
      <c r="O4605">
        <f t="shared" si="215"/>
        <v>2</v>
      </c>
      <c r="Q4605" t="s">
        <v>104</v>
      </c>
    </row>
    <row r="4606" spans="1:17" x14ac:dyDescent="0.3">
      <c r="A4606" t="s">
        <v>5736</v>
      </c>
      <c r="B4606" s="6">
        <v>44946</v>
      </c>
      <c r="C4606" s="6" t="str">
        <f t="shared" si="213"/>
        <v>Jan</v>
      </c>
      <c r="D4606" t="s">
        <v>2124</v>
      </c>
      <c r="E4606" t="s">
        <v>19</v>
      </c>
      <c r="F4606" t="s">
        <v>1328</v>
      </c>
      <c r="G4606">
        <v>4</v>
      </c>
      <c r="H4606" s="7">
        <v>252.16</v>
      </c>
      <c r="I4606" t="s">
        <v>19</v>
      </c>
      <c r="J4606" t="s">
        <v>22</v>
      </c>
      <c r="K4606">
        <v>10</v>
      </c>
      <c r="L4606" s="7">
        <f t="shared" si="214"/>
        <v>1008.64</v>
      </c>
      <c r="M4606" s="7"/>
      <c r="O4606">
        <f t="shared" si="215"/>
        <v>2</v>
      </c>
      <c r="Q4606" t="s">
        <v>19</v>
      </c>
    </row>
    <row r="4607" spans="1:17" x14ac:dyDescent="0.3">
      <c r="A4607" t="s">
        <v>5737</v>
      </c>
      <c r="B4607" s="6">
        <v>45228</v>
      </c>
      <c r="C4607" s="6" t="str">
        <f t="shared" si="213"/>
        <v>Oct</v>
      </c>
      <c r="D4607" t="s">
        <v>233</v>
      </c>
      <c r="E4607" t="s">
        <v>19</v>
      </c>
      <c r="F4607" t="s">
        <v>514</v>
      </c>
      <c r="G4607">
        <v>2</v>
      </c>
      <c r="H4607" s="7">
        <v>472.39</v>
      </c>
      <c r="I4607" t="s">
        <v>19</v>
      </c>
      <c r="J4607" t="s">
        <v>72</v>
      </c>
      <c r="K4607">
        <v>10</v>
      </c>
      <c r="L4607" s="7">
        <f t="shared" si="214"/>
        <v>944.78</v>
      </c>
      <c r="M4607" s="7"/>
      <c r="O4607">
        <f t="shared" si="215"/>
        <v>2</v>
      </c>
      <c r="Q4607" t="s">
        <v>19</v>
      </c>
    </row>
    <row r="4608" spans="1:17" x14ac:dyDescent="0.3">
      <c r="A4608" t="s">
        <v>5738</v>
      </c>
      <c r="B4608" s="6">
        <v>45181</v>
      </c>
      <c r="C4608" s="6" t="str">
        <f t="shared" si="213"/>
        <v>Sep</v>
      </c>
      <c r="D4608" t="s">
        <v>3771</v>
      </c>
      <c r="E4608" t="s">
        <v>31</v>
      </c>
      <c r="F4608" t="s">
        <v>504</v>
      </c>
      <c r="G4608">
        <v>9</v>
      </c>
      <c r="H4608" s="7">
        <v>406.85</v>
      </c>
      <c r="I4608" t="s">
        <v>46</v>
      </c>
      <c r="J4608" t="s">
        <v>28</v>
      </c>
      <c r="K4608">
        <v>10</v>
      </c>
      <c r="L4608" s="7">
        <f t="shared" si="214"/>
        <v>3661.65</v>
      </c>
      <c r="M4608" s="7"/>
      <c r="O4608">
        <f t="shared" si="215"/>
        <v>5</v>
      </c>
      <c r="Q4608" t="s">
        <v>47</v>
      </c>
    </row>
    <row r="4609" spans="1:17" x14ac:dyDescent="0.3">
      <c r="A4609" t="s">
        <v>5739</v>
      </c>
      <c r="B4609" s="6">
        <v>44990</v>
      </c>
      <c r="C4609" s="6" t="str">
        <f t="shared" si="213"/>
        <v>Mar</v>
      </c>
      <c r="D4609" t="s">
        <v>705</v>
      </c>
      <c r="E4609" t="s">
        <v>36</v>
      </c>
      <c r="F4609" t="s">
        <v>41</v>
      </c>
      <c r="G4609">
        <v>2</v>
      </c>
      <c r="H4609" s="7">
        <v>372.21</v>
      </c>
      <c r="I4609" t="s">
        <v>32</v>
      </c>
      <c r="J4609" t="s">
        <v>42</v>
      </c>
      <c r="K4609">
        <v>10</v>
      </c>
      <c r="L4609" s="7">
        <f t="shared" si="214"/>
        <v>744.42</v>
      </c>
      <c r="M4609" s="7"/>
      <c r="O4609">
        <f t="shared" si="215"/>
        <v>2</v>
      </c>
      <c r="Q4609" t="s">
        <v>33</v>
      </c>
    </row>
    <row r="4610" spans="1:17" x14ac:dyDescent="0.3">
      <c r="A4610" t="s">
        <v>5740</v>
      </c>
      <c r="B4610" s="6">
        <v>45070</v>
      </c>
      <c r="C4610" s="6" t="str">
        <f t="shared" si="213"/>
        <v>May</v>
      </c>
      <c r="D4610" t="s">
        <v>1970</v>
      </c>
      <c r="E4610" t="s">
        <v>50</v>
      </c>
      <c r="F4610" t="s">
        <v>409</v>
      </c>
      <c r="G4610">
        <v>9</v>
      </c>
      <c r="H4610" s="7">
        <v>369.81</v>
      </c>
      <c r="I4610" t="s">
        <v>64</v>
      </c>
      <c r="J4610" t="s">
        <v>87</v>
      </c>
      <c r="K4610">
        <v>5</v>
      </c>
      <c r="L4610" s="7">
        <f t="shared" si="214"/>
        <v>3328.29</v>
      </c>
      <c r="M4610" s="7"/>
      <c r="O4610">
        <f t="shared" si="215"/>
        <v>4</v>
      </c>
      <c r="Q4610" t="s">
        <v>65</v>
      </c>
    </row>
    <row r="4611" spans="1:17" x14ac:dyDescent="0.3">
      <c r="A4611" t="s">
        <v>5741</v>
      </c>
      <c r="B4611" s="6">
        <v>45138</v>
      </c>
      <c r="C4611" s="6" t="str">
        <f t="shared" ref="C4611:C4674" si="216">TEXT(B4611,"MMM")</f>
        <v>Jul</v>
      </c>
      <c r="D4611" t="s">
        <v>508</v>
      </c>
      <c r="E4611" t="s">
        <v>26</v>
      </c>
      <c r="F4611" t="s">
        <v>1180</v>
      </c>
      <c r="G4611">
        <v>2</v>
      </c>
      <c r="H4611" s="7">
        <v>93.12</v>
      </c>
      <c r="I4611" t="s">
        <v>64</v>
      </c>
      <c r="J4611" t="s">
        <v>28</v>
      </c>
      <c r="K4611">
        <v>10</v>
      </c>
      <c r="L4611" s="7">
        <f t="shared" ref="L4611:L4674" si="217">G4611*H4611</f>
        <v>186.24</v>
      </c>
      <c r="M4611" s="7"/>
      <c r="O4611">
        <f t="shared" si="215"/>
        <v>2</v>
      </c>
      <c r="Q4611" t="s">
        <v>65</v>
      </c>
    </row>
    <row r="4612" spans="1:17" x14ac:dyDescent="0.3">
      <c r="A4612" t="s">
        <v>5742</v>
      </c>
      <c r="B4612" s="6">
        <v>45008</v>
      </c>
      <c r="C4612" s="6" t="str">
        <f t="shared" si="216"/>
        <v>Mar</v>
      </c>
      <c r="D4612" t="s">
        <v>1060</v>
      </c>
      <c r="E4612" t="s">
        <v>31</v>
      </c>
      <c r="F4612" t="s">
        <v>81</v>
      </c>
      <c r="G4612">
        <v>8</v>
      </c>
      <c r="H4612" s="7">
        <v>413.22</v>
      </c>
      <c r="I4612" t="s">
        <v>103</v>
      </c>
      <c r="J4612" t="s">
        <v>72</v>
      </c>
      <c r="K4612">
        <v>20</v>
      </c>
      <c r="L4612" s="7">
        <f t="shared" si="217"/>
        <v>3305.76</v>
      </c>
      <c r="M4612" s="7"/>
      <c r="O4612">
        <f t="shared" ref="O4612:O4675" si="218">IF(L4612&gt;3500,5,IF(L4612&gt;3000,4,IF(L4612&gt;2500,3,IF(L4612&gt;2000,2,IF(L4612&gt;1000,2,2)))))</f>
        <v>4</v>
      </c>
      <c r="Q4612" t="s">
        <v>104</v>
      </c>
    </row>
    <row r="4613" spans="1:17" x14ac:dyDescent="0.3">
      <c r="A4613" t="s">
        <v>5743</v>
      </c>
      <c r="B4613" s="6">
        <v>45183</v>
      </c>
      <c r="C4613" s="6" t="str">
        <f t="shared" si="216"/>
        <v>Sep</v>
      </c>
      <c r="D4613" t="s">
        <v>506</v>
      </c>
      <c r="E4613" t="s">
        <v>19</v>
      </c>
      <c r="F4613" t="s">
        <v>37</v>
      </c>
      <c r="G4613">
        <v>9</v>
      </c>
      <c r="H4613" s="7">
        <v>141.68</v>
      </c>
      <c r="I4613" t="s">
        <v>64</v>
      </c>
      <c r="J4613" t="s">
        <v>87</v>
      </c>
      <c r="K4613">
        <v>20</v>
      </c>
      <c r="L4613" s="7">
        <f t="shared" si="217"/>
        <v>1275.1200000000001</v>
      </c>
      <c r="M4613" s="7"/>
      <c r="O4613">
        <f t="shared" si="218"/>
        <v>2</v>
      </c>
      <c r="Q4613" t="s">
        <v>65</v>
      </c>
    </row>
    <row r="4614" spans="1:17" x14ac:dyDescent="0.3">
      <c r="A4614" t="s">
        <v>5744</v>
      </c>
      <c r="B4614" s="6">
        <v>45107</v>
      </c>
      <c r="C4614" s="6" t="str">
        <f t="shared" si="216"/>
        <v>Jun</v>
      </c>
      <c r="D4614" t="s">
        <v>1203</v>
      </c>
      <c r="E4614" t="s">
        <v>26</v>
      </c>
      <c r="F4614" t="s">
        <v>696</v>
      </c>
      <c r="G4614">
        <v>9</v>
      </c>
      <c r="H4614" s="7">
        <v>465.53</v>
      </c>
      <c r="I4614" t="s">
        <v>46</v>
      </c>
      <c r="J4614" t="s">
        <v>72</v>
      </c>
      <c r="K4614">
        <v>0</v>
      </c>
      <c r="L4614" s="7">
        <f t="shared" si="217"/>
        <v>4189.7699999999995</v>
      </c>
      <c r="M4614" s="7"/>
      <c r="O4614">
        <f t="shared" si="218"/>
        <v>5</v>
      </c>
      <c r="Q4614" t="s">
        <v>47</v>
      </c>
    </row>
    <row r="4615" spans="1:17" x14ac:dyDescent="0.3">
      <c r="A4615" t="s">
        <v>5745</v>
      </c>
      <c r="B4615" s="6">
        <v>45031</v>
      </c>
      <c r="C4615" s="6" t="str">
        <f t="shared" si="216"/>
        <v>Apr</v>
      </c>
      <c r="D4615" t="s">
        <v>2020</v>
      </c>
      <c r="E4615" t="s">
        <v>36</v>
      </c>
      <c r="F4615" t="s">
        <v>1325</v>
      </c>
      <c r="G4615">
        <v>9</v>
      </c>
      <c r="H4615" s="7">
        <v>185.5</v>
      </c>
      <c r="I4615" t="s">
        <v>32</v>
      </c>
      <c r="J4615" t="s">
        <v>22</v>
      </c>
      <c r="K4615">
        <v>10</v>
      </c>
      <c r="L4615" s="7">
        <f t="shared" si="217"/>
        <v>1669.5</v>
      </c>
      <c r="M4615" s="7"/>
      <c r="O4615">
        <f t="shared" si="218"/>
        <v>2</v>
      </c>
      <c r="Q4615" t="s">
        <v>33</v>
      </c>
    </row>
    <row r="4616" spans="1:17" x14ac:dyDescent="0.3">
      <c r="A4616" t="s">
        <v>5746</v>
      </c>
      <c r="B4616" s="6">
        <v>45209</v>
      </c>
      <c r="C4616" s="6" t="str">
        <f t="shared" si="216"/>
        <v>Oct</v>
      </c>
      <c r="D4616" t="s">
        <v>494</v>
      </c>
      <c r="E4616" t="s">
        <v>50</v>
      </c>
      <c r="F4616" t="s">
        <v>1851</v>
      </c>
      <c r="G4616">
        <v>2</v>
      </c>
      <c r="H4616" s="7">
        <v>429.54</v>
      </c>
      <c r="I4616" t="s">
        <v>21</v>
      </c>
      <c r="J4616" t="s">
        <v>28</v>
      </c>
      <c r="K4616">
        <v>10</v>
      </c>
      <c r="L4616" s="7">
        <f t="shared" si="217"/>
        <v>859.08</v>
      </c>
      <c r="M4616" s="7"/>
      <c r="O4616">
        <f t="shared" si="218"/>
        <v>2</v>
      </c>
      <c r="Q4616" t="s">
        <v>23</v>
      </c>
    </row>
    <row r="4617" spans="1:17" x14ac:dyDescent="0.3">
      <c r="A4617" t="s">
        <v>5747</v>
      </c>
      <c r="B4617" s="6">
        <v>45261</v>
      </c>
      <c r="C4617" s="6" t="str">
        <f t="shared" si="216"/>
        <v>Dec</v>
      </c>
      <c r="D4617" t="s">
        <v>136</v>
      </c>
      <c r="E4617" t="s">
        <v>50</v>
      </c>
      <c r="F4617" t="s">
        <v>224</v>
      </c>
      <c r="G4617">
        <v>4</v>
      </c>
      <c r="H4617" s="7">
        <v>136.79</v>
      </c>
      <c r="I4617" t="s">
        <v>21</v>
      </c>
      <c r="J4617" t="s">
        <v>22</v>
      </c>
      <c r="K4617">
        <v>15</v>
      </c>
      <c r="L4617" s="7">
        <f t="shared" si="217"/>
        <v>547.16</v>
      </c>
      <c r="M4617" s="7"/>
      <c r="O4617">
        <f t="shared" si="218"/>
        <v>2</v>
      </c>
      <c r="Q4617" t="s">
        <v>23</v>
      </c>
    </row>
    <row r="4618" spans="1:17" x14ac:dyDescent="0.3">
      <c r="A4618" t="s">
        <v>5748</v>
      </c>
      <c r="B4618" s="6">
        <v>45231</v>
      </c>
      <c r="C4618" s="6" t="str">
        <f t="shared" si="216"/>
        <v>Nov</v>
      </c>
      <c r="D4618" t="s">
        <v>3522</v>
      </c>
      <c r="E4618" t="s">
        <v>19</v>
      </c>
      <c r="F4618" t="s">
        <v>313</v>
      </c>
      <c r="G4618">
        <v>7</v>
      </c>
      <c r="H4618" s="7">
        <v>259.69</v>
      </c>
      <c r="I4618" t="s">
        <v>32</v>
      </c>
      <c r="J4618" t="s">
        <v>87</v>
      </c>
      <c r="K4618">
        <v>10</v>
      </c>
      <c r="L4618" s="7">
        <f t="shared" si="217"/>
        <v>1817.83</v>
      </c>
      <c r="M4618" s="7"/>
      <c r="O4618">
        <f t="shared" si="218"/>
        <v>2</v>
      </c>
      <c r="Q4618" t="s">
        <v>33</v>
      </c>
    </row>
    <row r="4619" spans="1:17" x14ac:dyDescent="0.3">
      <c r="A4619" t="s">
        <v>5749</v>
      </c>
      <c r="B4619" s="6">
        <v>45157</v>
      </c>
      <c r="C4619" s="6" t="str">
        <f t="shared" si="216"/>
        <v>Aug</v>
      </c>
      <c r="D4619" t="s">
        <v>3400</v>
      </c>
      <c r="E4619" t="s">
        <v>40</v>
      </c>
      <c r="F4619" t="s">
        <v>932</v>
      </c>
      <c r="G4619">
        <v>2</v>
      </c>
      <c r="H4619" s="7">
        <v>57.91</v>
      </c>
      <c r="I4619" t="s">
        <v>103</v>
      </c>
      <c r="J4619" t="s">
        <v>22</v>
      </c>
      <c r="K4619">
        <v>15</v>
      </c>
      <c r="L4619" s="7">
        <f t="shared" si="217"/>
        <v>115.82</v>
      </c>
      <c r="M4619" s="7"/>
      <c r="O4619">
        <f t="shared" si="218"/>
        <v>2</v>
      </c>
      <c r="Q4619" t="s">
        <v>104</v>
      </c>
    </row>
    <row r="4620" spans="1:17" x14ac:dyDescent="0.3">
      <c r="A4620" t="s">
        <v>5750</v>
      </c>
      <c r="B4620" s="6">
        <v>45155</v>
      </c>
      <c r="C4620" s="6" t="str">
        <f t="shared" si="216"/>
        <v>Aug</v>
      </c>
      <c r="D4620" t="s">
        <v>877</v>
      </c>
      <c r="E4620" t="s">
        <v>50</v>
      </c>
      <c r="F4620" t="s">
        <v>90</v>
      </c>
      <c r="G4620">
        <v>1</v>
      </c>
      <c r="H4620" s="7">
        <v>331.76</v>
      </c>
      <c r="I4620" t="s">
        <v>64</v>
      </c>
      <c r="J4620" t="s">
        <v>22</v>
      </c>
      <c r="K4620">
        <v>10</v>
      </c>
      <c r="L4620" s="7">
        <f t="shared" si="217"/>
        <v>331.76</v>
      </c>
      <c r="M4620" s="7"/>
      <c r="O4620">
        <f t="shared" si="218"/>
        <v>2</v>
      </c>
      <c r="Q4620" t="s">
        <v>65</v>
      </c>
    </row>
    <row r="4621" spans="1:17" x14ac:dyDescent="0.3">
      <c r="A4621" t="s">
        <v>5751</v>
      </c>
      <c r="B4621" s="6">
        <v>45204</v>
      </c>
      <c r="C4621" s="6" t="str">
        <f t="shared" si="216"/>
        <v>Oct</v>
      </c>
      <c r="D4621" t="s">
        <v>2173</v>
      </c>
      <c r="E4621" t="s">
        <v>50</v>
      </c>
      <c r="F4621" t="s">
        <v>246</v>
      </c>
      <c r="G4621">
        <v>3</v>
      </c>
      <c r="H4621" s="7">
        <v>418.86</v>
      </c>
      <c r="I4621" t="s">
        <v>32</v>
      </c>
      <c r="J4621" t="s">
        <v>72</v>
      </c>
      <c r="K4621">
        <v>5</v>
      </c>
      <c r="L4621" s="7">
        <f t="shared" si="217"/>
        <v>1256.58</v>
      </c>
      <c r="M4621" s="7"/>
      <c r="O4621">
        <f t="shared" si="218"/>
        <v>2</v>
      </c>
      <c r="Q4621" t="s">
        <v>33</v>
      </c>
    </row>
    <row r="4622" spans="1:17" x14ac:dyDescent="0.3">
      <c r="A4622" t="s">
        <v>5752</v>
      </c>
      <c r="B4622" s="6">
        <v>45111</v>
      </c>
      <c r="C4622" s="6" t="str">
        <f t="shared" si="216"/>
        <v>Jul</v>
      </c>
      <c r="D4622" t="s">
        <v>689</v>
      </c>
      <c r="E4622" t="s">
        <v>50</v>
      </c>
      <c r="F4622" t="s">
        <v>157</v>
      </c>
      <c r="G4622">
        <v>4</v>
      </c>
      <c r="H4622" s="7">
        <v>360.63</v>
      </c>
      <c r="I4622" t="s">
        <v>19</v>
      </c>
      <c r="J4622" t="s">
        <v>72</v>
      </c>
      <c r="K4622">
        <v>10</v>
      </c>
      <c r="L4622" s="7">
        <f t="shared" si="217"/>
        <v>1442.52</v>
      </c>
      <c r="M4622" s="7"/>
      <c r="O4622">
        <f t="shared" si="218"/>
        <v>2</v>
      </c>
      <c r="Q4622" t="s">
        <v>19</v>
      </c>
    </row>
    <row r="4623" spans="1:17" x14ac:dyDescent="0.3">
      <c r="A4623" t="s">
        <v>5753</v>
      </c>
      <c r="B4623" s="6">
        <v>44964</v>
      </c>
      <c r="C4623" s="6" t="str">
        <f t="shared" si="216"/>
        <v>Feb</v>
      </c>
      <c r="D4623" t="s">
        <v>1859</v>
      </c>
      <c r="E4623" t="s">
        <v>19</v>
      </c>
      <c r="F4623" t="s">
        <v>119</v>
      </c>
      <c r="G4623">
        <v>8</v>
      </c>
      <c r="H4623" s="7">
        <v>264.01</v>
      </c>
      <c r="I4623" t="s">
        <v>21</v>
      </c>
      <c r="J4623" t="s">
        <v>19</v>
      </c>
      <c r="K4623">
        <v>20</v>
      </c>
      <c r="L4623" s="7">
        <f t="shared" si="217"/>
        <v>2112.08</v>
      </c>
      <c r="M4623" s="7"/>
      <c r="O4623">
        <f t="shared" si="218"/>
        <v>2</v>
      </c>
      <c r="Q4623" t="s">
        <v>23</v>
      </c>
    </row>
    <row r="4624" spans="1:17" x14ac:dyDescent="0.3">
      <c r="A4624" t="s">
        <v>5754</v>
      </c>
      <c r="B4624" s="6">
        <v>45010</v>
      </c>
      <c r="C4624" s="6" t="str">
        <f t="shared" si="216"/>
        <v>Mar</v>
      </c>
      <c r="D4624" t="s">
        <v>1370</v>
      </c>
      <c r="E4624" t="s">
        <v>62</v>
      </c>
      <c r="F4624" t="s">
        <v>217</v>
      </c>
      <c r="G4624">
        <v>6</v>
      </c>
      <c r="H4624" s="7">
        <v>27.33</v>
      </c>
      <c r="I4624" t="s">
        <v>32</v>
      </c>
      <c r="J4624" t="s">
        <v>19</v>
      </c>
      <c r="K4624">
        <v>0</v>
      </c>
      <c r="L4624" s="7">
        <f t="shared" si="217"/>
        <v>163.98</v>
      </c>
      <c r="M4624" s="7"/>
      <c r="O4624">
        <f t="shared" si="218"/>
        <v>2</v>
      </c>
      <c r="Q4624" t="s">
        <v>33</v>
      </c>
    </row>
    <row r="4625" spans="1:17" x14ac:dyDescent="0.3">
      <c r="A4625" t="s">
        <v>5755</v>
      </c>
      <c r="B4625" s="6">
        <v>44964</v>
      </c>
      <c r="C4625" s="6" t="str">
        <f t="shared" si="216"/>
        <v>Feb</v>
      </c>
      <c r="D4625" t="s">
        <v>1073</v>
      </c>
      <c r="E4625" t="s">
        <v>26</v>
      </c>
      <c r="F4625" t="s">
        <v>684</v>
      </c>
      <c r="G4625">
        <v>2</v>
      </c>
      <c r="H4625" s="7">
        <v>467.05</v>
      </c>
      <c r="I4625" t="s">
        <v>19</v>
      </c>
      <c r="J4625" t="s">
        <v>19</v>
      </c>
      <c r="K4625">
        <v>10</v>
      </c>
      <c r="L4625" s="7">
        <f t="shared" si="217"/>
        <v>934.1</v>
      </c>
      <c r="M4625" s="7"/>
      <c r="O4625">
        <f t="shared" si="218"/>
        <v>2</v>
      </c>
      <c r="Q4625" t="s">
        <v>19</v>
      </c>
    </row>
    <row r="4626" spans="1:17" x14ac:dyDescent="0.3">
      <c r="A4626" t="s">
        <v>5756</v>
      </c>
      <c r="B4626" s="6">
        <v>45172</v>
      </c>
      <c r="C4626" s="6" t="str">
        <f t="shared" si="216"/>
        <v>Sep</v>
      </c>
      <c r="D4626" t="s">
        <v>2652</v>
      </c>
      <c r="E4626" t="s">
        <v>36</v>
      </c>
      <c r="F4626" t="s">
        <v>125</v>
      </c>
      <c r="G4626">
        <v>9</v>
      </c>
      <c r="H4626" s="7">
        <v>354.22</v>
      </c>
      <c r="I4626" t="s">
        <v>21</v>
      </c>
      <c r="J4626" t="s">
        <v>28</v>
      </c>
      <c r="K4626">
        <v>10</v>
      </c>
      <c r="L4626" s="7">
        <f t="shared" si="217"/>
        <v>3187.9800000000005</v>
      </c>
      <c r="M4626" s="7"/>
      <c r="O4626">
        <f t="shared" si="218"/>
        <v>4</v>
      </c>
      <c r="Q4626" t="s">
        <v>23</v>
      </c>
    </row>
    <row r="4627" spans="1:17" x14ac:dyDescent="0.3">
      <c r="A4627" t="s">
        <v>5757</v>
      </c>
      <c r="B4627" s="6">
        <v>45175</v>
      </c>
      <c r="C4627" s="6" t="str">
        <f t="shared" si="216"/>
        <v>Sep</v>
      </c>
      <c r="D4627" t="s">
        <v>1191</v>
      </c>
      <c r="E4627" t="s">
        <v>26</v>
      </c>
      <c r="F4627" t="s">
        <v>325</v>
      </c>
      <c r="G4627">
        <v>2</v>
      </c>
      <c r="H4627" s="7">
        <v>374.2</v>
      </c>
      <c r="I4627" t="s">
        <v>64</v>
      </c>
      <c r="J4627" t="s">
        <v>72</v>
      </c>
      <c r="K4627">
        <v>10</v>
      </c>
      <c r="L4627" s="7">
        <f t="shared" si="217"/>
        <v>748.4</v>
      </c>
      <c r="M4627" s="7"/>
      <c r="O4627">
        <f t="shared" si="218"/>
        <v>2</v>
      </c>
      <c r="Q4627" t="s">
        <v>65</v>
      </c>
    </row>
    <row r="4628" spans="1:17" x14ac:dyDescent="0.3">
      <c r="A4628" t="s">
        <v>5758</v>
      </c>
      <c r="B4628" s="6">
        <v>45211</v>
      </c>
      <c r="C4628" s="6" t="str">
        <f t="shared" si="216"/>
        <v>Oct</v>
      </c>
      <c r="D4628" t="s">
        <v>35</v>
      </c>
      <c r="E4628" t="s">
        <v>36</v>
      </c>
      <c r="F4628" t="s">
        <v>887</v>
      </c>
      <c r="G4628">
        <v>5</v>
      </c>
      <c r="H4628" s="7">
        <v>398.37</v>
      </c>
      <c r="I4628" t="s">
        <v>32</v>
      </c>
      <c r="J4628" t="s">
        <v>72</v>
      </c>
      <c r="K4628">
        <v>0</v>
      </c>
      <c r="L4628" s="7">
        <f t="shared" si="217"/>
        <v>1991.85</v>
      </c>
      <c r="M4628" s="7"/>
      <c r="O4628">
        <f t="shared" si="218"/>
        <v>2</v>
      </c>
      <c r="Q4628" t="s">
        <v>33</v>
      </c>
    </row>
    <row r="4629" spans="1:17" x14ac:dyDescent="0.3">
      <c r="A4629" t="s">
        <v>5759</v>
      </c>
      <c r="B4629" s="6">
        <v>45224</v>
      </c>
      <c r="C4629" s="6" t="str">
        <f t="shared" si="216"/>
        <v>Oct</v>
      </c>
      <c r="D4629" t="s">
        <v>39</v>
      </c>
      <c r="E4629" t="s">
        <v>19</v>
      </c>
      <c r="F4629" t="s">
        <v>445</v>
      </c>
      <c r="G4629">
        <v>4</v>
      </c>
      <c r="H4629" s="7">
        <v>375.13</v>
      </c>
      <c r="I4629" t="s">
        <v>103</v>
      </c>
      <c r="J4629" t="s">
        <v>87</v>
      </c>
      <c r="K4629">
        <v>10</v>
      </c>
      <c r="L4629" s="7">
        <f t="shared" si="217"/>
        <v>1500.52</v>
      </c>
      <c r="M4629" s="7"/>
      <c r="O4629">
        <f t="shared" si="218"/>
        <v>2</v>
      </c>
      <c r="Q4629" t="s">
        <v>104</v>
      </c>
    </row>
    <row r="4630" spans="1:17" x14ac:dyDescent="0.3">
      <c r="A4630" t="s">
        <v>5760</v>
      </c>
      <c r="B4630" s="6">
        <v>45139</v>
      </c>
      <c r="C4630" s="6" t="str">
        <f t="shared" si="216"/>
        <v>Aug</v>
      </c>
      <c r="D4630" t="s">
        <v>965</v>
      </c>
      <c r="E4630" t="s">
        <v>19</v>
      </c>
      <c r="F4630" t="s">
        <v>41</v>
      </c>
      <c r="G4630">
        <v>5</v>
      </c>
      <c r="H4630" s="7">
        <v>223.35</v>
      </c>
      <c r="I4630" t="s">
        <v>46</v>
      </c>
      <c r="J4630" t="s">
        <v>19</v>
      </c>
      <c r="K4630">
        <v>0</v>
      </c>
      <c r="L4630" s="7">
        <f t="shared" si="217"/>
        <v>1116.75</v>
      </c>
      <c r="M4630" s="7"/>
      <c r="O4630">
        <f t="shared" si="218"/>
        <v>2</v>
      </c>
      <c r="Q4630" t="s">
        <v>47</v>
      </c>
    </row>
    <row r="4631" spans="1:17" x14ac:dyDescent="0.3">
      <c r="A4631" t="s">
        <v>5761</v>
      </c>
      <c r="B4631" s="6">
        <v>45245</v>
      </c>
      <c r="C4631" s="6" t="str">
        <f t="shared" si="216"/>
        <v>Nov</v>
      </c>
      <c r="D4631" t="s">
        <v>3652</v>
      </c>
      <c r="E4631" t="s">
        <v>26</v>
      </c>
      <c r="F4631" t="s">
        <v>598</v>
      </c>
      <c r="G4631">
        <v>8</v>
      </c>
      <c r="H4631" s="7">
        <v>368.14</v>
      </c>
      <c r="I4631" t="s">
        <v>32</v>
      </c>
      <c r="J4631" t="s">
        <v>42</v>
      </c>
      <c r="K4631">
        <v>10</v>
      </c>
      <c r="L4631" s="7">
        <f t="shared" si="217"/>
        <v>2945.12</v>
      </c>
      <c r="M4631" s="7"/>
      <c r="O4631">
        <f t="shared" si="218"/>
        <v>3</v>
      </c>
      <c r="Q4631" t="s">
        <v>33</v>
      </c>
    </row>
    <row r="4632" spans="1:17" x14ac:dyDescent="0.3">
      <c r="A4632" t="s">
        <v>5762</v>
      </c>
      <c r="B4632" s="6">
        <v>45148</v>
      </c>
      <c r="C4632" s="6" t="str">
        <f t="shared" si="216"/>
        <v>Aug</v>
      </c>
      <c r="D4632" t="s">
        <v>1850</v>
      </c>
      <c r="E4632" t="s">
        <v>40</v>
      </c>
      <c r="F4632" t="s">
        <v>81</v>
      </c>
      <c r="G4632">
        <v>5</v>
      </c>
      <c r="H4632" s="7">
        <v>314.39</v>
      </c>
      <c r="I4632" t="s">
        <v>19</v>
      </c>
      <c r="J4632" t="s">
        <v>87</v>
      </c>
      <c r="K4632">
        <v>20</v>
      </c>
      <c r="L4632" s="7">
        <f t="shared" si="217"/>
        <v>1571.9499999999998</v>
      </c>
      <c r="M4632" s="7"/>
      <c r="O4632">
        <f t="shared" si="218"/>
        <v>2</v>
      </c>
      <c r="Q4632" t="s">
        <v>19</v>
      </c>
    </row>
    <row r="4633" spans="1:17" x14ac:dyDescent="0.3">
      <c r="A4633" t="s">
        <v>5763</v>
      </c>
      <c r="B4633" s="6">
        <v>44930</v>
      </c>
      <c r="C4633" s="6" t="str">
        <f t="shared" si="216"/>
        <v>Jan</v>
      </c>
      <c r="D4633" t="s">
        <v>1525</v>
      </c>
      <c r="E4633" t="s">
        <v>31</v>
      </c>
      <c r="F4633" t="s">
        <v>145</v>
      </c>
      <c r="G4633">
        <v>5</v>
      </c>
      <c r="H4633" s="7">
        <v>427.74</v>
      </c>
      <c r="I4633" t="s">
        <v>64</v>
      </c>
      <c r="J4633" t="s">
        <v>42</v>
      </c>
      <c r="K4633">
        <v>0</v>
      </c>
      <c r="L4633" s="7">
        <f t="shared" si="217"/>
        <v>2138.6999999999998</v>
      </c>
      <c r="M4633" s="7"/>
      <c r="O4633">
        <f t="shared" si="218"/>
        <v>2</v>
      </c>
      <c r="Q4633" t="s">
        <v>65</v>
      </c>
    </row>
    <row r="4634" spans="1:17" x14ac:dyDescent="0.3">
      <c r="A4634" t="s">
        <v>5764</v>
      </c>
      <c r="B4634" s="6">
        <v>45141</v>
      </c>
      <c r="C4634" s="6" t="str">
        <f t="shared" si="216"/>
        <v>Aug</v>
      </c>
      <c r="D4634" t="s">
        <v>277</v>
      </c>
      <c r="E4634" t="s">
        <v>19</v>
      </c>
      <c r="F4634" t="s">
        <v>281</v>
      </c>
      <c r="G4634">
        <v>2</v>
      </c>
      <c r="H4634" s="7">
        <v>402.22</v>
      </c>
      <c r="I4634" t="s">
        <v>103</v>
      </c>
      <c r="J4634" t="s">
        <v>19</v>
      </c>
      <c r="K4634">
        <v>10</v>
      </c>
      <c r="L4634" s="7">
        <f t="shared" si="217"/>
        <v>804.44</v>
      </c>
      <c r="M4634" s="7"/>
      <c r="O4634">
        <f t="shared" si="218"/>
        <v>2</v>
      </c>
      <c r="Q4634" t="s">
        <v>104</v>
      </c>
    </row>
    <row r="4635" spans="1:17" x14ac:dyDescent="0.3">
      <c r="A4635" t="s">
        <v>5765</v>
      </c>
      <c r="B4635" s="6">
        <v>45266</v>
      </c>
      <c r="C4635" s="6" t="str">
        <f t="shared" si="216"/>
        <v>Dec</v>
      </c>
      <c r="D4635" t="s">
        <v>2085</v>
      </c>
      <c r="E4635" t="s">
        <v>50</v>
      </c>
      <c r="F4635" t="s">
        <v>102</v>
      </c>
      <c r="G4635">
        <v>8</v>
      </c>
      <c r="H4635" s="7">
        <v>25.48</v>
      </c>
      <c r="I4635" t="s">
        <v>46</v>
      </c>
      <c r="J4635" t="s">
        <v>28</v>
      </c>
      <c r="K4635">
        <v>20</v>
      </c>
      <c r="L4635" s="7">
        <f t="shared" si="217"/>
        <v>203.84</v>
      </c>
      <c r="M4635" s="7"/>
      <c r="O4635">
        <f t="shared" si="218"/>
        <v>2</v>
      </c>
      <c r="Q4635" t="s">
        <v>47</v>
      </c>
    </row>
    <row r="4636" spans="1:17" x14ac:dyDescent="0.3">
      <c r="A4636" t="s">
        <v>5766</v>
      </c>
      <c r="B4636" s="6">
        <v>45274</v>
      </c>
      <c r="C4636" s="6" t="str">
        <f t="shared" si="216"/>
        <v>Dec</v>
      </c>
      <c r="D4636" t="s">
        <v>1828</v>
      </c>
      <c r="E4636" t="s">
        <v>26</v>
      </c>
      <c r="F4636" t="s">
        <v>292</v>
      </c>
      <c r="G4636">
        <v>2</v>
      </c>
      <c r="H4636" s="7">
        <v>192.55</v>
      </c>
      <c r="I4636" t="s">
        <v>19</v>
      </c>
      <c r="J4636" t="s">
        <v>19</v>
      </c>
      <c r="K4636">
        <v>20</v>
      </c>
      <c r="L4636" s="7">
        <f t="shared" si="217"/>
        <v>385.1</v>
      </c>
      <c r="M4636" s="7"/>
      <c r="O4636">
        <f t="shared" si="218"/>
        <v>2</v>
      </c>
      <c r="Q4636" t="s">
        <v>19</v>
      </c>
    </row>
    <row r="4637" spans="1:17" x14ac:dyDescent="0.3">
      <c r="A4637" t="s">
        <v>5767</v>
      </c>
      <c r="B4637" s="6">
        <v>45224</v>
      </c>
      <c r="C4637" s="6" t="str">
        <f t="shared" si="216"/>
        <v>Oct</v>
      </c>
      <c r="D4637" t="s">
        <v>1393</v>
      </c>
      <c r="E4637" t="s">
        <v>62</v>
      </c>
      <c r="F4637" t="s">
        <v>1038</v>
      </c>
      <c r="G4637">
        <v>6</v>
      </c>
      <c r="H4637" s="7">
        <v>22.18</v>
      </c>
      <c r="I4637" t="s">
        <v>103</v>
      </c>
      <c r="J4637" t="s">
        <v>42</v>
      </c>
      <c r="K4637">
        <v>10</v>
      </c>
      <c r="L4637" s="7">
        <f t="shared" si="217"/>
        <v>133.07999999999998</v>
      </c>
      <c r="M4637" s="7"/>
      <c r="O4637">
        <f t="shared" si="218"/>
        <v>2</v>
      </c>
      <c r="Q4637" t="s">
        <v>104</v>
      </c>
    </row>
    <row r="4638" spans="1:17" x14ac:dyDescent="0.3">
      <c r="A4638" t="s">
        <v>5768</v>
      </c>
      <c r="B4638" s="6">
        <v>44997</v>
      </c>
      <c r="C4638" s="6" t="str">
        <f t="shared" si="216"/>
        <v>Mar</v>
      </c>
      <c r="D4638" t="s">
        <v>1290</v>
      </c>
      <c r="E4638" t="s">
        <v>36</v>
      </c>
      <c r="F4638" t="s">
        <v>328</v>
      </c>
      <c r="G4638">
        <v>8</v>
      </c>
      <c r="H4638" s="7">
        <v>55.53</v>
      </c>
      <c r="I4638" t="s">
        <v>64</v>
      </c>
      <c r="J4638" t="s">
        <v>28</v>
      </c>
      <c r="K4638">
        <v>10</v>
      </c>
      <c r="L4638" s="7">
        <f t="shared" si="217"/>
        <v>444.24</v>
      </c>
      <c r="M4638" s="7"/>
      <c r="O4638">
        <f t="shared" si="218"/>
        <v>2</v>
      </c>
      <c r="Q4638" t="s">
        <v>65</v>
      </c>
    </row>
    <row r="4639" spans="1:17" x14ac:dyDescent="0.3">
      <c r="A4639" t="s">
        <v>5769</v>
      </c>
      <c r="B4639" s="6">
        <v>44968</v>
      </c>
      <c r="C4639" s="6" t="str">
        <f t="shared" si="216"/>
        <v>Feb</v>
      </c>
      <c r="D4639" t="s">
        <v>1144</v>
      </c>
      <c r="E4639" t="s">
        <v>50</v>
      </c>
      <c r="F4639" t="s">
        <v>224</v>
      </c>
      <c r="G4639">
        <v>6</v>
      </c>
      <c r="H4639" s="7">
        <v>302.7</v>
      </c>
      <c r="I4639" t="s">
        <v>19</v>
      </c>
      <c r="J4639" t="s">
        <v>87</v>
      </c>
      <c r="K4639">
        <v>5</v>
      </c>
      <c r="L4639" s="7">
        <f t="shared" si="217"/>
        <v>1816.1999999999998</v>
      </c>
      <c r="M4639" s="7"/>
      <c r="O4639">
        <f t="shared" si="218"/>
        <v>2</v>
      </c>
      <c r="Q4639" t="s">
        <v>19</v>
      </c>
    </row>
    <row r="4640" spans="1:17" x14ac:dyDescent="0.3">
      <c r="A4640" t="s">
        <v>5770</v>
      </c>
      <c r="B4640" s="6">
        <v>45101</v>
      </c>
      <c r="C4640" s="6" t="str">
        <f t="shared" si="216"/>
        <v>Jun</v>
      </c>
      <c r="D4640" t="s">
        <v>1635</v>
      </c>
      <c r="E4640" t="s">
        <v>31</v>
      </c>
      <c r="F4640" t="s">
        <v>71</v>
      </c>
      <c r="G4640">
        <v>4</v>
      </c>
      <c r="H4640" s="7">
        <v>437.54</v>
      </c>
      <c r="I4640" t="s">
        <v>64</v>
      </c>
      <c r="J4640" t="s">
        <v>42</v>
      </c>
      <c r="K4640">
        <v>20</v>
      </c>
      <c r="L4640" s="7">
        <f t="shared" si="217"/>
        <v>1750.16</v>
      </c>
      <c r="M4640" s="7"/>
      <c r="O4640">
        <f t="shared" si="218"/>
        <v>2</v>
      </c>
      <c r="Q4640" t="s">
        <v>65</v>
      </c>
    </row>
    <row r="4641" spans="1:17" x14ac:dyDescent="0.3">
      <c r="A4641" t="s">
        <v>5771</v>
      </c>
      <c r="B4641" s="6">
        <v>45110</v>
      </c>
      <c r="C4641" s="6" t="str">
        <f t="shared" si="216"/>
        <v>Jul</v>
      </c>
      <c r="D4641" t="s">
        <v>960</v>
      </c>
      <c r="E4641" t="s">
        <v>36</v>
      </c>
      <c r="F4641" t="s">
        <v>222</v>
      </c>
      <c r="G4641">
        <v>4</v>
      </c>
      <c r="H4641" s="7">
        <v>64.31</v>
      </c>
      <c r="I4641" t="s">
        <v>103</v>
      </c>
      <c r="J4641" t="s">
        <v>42</v>
      </c>
      <c r="K4641">
        <v>10</v>
      </c>
      <c r="L4641" s="7">
        <f t="shared" si="217"/>
        <v>257.24</v>
      </c>
      <c r="M4641" s="7"/>
      <c r="O4641">
        <f t="shared" si="218"/>
        <v>2</v>
      </c>
      <c r="Q4641" t="s">
        <v>104</v>
      </c>
    </row>
    <row r="4642" spans="1:17" x14ac:dyDescent="0.3">
      <c r="A4642" t="s">
        <v>5772</v>
      </c>
      <c r="B4642" s="6">
        <v>45204</v>
      </c>
      <c r="C4642" s="6" t="str">
        <f t="shared" si="216"/>
        <v>Oct</v>
      </c>
      <c r="D4642" t="s">
        <v>3940</v>
      </c>
      <c r="E4642" t="s">
        <v>50</v>
      </c>
      <c r="F4642" t="s">
        <v>237</v>
      </c>
      <c r="G4642">
        <v>6</v>
      </c>
      <c r="H4642" s="7">
        <v>228.29</v>
      </c>
      <c r="I4642" t="s">
        <v>32</v>
      </c>
      <c r="J4642" t="s">
        <v>22</v>
      </c>
      <c r="K4642">
        <v>20</v>
      </c>
      <c r="L4642" s="7">
        <f t="shared" si="217"/>
        <v>1369.74</v>
      </c>
      <c r="M4642" s="7"/>
      <c r="O4642">
        <f t="shared" si="218"/>
        <v>2</v>
      </c>
      <c r="Q4642" t="s">
        <v>33</v>
      </c>
    </row>
    <row r="4643" spans="1:17" x14ac:dyDescent="0.3">
      <c r="A4643" t="s">
        <v>5773</v>
      </c>
      <c r="B4643" s="6">
        <v>45197</v>
      </c>
      <c r="C4643" s="6" t="str">
        <f t="shared" si="216"/>
        <v>Sep</v>
      </c>
      <c r="D4643" t="s">
        <v>106</v>
      </c>
      <c r="E4643" t="s">
        <v>40</v>
      </c>
      <c r="F4643" t="s">
        <v>251</v>
      </c>
      <c r="G4643">
        <v>4</v>
      </c>
      <c r="H4643" s="7">
        <v>455.89</v>
      </c>
      <c r="I4643" t="s">
        <v>19</v>
      </c>
      <c r="J4643" t="s">
        <v>42</v>
      </c>
      <c r="K4643">
        <v>0</v>
      </c>
      <c r="L4643" s="7">
        <f t="shared" si="217"/>
        <v>1823.56</v>
      </c>
      <c r="M4643" s="7"/>
      <c r="O4643">
        <f t="shared" si="218"/>
        <v>2</v>
      </c>
      <c r="Q4643" t="s">
        <v>19</v>
      </c>
    </row>
    <row r="4644" spans="1:17" x14ac:dyDescent="0.3">
      <c r="A4644" t="s">
        <v>5774</v>
      </c>
      <c r="B4644" s="6">
        <v>45190</v>
      </c>
      <c r="C4644" s="6" t="str">
        <f t="shared" si="216"/>
        <v>Sep</v>
      </c>
      <c r="D4644" t="s">
        <v>1751</v>
      </c>
      <c r="E4644" t="s">
        <v>19</v>
      </c>
      <c r="F4644" t="s">
        <v>403</v>
      </c>
      <c r="G4644">
        <v>8</v>
      </c>
      <c r="H4644" s="7">
        <v>408.08</v>
      </c>
      <c r="I4644" t="s">
        <v>21</v>
      </c>
      <c r="J4644" t="s">
        <v>42</v>
      </c>
      <c r="K4644">
        <v>15</v>
      </c>
      <c r="L4644" s="7">
        <f t="shared" si="217"/>
        <v>3264.64</v>
      </c>
      <c r="M4644" s="7"/>
      <c r="O4644">
        <f t="shared" si="218"/>
        <v>4</v>
      </c>
      <c r="Q4644" t="s">
        <v>23</v>
      </c>
    </row>
    <row r="4645" spans="1:17" x14ac:dyDescent="0.3">
      <c r="A4645" t="s">
        <v>5775</v>
      </c>
      <c r="B4645" s="6">
        <v>45196</v>
      </c>
      <c r="C4645" s="6" t="str">
        <f t="shared" si="216"/>
        <v>Sep</v>
      </c>
      <c r="D4645" t="s">
        <v>1418</v>
      </c>
      <c r="E4645" t="s">
        <v>31</v>
      </c>
      <c r="F4645" t="s">
        <v>417</v>
      </c>
      <c r="G4645">
        <v>9</v>
      </c>
      <c r="H4645" s="7">
        <v>262.24</v>
      </c>
      <c r="I4645" t="s">
        <v>19</v>
      </c>
      <c r="J4645" t="s">
        <v>28</v>
      </c>
      <c r="K4645">
        <v>15</v>
      </c>
      <c r="L4645" s="7">
        <f t="shared" si="217"/>
        <v>2360.16</v>
      </c>
      <c r="M4645" s="7"/>
      <c r="O4645">
        <f t="shared" si="218"/>
        <v>2</v>
      </c>
      <c r="Q4645" t="s">
        <v>19</v>
      </c>
    </row>
    <row r="4646" spans="1:17" x14ac:dyDescent="0.3">
      <c r="A4646" t="s">
        <v>5776</v>
      </c>
      <c r="B4646" s="6">
        <v>45211</v>
      </c>
      <c r="C4646" s="6" t="str">
        <f t="shared" si="216"/>
        <v>Oct</v>
      </c>
      <c r="D4646" t="s">
        <v>2119</v>
      </c>
      <c r="E4646" t="s">
        <v>19</v>
      </c>
      <c r="F4646" t="s">
        <v>176</v>
      </c>
      <c r="G4646">
        <v>1</v>
      </c>
      <c r="H4646" s="7">
        <v>386.93</v>
      </c>
      <c r="I4646" t="s">
        <v>21</v>
      </c>
      <c r="J4646" t="s">
        <v>72</v>
      </c>
      <c r="K4646">
        <v>10</v>
      </c>
      <c r="L4646" s="7">
        <f t="shared" si="217"/>
        <v>386.93</v>
      </c>
      <c r="M4646" s="7"/>
      <c r="O4646">
        <f t="shared" si="218"/>
        <v>2</v>
      </c>
      <c r="Q4646" t="s">
        <v>23</v>
      </c>
    </row>
    <row r="4647" spans="1:17" x14ac:dyDescent="0.3">
      <c r="A4647" t="s">
        <v>5777</v>
      </c>
      <c r="B4647" s="6">
        <v>44998</v>
      </c>
      <c r="C4647" s="6" t="str">
        <f t="shared" si="216"/>
        <v>Mar</v>
      </c>
      <c r="D4647" t="s">
        <v>917</v>
      </c>
      <c r="E4647" t="s">
        <v>26</v>
      </c>
      <c r="F4647" t="s">
        <v>1063</v>
      </c>
      <c r="G4647">
        <v>4</v>
      </c>
      <c r="H4647" s="7">
        <v>263.73</v>
      </c>
      <c r="I4647" t="s">
        <v>32</v>
      </c>
      <c r="J4647" t="s">
        <v>22</v>
      </c>
      <c r="K4647">
        <v>10</v>
      </c>
      <c r="L4647" s="7">
        <f t="shared" si="217"/>
        <v>1054.92</v>
      </c>
      <c r="M4647" s="7"/>
      <c r="O4647">
        <f t="shared" si="218"/>
        <v>2</v>
      </c>
      <c r="Q4647" t="s">
        <v>33</v>
      </c>
    </row>
    <row r="4648" spans="1:17" x14ac:dyDescent="0.3">
      <c r="A4648" t="s">
        <v>5778</v>
      </c>
      <c r="B4648" s="6">
        <v>44964</v>
      </c>
      <c r="C4648" s="6" t="str">
        <f t="shared" si="216"/>
        <v>Feb</v>
      </c>
      <c r="D4648" t="s">
        <v>2521</v>
      </c>
      <c r="E4648" t="s">
        <v>36</v>
      </c>
      <c r="F4648" t="s">
        <v>708</v>
      </c>
      <c r="G4648">
        <v>4</v>
      </c>
      <c r="H4648" s="7">
        <v>252.16</v>
      </c>
      <c r="I4648" t="s">
        <v>64</v>
      </c>
      <c r="J4648" t="s">
        <v>19</v>
      </c>
      <c r="K4648">
        <v>10</v>
      </c>
      <c r="L4648" s="7">
        <f t="shared" si="217"/>
        <v>1008.64</v>
      </c>
      <c r="M4648" s="7"/>
      <c r="O4648">
        <f t="shared" si="218"/>
        <v>2</v>
      </c>
      <c r="Q4648" t="s">
        <v>65</v>
      </c>
    </row>
    <row r="4649" spans="1:17" x14ac:dyDescent="0.3">
      <c r="A4649" t="s">
        <v>5779</v>
      </c>
      <c r="B4649" s="6">
        <v>45241</v>
      </c>
      <c r="C4649" s="6" t="str">
        <f t="shared" si="216"/>
        <v>Nov</v>
      </c>
      <c r="D4649" t="s">
        <v>607</v>
      </c>
      <c r="E4649" t="s">
        <v>62</v>
      </c>
      <c r="F4649" t="s">
        <v>1180</v>
      </c>
      <c r="G4649">
        <v>2</v>
      </c>
      <c r="H4649" s="7">
        <v>66.739999999999995</v>
      </c>
      <c r="I4649" t="s">
        <v>19</v>
      </c>
      <c r="J4649" t="s">
        <v>87</v>
      </c>
      <c r="K4649">
        <v>20</v>
      </c>
      <c r="L4649" s="7">
        <f t="shared" si="217"/>
        <v>133.47999999999999</v>
      </c>
      <c r="M4649" s="7"/>
      <c r="O4649">
        <f t="shared" si="218"/>
        <v>2</v>
      </c>
      <c r="Q4649" t="s">
        <v>19</v>
      </c>
    </row>
    <row r="4650" spans="1:17" x14ac:dyDescent="0.3">
      <c r="A4650" t="s">
        <v>5780</v>
      </c>
      <c r="B4650" s="6">
        <v>45024</v>
      </c>
      <c r="C4650" s="6" t="str">
        <f t="shared" si="216"/>
        <v>Apr</v>
      </c>
      <c r="D4650" t="s">
        <v>1586</v>
      </c>
      <c r="E4650" t="s">
        <v>31</v>
      </c>
      <c r="F4650" t="s">
        <v>75</v>
      </c>
      <c r="G4650">
        <v>6</v>
      </c>
      <c r="H4650" s="7">
        <v>98.24</v>
      </c>
      <c r="I4650" t="s">
        <v>32</v>
      </c>
      <c r="J4650" t="s">
        <v>22</v>
      </c>
      <c r="K4650">
        <v>10</v>
      </c>
      <c r="L4650" s="7">
        <f t="shared" si="217"/>
        <v>589.43999999999994</v>
      </c>
      <c r="M4650" s="7"/>
      <c r="O4650">
        <f t="shared" si="218"/>
        <v>2</v>
      </c>
      <c r="Q4650" t="s">
        <v>33</v>
      </c>
    </row>
    <row r="4651" spans="1:17" x14ac:dyDescent="0.3">
      <c r="A4651" t="s">
        <v>5781</v>
      </c>
      <c r="B4651" s="6">
        <v>45262</v>
      </c>
      <c r="C4651" s="6" t="str">
        <f t="shared" si="216"/>
        <v>Dec</v>
      </c>
      <c r="D4651" t="s">
        <v>377</v>
      </c>
      <c r="E4651" t="s">
        <v>26</v>
      </c>
      <c r="F4651" t="s">
        <v>450</v>
      </c>
      <c r="G4651">
        <v>3</v>
      </c>
      <c r="H4651" s="7">
        <v>178.71</v>
      </c>
      <c r="I4651" t="s">
        <v>21</v>
      </c>
      <c r="J4651" t="s">
        <v>22</v>
      </c>
      <c r="K4651">
        <v>10</v>
      </c>
      <c r="L4651" s="7">
        <f t="shared" si="217"/>
        <v>536.13</v>
      </c>
      <c r="M4651" s="7"/>
      <c r="O4651">
        <f t="shared" si="218"/>
        <v>2</v>
      </c>
      <c r="Q4651" t="s">
        <v>23</v>
      </c>
    </row>
    <row r="4652" spans="1:17" x14ac:dyDescent="0.3">
      <c r="A4652" t="s">
        <v>5782</v>
      </c>
      <c r="B4652" s="6">
        <v>45249</v>
      </c>
      <c r="C4652" s="6" t="str">
        <f t="shared" si="216"/>
        <v>Nov</v>
      </c>
      <c r="D4652" t="s">
        <v>1786</v>
      </c>
      <c r="E4652" t="s">
        <v>62</v>
      </c>
      <c r="F4652" t="s">
        <v>90</v>
      </c>
      <c r="G4652">
        <v>7</v>
      </c>
      <c r="H4652" s="7">
        <v>465.61</v>
      </c>
      <c r="I4652" t="s">
        <v>21</v>
      </c>
      <c r="J4652" t="s">
        <v>72</v>
      </c>
      <c r="K4652">
        <v>20</v>
      </c>
      <c r="L4652" s="7">
        <f t="shared" si="217"/>
        <v>3259.27</v>
      </c>
      <c r="M4652" s="7"/>
      <c r="O4652">
        <f t="shared" si="218"/>
        <v>4</v>
      </c>
      <c r="Q4652" t="s">
        <v>23</v>
      </c>
    </row>
    <row r="4653" spans="1:17" x14ac:dyDescent="0.3">
      <c r="A4653" t="s">
        <v>5783</v>
      </c>
      <c r="B4653" s="6">
        <v>45091</v>
      </c>
      <c r="C4653" s="6" t="str">
        <f t="shared" si="216"/>
        <v>Jun</v>
      </c>
      <c r="D4653" t="s">
        <v>1687</v>
      </c>
      <c r="E4653" t="s">
        <v>62</v>
      </c>
      <c r="F4653" t="s">
        <v>412</v>
      </c>
      <c r="G4653">
        <v>5</v>
      </c>
      <c r="H4653" s="7">
        <v>400.84</v>
      </c>
      <c r="I4653" t="s">
        <v>19</v>
      </c>
      <c r="J4653" t="s">
        <v>28</v>
      </c>
      <c r="K4653">
        <v>10</v>
      </c>
      <c r="L4653" s="7">
        <f t="shared" si="217"/>
        <v>2004.1999999999998</v>
      </c>
      <c r="M4653" s="7"/>
      <c r="O4653">
        <f t="shared" si="218"/>
        <v>2</v>
      </c>
      <c r="Q4653" t="s">
        <v>19</v>
      </c>
    </row>
    <row r="4654" spans="1:17" x14ac:dyDescent="0.3">
      <c r="A4654" t="s">
        <v>5784</v>
      </c>
      <c r="B4654" s="6">
        <v>44977</v>
      </c>
      <c r="C4654" s="6" t="str">
        <f t="shared" si="216"/>
        <v>Feb</v>
      </c>
      <c r="D4654" t="s">
        <v>1975</v>
      </c>
      <c r="E4654" t="s">
        <v>40</v>
      </c>
      <c r="F4654" t="s">
        <v>389</v>
      </c>
      <c r="G4654">
        <v>4</v>
      </c>
      <c r="H4654" s="7">
        <v>219.24</v>
      </c>
      <c r="I4654" t="s">
        <v>21</v>
      </c>
      <c r="J4654" t="s">
        <v>87</v>
      </c>
      <c r="K4654">
        <v>20</v>
      </c>
      <c r="L4654" s="7">
        <f t="shared" si="217"/>
        <v>876.96</v>
      </c>
      <c r="M4654" s="7"/>
      <c r="O4654">
        <f t="shared" si="218"/>
        <v>2</v>
      </c>
      <c r="Q4654" t="s">
        <v>23</v>
      </c>
    </row>
    <row r="4655" spans="1:17" x14ac:dyDescent="0.3">
      <c r="A4655" t="s">
        <v>5785</v>
      </c>
      <c r="B4655" s="6">
        <v>45070</v>
      </c>
      <c r="C4655" s="6" t="str">
        <f t="shared" si="216"/>
        <v>May</v>
      </c>
      <c r="D4655" t="s">
        <v>3567</v>
      </c>
      <c r="E4655" t="s">
        <v>31</v>
      </c>
      <c r="F4655" t="s">
        <v>420</v>
      </c>
      <c r="G4655">
        <v>5</v>
      </c>
      <c r="H4655" s="7">
        <v>249.07</v>
      </c>
      <c r="I4655" t="s">
        <v>64</v>
      </c>
      <c r="J4655" t="s">
        <v>28</v>
      </c>
      <c r="K4655">
        <v>10</v>
      </c>
      <c r="L4655" s="7">
        <f t="shared" si="217"/>
        <v>1245.3499999999999</v>
      </c>
      <c r="M4655" s="7"/>
      <c r="O4655">
        <f t="shared" si="218"/>
        <v>2</v>
      </c>
      <c r="Q4655" t="s">
        <v>65</v>
      </c>
    </row>
    <row r="4656" spans="1:17" x14ac:dyDescent="0.3">
      <c r="A4656" t="s">
        <v>5786</v>
      </c>
      <c r="B4656" s="6">
        <v>44996</v>
      </c>
      <c r="C4656" s="6" t="str">
        <f t="shared" si="216"/>
        <v>Mar</v>
      </c>
      <c r="D4656" t="s">
        <v>368</v>
      </c>
      <c r="E4656" t="s">
        <v>31</v>
      </c>
      <c r="F4656" t="s">
        <v>292</v>
      </c>
      <c r="G4656">
        <v>8</v>
      </c>
      <c r="H4656" s="7">
        <v>136.47999999999999</v>
      </c>
      <c r="I4656" t="s">
        <v>32</v>
      </c>
      <c r="J4656" t="s">
        <v>87</v>
      </c>
      <c r="K4656">
        <v>5</v>
      </c>
      <c r="L4656" s="7">
        <f t="shared" si="217"/>
        <v>1091.8399999999999</v>
      </c>
      <c r="M4656" s="7"/>
      <c r="O4656">
        <f t="shared" si="218"/>
        <v>2</v>
      </c>
      <c r="Q4656" t="s">
        <v>33</v>
      </c>
    </row>
    <row r="4657" spans="1:17" x14ac:dyDescent="0.3">
      <c r="A4657" t="s">
        <v>5787</v>
      </c>
      <c r="B4657" s="6">
        <v>44979</v>
      </c>
      <c r="C4657" s="6" t="str">
        <f t="shared" si="216"/>
        <v>Feb</v>
      </c>
      <c r="D4657" t="s">
        <v>2556</v>
      </c>
      <c r="E4657" t="s">
        <v>31</v>
      </c>
      <c r="F4657" t="s">
        <v>696</v>
      </c>
      <c r="G4657">
        <v>3</v>
      </c>
      <c r="H4657" s="7">
        <v>353.65</v>
      </c>
      <c r="I4657" t="s">
        <v>103</v>
      </c>
      <c r="J4657" t="s">
        <v>72</v>
      </c>
      <c r="K4657">
        <v>20</v>
      </c>
      <c r="L4657" s="7">
        <f t="shared" si="217"/>
        <v>1060.9499999999998</v>
      </c>
      <c r="M4657" s="7"/>
      <c r="O4657">
        <f t="shared" si="218"/>
        <v>2</v>
      </c>
      <c r="Q4657" t="s">
        <v>104</v>
      </c>
    </row>
    <row r="4658" spans="1:17" x14ac:dyDescent="0.3">
      <c r="A4658" t="s">
        <v>5788</v>
      </c>
      <c r="B4658" s="6">
        <v>45211</v>
      </c>
      <c r="C4658" s="6" t="str">
        <f t="shared" si="216"/>
        <v>Oct</v>
      </c>
      <c r="D4658" t="s">
        <v>525</v>
      </c>
      <c r="E4658" t="s">
        <v>26</v>
      </c>
      <c r="F4658" t="s">
        <v>113</v>
      </c>
      <c r="G4658">
        <v>7</v>
      </c>
      <c r="H4658" s="7">
        <v>402.37</v>
      </c>
      <c r="I4658" t="s">
        <v>46</v>
      </c>
      <c r="J4658" t="s">
        <v>72</v>
      </c>
      <c r="K4658">
        <v>5</v>
      </c>
      <c r="L4658" s="7">
        <f t="shared" si="217"/>
        <v>2816.59</v>
      </c>
      <c r="M4658" s="7"/>
      <c r="O4658">
        <f t="shared" si="218"/>
        <v>3</v>
      </c>
      <c r="Q4658" t="s">
        <v>47</v>
      </c>
    </row>
    <row r="4659" spans="1:17" x14ac:dyDescent="0.3">
      <c r="A4659" t="s">
        <v>5789</v>
      </c>
      <c r="B4659" s="6">
        <v>45249</v>
      </c>
      <c r="C4659" s="6" t="str">
        <f t="shared" si="216"/>
        <v>Nov</v>
      </c>
      <c r="D4659" t="s">
        <v>1152</v>
      </c>
      <c r="E4659" t="s">
        <v>19</v>
      </c>
      <c r="F4659" t="s">
        <v>549</v>
      </c>
      <c r="G4659">
        <v>6</v>
      </c>
      <c r="H4659" s="7">
        <v>123.26</v>
      </c>
      <c r="I4659" t="s">
        <v>64</v>
      </c>
      <c r="J4659" t="s">
        <v>42</v>
      </c>
      <c r="K4659">
        <v>5</v>
      </c>
      <c r="L4659" s="7">
        <f t="shared" si="217"/>
        <v>739.56000000000006</v>
      </c>
      <c r="M4659" s="7"/>
      <c r="O4659">
        <f t="shared" si="218"/>
        <v>2</v>
      </c>
      <c r="Q4659" t="s">
        <v>65</v>
      </c>
    </row>
    <row r="4660" spans="1:17" x14ac:dyDescent="0.3">
      <c r="A4660" t="s">
        <v>5790</v>
      </c>
      <c r="B4660" s="6">
        <v>45270</v>
      </c>
      <c r="C4660" s="6" t="str">
        <f t="shared" si="216"/>
        <v>Dec</v>
      </c>
      <c r="D4660" t="s">
        <v>2048</v>
      </c>
      <c r="E4660" t="s">
        <v>62</v>
      </c>
      <c r="F4660" t="s">
        <v>932</v>
      </c>
      <c r="G4660">
        <v>1</v>
      </c>
      <c r="H4660" s="7">
        <v>25.7</v>
      </c>
      <c r="I4660" t="s">
        <v>103</v>
      </c>
      <c r="J4660" t="s">
        <v>22</v>
      </c>
      <c r="K4660">
        <v>5</v>
      </c>
      <c r="L4660" s="7">
        <f t="shared" si="217"/>
        <v>25.7</v>
      </c>
      <c r="M4660" s="7"/>
      <c r="O4660">
        <f t="shared" si="218"/>
        <v>2</v>
      </c>
      <c r="Q4660" t="s">
        <v>104</v>
      </c>
    </row>
    <row r="4661" spans="1:17" x14ac:dyDescent="0.3">
      <c r="A4661" t="s">
        <v>5791</v>
      </c>
      <c r="B4661" s="6">
        <v>45157</v>
      </c>
      <c r="C4661" s="6" t="str">
        <f t="shared" si="216"/>
        <v>Aug</v>
      </c>
      <c r="D4661" t="s">
        <v>89</v>
      </c>
      <c r="E4661" t="s">
        <v>50</v>
      </c>
      <c r="F4661" t="s">
        <v>145</v>
      </c>
      <c r="G4661">
        <v>7</v>
      </c>
      <c r="H4661" s="7">
        <v>313.83</v>
      </c>
      <c r="I4661" t="s">
        <v>21</v>
      </c>
      <c r="J4661" t="s">
        <v>28</v>
      </c>
      <c r="K4661">
        <v>5</v>
      </c>
      <c r="L4661" s="7">
        <f t="shared" si="217"/>
        <v>2196.81</v>
      </c>
      <c r="M4661" s="7"/>
      <c r="O4661">
        <f t="shared" si="218"/>
        <v>2</v>
      </c>
      <c r="Q4661" t="s">
        <v>23</v>
      </c>
    </row>
    <row r="4662" spans="1:17" x14ac:dyDescent="0.3">
      <c r="A4662" t="s">
        <v>5792</v>
      </c>
      <c r="B4662" s="6">
        <v>44979</v>
      </c>
      <c r="C4662" s="6" t="str">
        <f t="shared" si="216"/>
        <v>Feb</v>
      </c>
      <c r="D4662" t="s">
        <v>1877</v>
      </c>
      <c r="E4662" t="s">
        <v>50</v>
      </c>
      <c r="F4662" t="s">
        <v>350</v>
      </c>
      <c r="G4662">
        <v>7</v>
      </c>
      <c r="H4662" s="7">
        <v>283.44</v>
      </c>
      <c r="I4662" t="s">
        <v>103</v>
      </c>
      <c r="J4662" t="s">
        <v>42</v>
      </c>
      <c r="K4662">
        <v>0</v>
      </c>
      <c r="L4662" s="7">
        <f t="shared" si="217"/>
        <v>1984.08</v>
      </c>
      <c r="M4662" s="7"/>
      <c r="O4662">
        <f t="shared" si="218"/>
        <v>2</v>
      </c>
      <c r="Q4662" t="s">
        <v>104</v>
      </c>
    </row>
    <row r="4663" spans="1:17" x14ac:dyDescent="0.3">
      <c r="A4663" t="s">
        <v>5793</v>
      </c>
      <c r="B4663" s="6">
        <v>44930</v>
      </c>
      <c r="C4663" s="6" t="str">
        <f t="shared" si="216"/>
        <v>Jan</v>
      </c>
      <c r="D4663" t="s">
        <v>336</v>
      </c>
      <c r="E4663" t="s">
        <v>40</v>
      </c>
      <c r="F4663" t="s">
        <v>403</v>
      </c>
      <c r="G4663">
        <v>1</v>
      </c>
      <c r="H4663" s="7">
        <v>204.05</v>
      </c>
      <c r="I4663" t="s">
        <v>32</v>
      </c>
      <c r="J4663" t="s">
        <v>22</v>
      </c>
      <c r="K4663">
        <v>10</v>
      </c>
      <c r="L4663" s="7">
        <f t="shared" si="217"/>
        <v>204.05</v>
      </c>
      <c r="M4663" s="7"/>
      <c r="O4663">
        <f t="shared" si="218"/>
        <v>2</v>
      </c>
      <c r="Q4663" t="s">
        <v>33</v>
      </c>
    </row>
    <row r="4664" spans="1:17" x14ac:dyDescent="0.3">
      <c r="A4664" t="s">
        <v>5794</v>
      </c>
      <c r="B4664" s="6">
        <v>45154</v>
      </c>
      <c r="C4664" s="6" t="str">
        <f t="shared" si="216"/>
        <v>Aug</v>
      </c>
      <c r="D4664" t="s">
        <v>1647</v>
      </c>
      <c r="E4664" t="s">
        <v>31</v>
      </c>
      <c r="F4664" t="s">
        <v>1063</v>
      </c>
      <c r="G4664">
        <v>9</v>
      </c>
      <c r="H4664" s="7">
        <v>323.73</v>
      </c>
      <c r="I4664" t="s">
        <v>32</v>
      </c>
      <c r="J4664" t="s">
        <v>72</v>
      </c>
      <c r="K4664">
        <v>15</v>
      </c>
      <c r="L4664" s="7">
        <f t="shared" si="217"/>
        <v>2913.57</v>
      </c>
      <c r="M4664" s="7"/>
      <c r="O4664">
        <f t="shared" si="218"/>
        <v>3</v>
      </c>
      <c r="Q4664" t="s">
        <v>33</v>
      </c>
    </row>
    <row r="4665" spans="1:17" x14ac:dyDescent="0.3">
      <c r="A4665" t="s">
        <v>5795</v>
      </c>
      <c r="B4665" s="6">
        <v>45267</v>
      </c>
      <c r="C4665" s="6" t="str">
        <f t="shared" si="216"/>
        <v>Dec</v>
      </c>
      <c r="D4665" t="s">
        <v>1533</v>
      </c>
      <c r="E4665" t="s">
        <v>19</v>
      </c>
      <c r="F4665" t="s">
        <v>900</v>
      </c>
      <c r="G4665">
        <v>6</v>
      </c>
      <c r="H4665" s="7">
        <v>277.55</v>
      </c>
      <c r="I4665" t="s">
        <v>19</v>
      </c>
      <c r="J4665" t="s">
        <v>87</v>
      </c>
      <c r="K4665">
        <v>0</v>
      </c>
      <c r="L4665" s="7">
        <f t="shared" si="217"/>
        <v>1665.3000000000002</v>
      </c>
      <c r="M4665" s="7"/>
      <c r="O4665">
        <f t="shared" si="218"/>
        <v>2</v>
      </c>
      <c r="Q4665" t="s">
        <v>19</v>
      </c>
    </row>
    <row r="4666" spans="1:17" x14ac:dyDescent="0.3">
      <c r="A4666" t="s">
        <v>5796</v>
      </c>
      <c r="B4666" s="6">
        <v>45017</v>
      </c>
      <c r="C4666" s="6" t="str">
        <f t="shared" si="216"/>
        <v>Apr</v>
      </c>
      <c r="D4666" t="s">
        <v>2585</v>
      </c>
      <c r="E4666" t="s">
        <v>26</v>
      </c>
      <c r="F4666" t="s">
        <v>432</v>
      </c>
      <c r="G4666">
        <v>2</v>
      </c>
      <c r="H4666" s="7">
        <v>129.04</v>
      </c>
      <c r="I4666" t="s">
        <v>19</v>
      </c>
      <c r="J4666" t="s">
        <v>72</v>
      </c>
      <c r="K4666">
        <v>10</v>
      </c>
      <c r="L4666" s="7">
        <f t="shared" si="217"/>
        <v>258.08</v>
      </c>
      <c r="M4666" s="7"/>
      <c r="O4666">
        <f t="shared" si="218"/>
        <v>2</v>
      </c>
      <c r="Q4666" t="s">
        <v>19</v>
      </c>
    </row>
    <row r="4667" spans="1:17" x14ac:dyDescent="0.3">
      <c r="A4667" t="s">
        <v>5797</v>
      </c>
      <c r="B4667" s="6">
        <v>45258</v>
      </c>
      <c r="C4667" s="6" t="str">
        <f t="shared" si="216"/>
        <v>Nov</v>
      </c>
      <c r="D4667" t="s">
        <v>4819</v>
      </c>
      <c r="E4667" t="s">
        <v>62</v>
      </c>
      <c r="F4667" t="s">
        <v>619</v>
      </c>
      <c r="G4667">
        <v>5</v>
      </c>
      <c r="H4667" s="7">
        <v>201.88</v>
      </c>
      <c r="I4667" t="s">
        <v>64</v>
      </c>
      <c r="J4667" t="s">
        <v>22</v>
      </c>
      <c r="K4667">
        <v>10</v>
      </c>
      <c r="L4667" s="7">
        <f t="shared" si="217"/>
        <v>1009.4</v>
      </c>
      <c r="M4667" s="7"/>
      <c r="O4667">
        <f t="shared" si="218"/>
        <v>2</v>
      </c>
      <c r="Q4667" t="s">
        <v>65</v>
      </c>
    </row>
    <row r="4668" spans="1:17" x14ac:dyDescent="0.3">
      <c r="A4668" t="s">
        <v>5798</v>
      </c>
      <c r="B4668" s="6">
        <v>45007</v>
      </c>
      <c r="C4668" s="6" t="str">
        <f t="shared" si="216"/>
        <v>Mar</v>
      </c>
      <c r="D4668" t="s">
        <v>999</v>
      </c>
      <c r="E4668" t="s">
        <v>31</v>
      </c>
      <c r="F4668" t="s">
        <v>193</v>
      </c>
      <c r="G4668">
        <v>4</v>
      </c>
      <c r="H4668" s="7">
        <v>216.92</v>
      </c>
      <c r="I4668" t="s">
        <v>32</v>
      </c>
      <c r="J4668" t="s">
        <v>72</v>
      </c>
      <c r="K4668">
        <v>10</v>
      </c>
      <c r="L4668" s="7">
        <f t="shared" si="217"/>
        <v>867.68</v>
      </c>
      <c r="M4668" s="7"/>
      <c r="O4668">
        <f t="shared" si="218"/>
        <v>2</v>
      </c>
      <c r="Q4668" t="s">
        <v>33</v>
      </c>
    </row>
    <row r="4669" spans="1:17" x14ac:dyDescent="0.3">
      <c r="A4669" t="s">
        <v>5799</v>
      </c>
      <c r="B4669" s="6">
        <v>45031</v>
      </c>
      <c r="C4669" s="6" t="str">
        <f t="shared" si="216"/>
        <v>Apr</v>
      </c>
      <c r="D4669" t="s">
        <v>837</v>
      </c>
      <c r="E4669" t="s">
        <v>31</v>
      </c>
      <c r="F4669" t="s">
        <v>113</v>
      </c>
      <c r="G4669">
        <v>7</v>
      </c>
      <c r="H4669" s="7">
        <v>440.72</v>
      </c>
      <c r="I4669" t="s">
        <v>46</v>
      </c>
      <c r="J4669" t="s">
        <v>42</v>
      </c>
      <c r="K4669">
        <v>15</v>
      </c>
      <c r="L4669" s="7">
        <f t="shared" si="217"/>
        <v>3085.04</v>
      </c>
      <c r="M4669" s="7"/>
      <c r="O4669">
        <f t="shared" si="218"/>
        <v>4</v>
      </c>
      <c r="Q4669" t="s">
        <v>47</v>
      </c>
    </row>
    <row r="4670" spans="1:17" x14ac:dyDescent="0.3">
      <c r="A4670" t="s">
        <v>5800</v>
      </c>
      <c r="B4670" s="6">
        <v>45290</v>
      </c>
      <c r="C4670" s="6" t="str">
        <f t="shared" si="216"/>
        <v>Dec</v>
      </c>
      <c r="D4670" t="s">
        <v>889</v>
      </c>
      <c r="E4670" t="s">
        <v>36</v>
      </c>
      <c r="F4670" t="s">
        <v>1693</v>
      </c>
      <c r="G4670">
        <v>8</v>
      </c>
      <c r="H4670" s="7">
        <v>480.65</v>
      </c>
      <c r="I4670" t="s">
        <v>32</v>
      </c>
      <c r="J4670" t="s">
        <v>22</v>
      </c>
      <c r="K4670">
        <v>15</v>
      </c>
      <c r="L4670" s="7">
        <f t="shared" si="217"/>
        <v>3845.2</v>
      </c>
      <c r="M4670" s="7"/>
      <c r="O4670">
        <f t="shared" si="218"/>
        <v>5</v>
      </c>
      <c r="Q4670" t="s">
        <v>33</v>
      </c>
    </row>
    <row r="4671" spans="1:17" x14ac:dyDescent="0.3">
      <c r="A4671" t="s">
        <v>5801</v>
      </c>
      <c r="B4671" s="6">
        <v>45190</v>
      </c>
      <c r="C4671" s="6" t="str">
        <f t="shared" si="216"/>
        <v>Sep</v>
      </c>
      <c r="D4671" t="s">
        <v>821</v>
      </c>
      <c r="E4671" t="s">
        <v>36</v>
      </c>
      <c r="F4671" t="s">
        <v>708</v>
      </c>
      <c r="G4671">
        <v>1</v>
      </c>
      <c r="H4671" s="7">
        <v>447.04</v>
      </c>
      <c r="I4671" t="s">
        <v>19</v>
      </c>
      <c r="J4671" t="s">
        <v>87</v>
      </c>
      <c r="K4671">
        <v>15</v>
      </c>
      <c r="L4671" s="7">
        <f t="shared" si="217"/>
        <v>447.04</v>
      </c>
      <c r="M4671" s="7"/>
      <c r="O4671">
        <f t="shared" si="218"/>
        <v>2</v>
      </c>
      <c r="Q4671" t="s">
        <v>19</v>
      </c>
    </row>
    <row r="4672" spans="1:17" x14ac:dyDescent="0.3">
      <c r="A4672" t="s">
        <v>5802</v>
      </c>
      <c r="B4672" s="6">
        <v>45137</v>
      </c>
      <c r="C4672" s="6" t="str">
        <f t="shared" si="216"/>
        <v>Jul</v>
      </c>
      <c r="D4672" t="s">
        <v>1754</v>
      </c>
      <c r="E4672" t="s">
        <v>26</v>
      </c>
      <c r="F4672" t="s">
        <v>139</v>
      </c>
      <c r="G4672">
        <v>5</v>
      </c>
      <c r="H4672" s="7">
        <v>360.99</v>
      </c>
      <c r="I4672" t="s">
        <v>103</v>
      </c>
      <c r="J4672" t="s">
        <v>42</v>
      </c>
      <c r="K4672">
        <v>5</v>
      </c>
      <c r="L4672" s="7">
        <f t="shared" si="217"/>
        <v>1804.95</v>
      </c>
      <c r="M4672" s="7"/>
      <c r="O4672">
        <f t="shared" si="218"/>
        <v>2</v>
      </c>
      <c r="Q4672" t="s">
        <v>104</v>
      </c>
    </row>
    <row r="4673" spans="1:17" x14ac:dyDescent="0.3">
      <c r="A4673" t="s">
        <v>5803</v>
      </c>
      <c r="B4673" s="6">
        <v>44993</v>
      </c>
      <c r="C4673" s="6" t="str">
        <f t="shared" si="216"/>
        <v>Mar</v>
      </c>
      <c r="D4673" t="s">
        <v>760</v>
      </c>
      <c r="E4673" t="s">
        <v>26</v>
      </c>
      <c r="F4673" t="s">
        <v>887</v>
      </c>
      <c r="G4673">
        <v>3</v>
      </c>
      <c r="H4673" s="7">
        <v>294.57</v>
      </c>
      <c r="I4673" t="s">
        <v>103</v>
      </c>
      <c r="J4673" t="s">
        <v>72</v>
      </c>
      <c r="K4673">
        <v>0</v>
      </c>
      <c r="L4673" s="7">
        <f t="shared" si="217"/>
        <v>883.71</v>
      </c>
      <c r="M4673" s="7"/>
      <c r="O4673">
        <f t="shared" si="218"/>
        <v>2</v>
      </c>
      <c r="Q4673" t="s">
        <v>104</v>
      </c>
    </row>
    <row r="4674" spans="1:17" x14ac:dyDescent="0.3">
      <c r="A4674" t="s">
        <v>5804</v>
      </c>
      <c r="B4674" s="6">
        <v>45021</v>
      </c>
      <c r="C4674" s="6" t="str">
        <f t="shared" si="216"/>
        <v>Apr</v>
      </c>
      <c r="D4674" t="s">
        <v>272</v>
      </c>
      <c r="E4674" t="s">
        <v>62</v>
      </c>
      <c r="F4674" t="s">
        <v>646</v>
      </c>
      <c r="G4674">
        <v>1</v>
      </c>
      <c r="H4674" s="7">
        <v>346.18</v>
      </c>
      <c r="I4674" t="s">
        <v>103</v>
      </c>
      <c r="J4674" t="s">
        <v>42</v>
      </c>
      <c r="K4674">
        <v>10</v>
      </c>
      <c r="L4674" s="7">
        <f t="shared" si="217"/>
        <v>346.18</v>
      </c>
      <c r="M4674" s="7"/>
      <c r="O4674">
        <f t="shared" si="218"/>
        <v>2</v>
      </c>
      <c r="Q4674" t="s">
        <v>104</v>
      </c>
    </row>
    <row r="4675" spans="1:17" x14ac:dyDescent="0.3">
      <c r="A4675" t="s">
        <v>5805</v>
      </c>
      <c r="B4675" s="6">
        <v>45201</v>
      </c>
      <c r="C4675" s="6" t="str">
        <f t="shared" ref="C4675:C4738" si="219">TEXT(B4675,"MMM")</f>
        <v>Oct</v>
      </c>
      <c r="D4675" t="s">
        <v>1958</v>
      </c>
      <c r="E4675" t="s">
        <v>62</v>
      </c>
      <c r="F4675" t="s">
        <v>646</v>
      </c>
      <c r="G4675">
        <v>3</v>
      </c>
      <c r="H4675" s="7">
        <v>469.86</v>
      </c>
      <c r="I4675" t="s">
        <v>46</v>
      </c>
      <c r="J4675" t="s">
        <v>72</v>
      </c>
      <c r="K4675">
        <v>0</v>
      </c>
      <c r="L4675" s="7">
        <f t="shared" ref="L4675:L4738" si="220">G4675*H4675</f>
        <v>1409.58</v>
      </c>
      <c r="M4675" s="7"/>
      <c r="O4675">
        <f t="shared" si="218"/>
        <v>2</v>
      </c>
      <c r="Q4675" t="s">
        <v>47</v>
      </c>
    </row>
    <row r="4676" spans="1:17" x14ac:dyDescent="0.3">
      <c r="A4676" t="s">
        <v>5806</v>
      </c>
      <c r="B4676" s="6">
        <v>45120</v>
      </c>
      <c r="C4676" s="6" t="str">
        <f t="shared" si="219"/>
        <v>Jul</v>
      </c>
      <c r="D4676" t="s">
        <v>2009</v>
      </c>
      <c r="E4676" t="s">
        <v>40</v>
      </c>
      <c r="F4676" t="s">
        <v>646</v>
      </c>
      <c r="G4676">
        <v>6</v>
      </c>
      <c r="H4676" s="7">
        <v>128.75</v>
      </c>
      <c r="I4676" t="s">
        <v>103</v>
      </c>
      <c r="J4676" t="s">
        <v>72</v>
      </c>
      <c r="K4676">
        <v>0</v>
      </c>
      <c r="L4676" s="7">
        <f t="shared" si="220"/>
        <v>772.5</v>
      </c>
      <c r="M4676" s="7"/>
      <c r="O4676">
        <f t="shared" ref="O4676:O4739" si="221">IF(L4676&gt;3500,5,IF(L4676&gt;3000,4,IF(L4676&gt;2500,3,IF(L4676&gt;2000,2,IF(L4676&gt;1000,2,2)))))</f>
        <v>2</v>
      </c>
      <c r="Q4676" t="s">
        <v>104</v>
      </c>
    </row>
    <row r="4677" spans="1:17" x14ac:dyDescent="0.3">
      <c r="A4677" t="s">
        <v>5807</v>
      </c>
      <c r="B4677" s="6">
        <v>44964</v>
      </c>
      <c r="C4677" s="6" t="str">
        <f t="shared" si="219"/>
        <v>Feb</v>
      </c>
      <c r="D4677" t="s">
        <v>571</v>
      </c>
      <c r="E4677" t="s">
        <v>50</v>
      </c>
      <c r="F4677" t="s">
        <v>322</v>
      </c>
      <c r="G4677">
        <v>7</v>
      </c>
      <c r="H4677" s="7">
        <v>269.88</v>
      </c>
      <c r="I4677" t="s">
        <v>46</v>
      </c>
      <c r="J4677" t="s">
        <v>42</v>
      </c>
      <c r="K4677">
        <v>0</v>
      </c>
      <c r="L4677" s="7">
        <f t="shared" si="220"/>
        <v>1889.1599999999999</v>
      </c>
      <c r="M4677" s="7"/>
      <c r="O4677">
        <f t="shared" si="221"/>
        <v>2</v>
      </c>
      <c r="Q4677" t="s">
        <v>47</v>
      </c>
    </row>
    <row r="4678" spans="1:17" x14ac:dyDescent="0.3">
      <c r="A4678" t="s">
        <v>5808</v>
      </c>
      <c r="B4678" s="6">
        <v>45055</v>
      </c>
      <c r="C4678" s="6" t="str">
        <f t="shared" si="219"/>
        <v>May</v>
      </c>
      <c r="D4678" t="s">
        <v>2085</v>
      </c>
      <c r="E4678" t="s">
        <v>26</v>
      </c>
      <c r="F4678" t="s">
        <v>480</v>
      </c>
      <c r="G4678">
        <v>8</v>
      </c>
      <c r="H4678" s="7">
        <v>346.36</v>
      </c>
      <c r="I4678" t="s">
        <v>64</v>
      </c>
      <c r="J4678" t="s">
        <v>22</v>
      </c>
      <c r="K4678">
        <v>15</v>
      </c>
      <c r="L4678" s="7">
        <f t="shared" si="220"/>
        <v>2770.88</v>
      </c>
      <c r="M4678" s="7"/>
      <c r="O4678">
        <f t="shared" si="221"/>
        <v>3</v>
      </c>
      <c r="Q4678" t="s">
        <v>65</v>
      </c>
    </row>
    <row r="4679" spans="1:17" x14ac:dyDescent="0.3">
      <c r="A4679" t="s">
        <v>5809</v>
      </c>
      <c r="B4679" s="6">
        <v>45119</v>
      </c>
      <c r="C4679" s="6" t="str">
        <f t="shared" si="219"/>
        <v>Jul</v>
      </c>
      <c r="D4679" t="s">
        <v>1179</v>
      </c>
      <c r="E4679" t="s">
        <v>40</v>
      </c>
      <c r="F4679" t="s">
        <v>693</v>
      </c>
      <c r="G4679">
        <v>4</v>
      </c>
      <c r="H4679" s="7">
        <v>341.23</v>
      </c>
      <c r="I4679" t="s">
        <v>64</v>
      </c>
      <c r="J4679" t="s">
        <v>87</v>
      </c>
      <c r="K4679">
        <v>10</v>
      </c>
      <c r="L4679" s="7">
        <f t="shared" si="220"/>
        <v>1364.92</v>
      </c>
      <c r="M4679" s="7"/>
      <c r="O4679">
        <f t="shared" si="221"/>
        <v>2</v>
      </c>
      <c r="Q4679" t="s">
        <v>65</v>
      </c>
    </row>
    <row r="4680" spans="1:17" x14ac:dyDescent="0.3">
      <c r="A4680" t="s">
        <v>5810</v>
      </c>
      <c r="B4680" s="6">
        <v>45117</v>
      </c>
      <c r="C4680" s="6" t="str">
        <f t="shared" si="219"/>
        <v>Jul</v>
      </c>
      <c r="D4680" t="s">
        <v>1980</v>
      </c>
      <c r="E4680" t="s">
        <v>26</v>
      </c>
      <c r="F4680" t="s">
        <v>347</v>
      </c>
      <c r="G4680">
        <v>3</v>
      </c>
      <c r="H4680" s="7">
        <v>129.88</v>
      </c>
      <c r="I4680" t="s">
        <v>46</v>
      </c>
      <c r="J4680" t="s">
        <v>19</v>
      </c>
      <c r="K4680">
        <v>10</v>
      </c>
      <c r="L4680" s="7">
        <f t="shared" si="220"/>
        <v>389.64</v>
      </c>
      <c r="M4680" s="7"/>
      <c r="O4680">
        <f t="shared" si="221"/>
        <v>2</v>
      </c>
      <c r="Q4680" t="s">
        <v>47</v>
      </c>
    </row>
    <row r="4681" spans="1:17" x14ac:dyDescent="0.3">
      <c r="A4681" t="s">
        <v>5811</v>
      </c>
      <c r="B4681" s="6">
        <v>45021</v>
      </c>
      <c r="C4681" s="6" t="str">
        <f t="shared" si="219"/>
        <v>Apr</v>
      </c>
      <c r="D4681" t="s">
        <v>2022</v>
      </c>
      <c r="E4681" t="s">
        <v>36</v>
      </c>
      <c r="F4681" t="s">
        <v>273</v>
      </c>
      <c r="G4681">
        <v>5</v>
      </c>
      <c r="H4681" s="7">
        <v>295.43</v>
      </c>
      <c r="I4681" t="s">
        <v>46</v>
      </c>
      <c r="J4681" t="s">
        <v>22</v>
      </c>
      <c r="K4681">
        <v>15</v>
      </c>
      <c r="L4681" s="7">
        <f t="shared" si="220"/>
        <v>1477.15</v>
      </c>
      <c r="M4681" s="7"/>
      <c r="O4681">
        <f t="shared" si="221"/>
        <v>2</v>
      </c>
      <c r="Q4681" t="s">
        <v>47</v>
      </c>
    </row>
    <row r="4682" spans="1:17" x14ac:dyDescent="0.3">
      <c r="A4682" t="s">
        <v>5812</v>
      </c>
      <c r="B4682" s="6">
        <v>45042</v>
      </c>
      <c r="C4682" s="6" t="str">
        <f t="shared" si="219"/>
        <v>Apr</v>
      </c>
      <c r="D4682" t="s">
        <v>2585</v>
      </c>
      <c r="E4682" t="s">
        <v>50</v>
      </c>
      <c r="F4682" t="s">
        <v>366</v>
      </c>
      <c r="G4682">
        <v>9</v>
      </c>
      <c r="H4682" s="7">
        <v>398.98</v>
      </c>
      <c r="I4682" t="s">
        <v>64</v>
      </c>
      <c r="J4682" t="s">
        <v>19</v>
      </c>
      <c r="K4682">
        <v>10</v>
      </c>
      <c r="L4682" s="7">
        <f t="shared" si="220"/>
        <v>3590.82</v>
      </c>
      <c r="M4682" s="7"/>
      <c r="O4682">
        <f t="shared" si="221"/>
        <v>5</v>
      </c>
      <c r="Q4682" t="s">
        <v>65</v>
      </c>
    </row>
    <row r="4683" spans="1:17" x14ac:dyDescent="0.3">
      <c r="A4683" t="s">
        <v>5813</v>
      </c>
      <c r="B4683" s="6">
        <v>45003</v>
      </c>
      <c r="C4683" s="6" t="str">
        <f t="shared" si="219"/>
        <v>Mar</v>
      </c>
      <c r="D4683" t="s">
        <v>1896</v>
      </c>
      <c r="E4683" t="s">
        <v>26</v>
      </c>
      <c r="F4683" t="s">
        <v>45</v>
      </c>
      <c r="G4683">
        <v>6</v>
      </c>
      <c r="H4683" s="7">
        <v>252.16</v>
      </c>
      <c r="I4683" t="s">
        <v>19</v>
      </c>
      <c r="J4683" t="s">
        <v>19</v>
      </c>
      <c r="K4683">
        <v>10</v>
      </c>
      <c r="L4683" s="7">
        <f t="shared" si="220"/>
        <v>1512.96</v>
      </c>
      <c r="M4683" s="7"/>
      <c r="O4683">
        <f t="shared" si="221"/>
        <v>2</v>
      </c>
      <c r="Q4683" t="s">
        <v>19</v>
      </c>
    </row>
    <row r="4684" spans="1:17" x14ac:dyDescent="0.3">
      <c r="A4684" t="s">
        <v>5814</v>
      </c>
      <c r="B4684" s="6">
        <v>44998</v>
      </c>
      <c r="C4684" s="6" t="str">
        <f t="shared" si="219"/>
        <v>Mar</v>
      </c>
      <c r="D4684" t="s">
        <v>156</v>
      </c>
      <c r="E4684" t="s">
        <v>19</v>
      </c>
      <c r="F4684" t="s">
        <v>693</v>
      </c>
      <c r="G4684">
        <v>9</v>
      </c>
      <c r="H4684" s="7">
        <v>397.68</v>
      </c>
      <c r="I4684" t="s">
        <v>103</v>
      </c>
      <c r="J4684" t="s">
        <v>22</v>
      </c>
      <c r="K4684">
        <v>10</v>
      </c>
      <c r="L4684" s="7">
        <f t="shared" si="220"/>
        <v>3579.12</v>
      </c>
      <c r="M4684" s="7"/>
      <c r="O4684">
        <f t="shared" si="221"/>
        <v>5</v>
      </c>
      <c r="Q4684" t="s">
        <v>104</v>
      </c>
    </row>
    <row r="4685" spans="1:17" x14ac:dyDescent="0.3">
      <c r="A4685" t="s">
        <v>5815</v>
      </c>
      <c r="B4685" s="6">
        <v>45185</v>
      </c>
      <c r="C4685" s="6" t="str">
        <f t="shared" si="219"/>
        <v>Sep</v>
      </c>
      <c r="D4685" t="s">
        <v>2596</v>
      </c>
      <c r="E4685" t="s">
        <v>19</v>
      </c>
      <c r="F4685" t="s">
        <v>359</v>
      </c>
      <c r="G4685">
        <v>6</v>
      </c>
      <c r="H4685" s="7">
        <v>252.16</v>
      </c>
      <c r="I4685" t="s">
        <v>21</v>
      </c>
      <c r="J4685" t="s">
        <v>42</v>
      </c>
      <c r="K4685">
        <v>10</v>
      </c>
      <c r="L4685" s="7">
        <f t="shared" si="220"/>
        <v>1512.96</v>
      </c>
      <c r="M4685" s="7"/>
      <c r="O4685">
        <f t="shared" si="221"/>
        <v>2</v>
      </c>
      <c r="Q4685" t="s">
        <v>23</v>
      </c>
    </row>
    <row r="4686" spans="1:17" x14ac:dyDescent="0.3">
      <c r="A4686" t="s">
        <v>5816</v>
      </c>
      <c r="B4686" s="6">
        <v>45242</v>
      </c>
      <c r="C4686" s="6" t="str">
        <f t="shared" si="219"/>
        <v>Nov</v>
      </c>
      <c r="D4686" t="s">
        <v>44</v>
      </c>
      <c r="E4686" t="s">
        <v>31</v>
      </c>
      <c r="F4686" t="s">
        <v>325</v>
      </c>
      <c r="G4686">
        <v>2</v>
      </c>
      <c r="H4686" s="7">
        <v>469.69</v>
      </c>
      <c r="I4686" t="s">
        <v>19</v>
      </c>
      <c r="J4686" t="s">
        <v>87</v>
      </c>
      <c r="K4686">
        <v>10</v>
      </c>
      <c r="L4686" s="7">
        <f t="shared" si="220"/>
        <v>939.38</v>
      </c>
      <c r="M4686" s="7"/>
      <c r="O4686">
        <f t="shared" si="221"/>
        <v>2</v>
      </c>
      <c r="Q4686" t="s">
        <v>19</v>
      </c>
    </row>
    <row r="4687" spans="1:17" x14ac:dyDescent="0.3">
      <c r="A4687" t="s">
        <v>5817</v>
      </c>
      <c r="B4687" s="6">
        <v>45222</v>
      </c>
      <c r="C4687" s="6" t="str">
        <f t="shared" si="219"/>
        <v>Oct</v>
      </c>
      <c r="D4687" t="s">
        <v>1892</v>
      </c>
      <c r="E4687" t="s">
        <v>31</v>
      </c>
      <c r="F4687" t="s">
        <v>1325</v>
      </c>
      <c r="G4687">
        <v>5</v>
      </c>
      <c r="H4687" s="7">
        <v>269.29000000000002</v>
      </c>
      <c r="I4687" t="s">
        <v>46</v>
      </c>
      <c r="J4687" t="s">
        <v>72</v>
      </c>
      <c r="K4687">
        <v>0</v>
      </c>
      <c r="L4687" s="7">
        <f t="shared" si="220"/>
        <v>1346.45</v>
      </c>
      <c r="M4687" s="7"/>
      <c r="O4687">
        <f t="shared" si="221"/>
        <v>2</v>
      </c>
      <c r="Q4687" t="s">
        <v>47</v>
      </c>
    </row>
    <row r="4688" spans="1:17" x14ac:dyDescent="0.3">
      <c r="A4688" t="s">
        <v>5818</v>
      </c>
      <c r="B4688" s="6">
        <v>44979</v>
      </c>
      <c r="C4688" s="6" t="str">
        <f t="shared" si="219"/>
        <v>Feb</v>
      </c>
      <c r="D4688" t="s">
        <v>178</v>
      </c>
      <c r="E4688" t="s">
        <v>40</v>
      </c>
      <c r="F4688" t="s">
        <v>145</v>
      </c>
      <c r="G4688">
        <v>9</v>
      </c>
      <c r="H4688" s="7">
        <v>299.99</v>
      </c>
      <c r="I4688" t="s">
        <v>64</v>
      </c>
      <c r="J4688" t="s">
        <v>72</v>
      </c>
      <c r="K4688">
        <v>15</v>
      </c>
      <c r="L4688" s="7">
        <f t="shared" si="220"/>
        <v>2699.91</v>
      </c>
      <c r="M4688" s="7"/>
      <c r="O4688">
        <f t="shared" si="221"/>
        <v>3</v>
      </c>
      <c r="Q4688" t="s">
        <v>65</v>
      </c>
    </row>
    <row r="4689" spans="1:17" x14ac:dyDescent="0.3">
      <c r="A4689" t="s">
        <v>5819</v>
      </c>
      <c r="B4689" s="6">
        <v>45050</v>
      </c>
      <c r="C4689" s="6" t="str">
        <f t="shared" si="219"/>
        <v>May</v>
      </c>
      <c r="D4689" t="s">
        <v>885</v>
      </c>
      <c r="E4689" t="s">
        <v>40</v>
      </c>
      <c r="F4689" t="s">
        <v>556</v>
      </c>
      <c r="G4689">
        <v>8</v>
      </c>
      <c r="H4689" s="7">
        <v>20.52</v>
      </c>
      <c r="I4689" t="s">
        <v>46</v>
      </c>
      <c r="J4689" t="s">
        <v>22</v>
      </c>
      <c r="K4689">
        <v>5</v>
      </c>
      <c r="L4689" s="7">
        <f t="shared" si="220"/>
        <v>164.16</v>
      </c>
      <c r="M4689" s="7"/>
      <c r="O4689">
        <f t="shared" si="221"/>
        <v>2</v>
      </c>
      <c r="Q4689" t="s">
        <v>47</v>
      </c>
    </row>
    <row r="4690" spans="1:17" x14ac:dyDescent="0.3">
      <c r="A4690" t="s">
        <v>5820</v>
      </c>
      <c r="B4690" s="6">
        <v>45016</v>
      </c>
      <c r="C4690" s="6" t="str">
        <f t="shared" si="219"/>
        <v>Mar</v>
      </c>
      <c r="D4690" t="s">
        <v>1048</v>
      </c>
      <c r="E4690" t="s">
        <v>36</v>
      </c>
      <c r="F4690" t="s">
        <v>234</v>
      </c>
      <c r="G4690">
        <v>7</v>
      </c>
      <c r="H4690" s="7">
        <v>89.28</v>
      </c>
      <c r="I4690" t="s">
        <v>32</v>
      </c>
      <c r="J4690" t="s">
        <v>28</v>
      </c>
      <c r="K4690">
        <v>0</v>
      </c>
      <c r="L4690" s="7">
        <f t="shared" si="220"/>
        <v>624.96</v>
      </c>
      <c r="M4690" s="7"/>
      <c r="O4690">
        <f t="shared" si="221"/>
        <v>2</v>
      </c>
      <c r="Q4690" t="s">
        <v>33</v>
      </c>
    </row>
    <row r="4691" spans="1:17" x14ac:dyDescent="0.3">
      <c r="A4691" t="s">
        <v>5821</v>
      </c>
      <c r="B4691" s="6">
        <v>44946</v>
      </c>
      <c r="C4691" s="6" t="str">
        <f t="shared" si="219"/>
        <v>Jan</v>
      </c>
      <c r="D4691" t="s">
        <v>427</v>
      </c>
      <c r="E4691" t="s">
        <v>40</v>
      </c>
      <c r="F4691" t="s">
        <v>789</v>
      </c>
      <c r="G4691">
        <v>1</v>
      </c>
      <c r="H4691" s="7">
        <v>318.3</v>
      </c>
      <c r="I4691" t="s">
        <v>21</v>
      </c>
      <c r="J4691" t="s">
        <v>28</v>
      </c>
      <c r="K4691">
        <v>20</v>
      </c>
      <c r="L4691" s="7">
        <f t="shared" si="220"/>
        <v>318.3</v>
      </c>
      <c r="M4691" s="7"/>
      <c r="O4691">
        <f t="shared" si="221"/>
        <v>2</v>
      </c>
      <c r="Q4691" t="s">
        <v>23</v>
      </c>
    </row>
    <row r="4692" spans="1:17" x14ac:dyDescent="0.3">
      <c r="A4692" t="s">
        <v>5822</v>
      </c>
      <c r="B4692" s="6">
        <v>45161</v>
      </c>
      <c r="C4692" s="6" t="str">
        <f t="shared" si="219"/>
        <v>Aug</v>
      </c>
      <c r="D4692" t="s">
        <v>3344</v>
      </c>
      <c r="E4692" t="s">
        <v>50</v>
      </c>
      <c r="F4692" t="s">
        <v>412</v>
      </c>
      <c r="G4692">
        <v>4</v>
      </c>
      <c r="H4692" s="7">
        <v>212.84</v>
      </c>
      <c r="I4692" t="s">
        <v>64</v>
      </c>
      <c r="J4692" t="s">
        <v>28</v>
      </c>
      <c r="K4692">
        <v>10</v>
      </c>
      <c r="L4692" s="7">
        <f t="shared" si="220"/>
        <v>851.36</v>
      </c>
      <c r="M4692" s="7"/>
      <c r="O4692">
        <f t="shared" si="221"/>
        <v>2</v>
      </c>
      <c r="Q4692" t="s">
        <v>65</v>
      </c>
    </row>
    <row r="4693" spans="1:17" x14ac:dyDescent="0.3">
      <c r="A4693" t="s">
        <v>5823</v>
      </c>
      <c r="B4693" s="6">
        <v>45221</v>
      </c>
      <c r="C4693" s="6" t="str">
        <f t="shared" si="219"/>
        <v>Oct</v>
      </c>
      <c r="D4693" t="s">
        <v>2779</v>
      </c>
      <c r="E4693" t="s">
        <v>62</v>
      </c>
      <c r="F4693" t="s">
        <v>975</v>
      </c>
      <c r="G4693">
        <v>7</v>
      </c>
      <c r="H4693" s="7">
        <v>256.54000000000002</v>
      </c>
      <c r="I4693" t="s">
        <v>64</v>
      </c>
      <c r="J4693" t="s">
        <v>22</v>
      </c>
      <c r="K4693">
        <v>0</v>
      </c>
      <c r="L4693" s="7">
        <f t="shared" si="220"/>
        <v>1795.7800000000002</v>
      </c>
      <c r="M4693" s="7"/>
      <c r="O4693">
        <f t="shared" si="221"/>
        <v>2</v>
      </c>
      <c r="Q4693" t="s">
        <v>65</v>
      </c>
    </row>
    <row r="4694" spans="1:17" x14ac:dyDescent="0.3">
      <c r="A4694" t="s">
        <v>5824</v>
      </c>
      <c r="B4694" s="6">
        <v>45145</v>
      </c>
      <c r="C4694" s="6" t="str">
        <f t="shared" si="219"/>
        <v>Aug</v>
      </c>
      <c r="D4694" t="s">
        <v>262</v>
      </c>
      <c r="E4694" t="s">
        <v>36</v>
      </c>
      <c r="F4694" t="s">
        <v>420</v>
      </c>
      <c r="G4694">
        <v>7</v>
      </c>
      <c r="H4694" s="7">
        <v>36.17</v>
      </c>
      <c r="I4694" t="s">
        <v>21</v>
      </c>
      <c r="J4694" t="s">
        <v>19</v>
      </c>
      <c r="K4694">
        <v>15</v>
      </c>
      <c r="L4694" s="7">
        <f t="shared" si="220"/>
        <v>253.19</v>
      </c>
      <c r="M4694" s="7"/>
      <c r="O4694">
        <f t="shared" si="221"/>
        <v>2</v>
      </c>
      <c r="Q4694" t="s">
        <v>23</v>
      </c>
    </row>
    <row r="4695" spans="1:17" x14ac:dyDescent="0.3">
      <c r="A4695" t="s">
        <v>5825</v>
      </c>
      <c r="B4695" s="6">
        <v>45113</v>
      </c>
      <c r="C4695" s="6" t="str">
        <f t="shared" si="219"/>
        <v>Jul</v>
      </c>
      <c r="D4695" t="s">
        <v>471</v>
      </c>
      <c r="E4695" t="s">
        <v>31</v>
      </c>
      <c r="F4695" t="s">
        <v>331</v>
      </c>
      <c r="G4695">
        <v>6</v>
      </c>
      <c r="H4695" s="7">
        <v>417.9</v>
      </c>
      <c r="I4695" t="s">
        <v>46</v>
      </c>
      <c r="J4695" t="s">
        <v>87</v>
      </c>
      <c r="K4695">
        <v>20</v>
      </c>
      <c r="L4695" s="7">
        <f t="shared" si="220"/>
        <v>2507.3999999999996</v>
      </c>
      <c r="M4695" s="7"/>
      <c r="O4695">
        <f t="shared" si="221"/>
        <v>3</v>
      </c>
      <c r="Q4695" t="s">
        <v>47</v>
      </c>
    </row>
    <row r="4696" spans="1:17" x14ac:dyDescent="0.3">
      <c r="A4696" t="s">
        <v>5826</v>
      </c>
      <c r="B4696" s="6">
        <v>44964</v>
      </c>
      <c r="C4696" s="6" t="str">
        <f t="shared" si="219"/>
        <v>Feb</v>
      </c>
      <c r="D4696" t="s">
        <v>4908</v>
      </c>
      <c r="E4696" t="s">
        <v>19</v>
      </c>
      <c r="F4696" t="s">
        <v>1023</v>
      </c>
      <c r="G4696">
        <v>8</v>
      </c>
      <c r="H4696" s="7">
        <v>393.33</v>
      </c>
      <c r="I4696" t="s">
        <v>46</v>
      </c>
      <c r="J4696" t="s">
        <v>19</v>
      </c>
      <c r="K4696">
        <v>0</v>
      </c>
      <c r="L4696" s="7">
        <f t="shared" si="220"/>
        <v>3146.64</v>
      </c>
      <c r="M4696" s="7"/>
      <c r="O4696">
        <f t="shared" si="221"/>
        <v>4</v>
      </c>
      <c r="Q4696" t="s">
        <v>47</v>
      </c>
    </row>
    <row r="4697" spans="1:17" x14ac:dyDescent="0.3">
      <c r="A4697" t="s">
        <v>5827</v>
      </c>
      <c r="B4697" s="6">
        <v>45144</v>
      </c>
      <c r="C4697" s="6" t="str">
        <f t="shared" si="219"/>
        <v>Aug</v>
      </c>
      <c r="D4697" t="s">
        <v>1449</v>
      </c>
      <c r="E4697" t="s">
        <v>26</v>
      </c>
      <c r="F4697" t="s">
        <v>939</v>
      </c>
      <c r="G4697">
        <v>6</v>
      </c>
      <c r="H4697" s="7">
        <v>96.75</v>
      </c>
      <c r="I4697" t="s">
        <v>46</v>
      </c>
      <c r="J4697" t="s">
        <v>42</v>
      </c>
      <c r="K4697">
        <v>15</v>
      </c>
      <c r="L4697" s="7">
        <f t="shared" si="220"/>
        <v>580.5</v>
      </c>
      <c r="M4697" s="7"/>
      <c r="O4697">
        <f t="shared" si="221"/>
        <v>2</v>
      </c>
      <c r="Q4697" t="s">
        <v>47</v>
      </c>
    </row>
    <row r="4698" spans="1:17" x14ac:dyDescent="0.3">
      <c r="A4698" t="s">
        <v>5828</v>
      </c>
      <c r="B4698" s="6">
        <v>44996</v>
      </c>
      <c r="C4698" s="6" t="str">
        <f t="shared" si="219"/>
        <v>Mar</v>
      </c>
      <c r="D4698" t="s">
        <v>1104</v>
      </c>
      <c r="E4698" t="s">
        <v>19</v>
      </c>
      <c r="F4698" t="s">
        <v>81</v>
      </c>
      <c r="G4698">
        <v>3</v>
      </c>
      <c r="H4698" s="7">
        <v>318.99</v>
      </c>
      <c r="I4698" t="s">
        <v>103</v>
      </c>
      <c r="J4698" t="s">
        <v>22</v>
      </c>
      <c r="K4698">
        <v>15</v>
      </c>
      <c r="L4698" s="7">
        <f t="shared" si="220"/>
        <v>956.97</v>
      </c>
      <c r="M4698" s="7"/>
      <c r="O4698">
        <f t="shared" si="221"/>
        <v>2</v>
      </c>
      <c r="Q4698" t="s">
        <v>104</v>
      </c>
    </row>
    <row r="4699" spans="1:17" x14ac:dyDescent="0.3">
      <c r="A4699" t="s">
        <v>5829</v>
      </c>
      <c r="B4699" s="6">
        <v>45278</v>
      </c>
      <c r="C4699" s="6" t="str">
        <f t="shared" si="219"/>
        <v>Dec</v>
      </c>
      <c r="D4699" t="s">
        <v>846</v>
      </c>
      <c r="E4699" t="s">
        <v>19</v>
      </c>
      <c r="F4699" t="s">
        <v>84</v>
      </c>
      <c r="G4699">
        <v>4</v>
      </c>
      <c r="H4699" s="7">
        <v>410.07</v>
      </c>
      <c r="I4699" t="s">
        <v>64</v>
      </c>
      <c r="J4699" t="s">
        <v>22</v>
      </c>
      <c r="K4699">
        <v>10</v>
      </c>
      <c r="L4699" s="7">
        <f t="shared" si="220"/>
        <v>1640.28</v>
      </c>
      <c r="M4699" s="7"/>
      <c r="O4699">
        <f t="shared" si="221"/>
        <v>2</v>
      </c>
      <c r="Q4699" t="s">
        <v>65</v>
      </c>
    </row>
    <row r="4700" spans="1:17" x14ac:dyDescent="0.3">
      <c r="A4700" t="s">
        <v>5830</v>
      </c>
      <c r="B4700" s="6">
        <v>44969</v>
      </c>
      <c r="C4700" s="6" t="str">
        <f t="shared" si="219"/>
        <v>Feb</v>
      </c>
      <c r="D4700" t="s">
        <v>1193</v>
      </c>
      <c r="E4700" t="s">
        <v>62</v>
      </c>
      <c r="F4700" t="s">
        <v>514</v>
      </c>
      <c r="G4700">
        <v>3</v>
      </c>
      <c r="H4700" s="7">
        <v>322.22000000000003</v>
      </c>
      <c r="I4700" t="s">
        <v>46</v>
      </c>
      <c r="J4700" t="s">
        <v>22</v>
      </c>
      <c r="K4700">
        <v>5</v>
      </c>
      <c r="L4700" s="7">
        <f t="shared" si="220"/>
        <v>966.66000000000008</v>
      </c>
      <c r="M4700" s="7"/>
      <c r="O4700">
        <f t="shared" si="221"/>
        <v>2</v>
      </c>
      <c r="Q4700" t="s">
        <v>47</v>
      </c>
    </row>
    <row r="4701" spans="1:17" x14ac:dyDescent="0.3">
      <c r="A4701" t="s">
        <v>5831</v>
      </c>
      <c r="B4701" s="6">
        <v>45219</v>
      </c>
      <c r="C4701" s="6" t="str">
        <f t="shared" si="219"/>
        <v>Oct</v>
      </c>
      <c r="D4701" t="s">
        <v>307</v>
      </c>
      <c r="E4701" t="s">
        <v>19</v>
      </c>
      <c r="F4701" t="s">
        <v>363</v>
      </c>
      <c r="G4701">
        <v>1</v>
      </c>
      <c r="H4701" s="7">
        <v>158.65</v>
      </c>
      <c r="I4701" t="s">
        <v>19</v>
      </c>
      <c r="J4701" t="s">
        <v>28</v>
      </c>
      <c r="K4701">
        <v>0</v>
      </c>
      <c r="L4701" s="7">
        <f t="shared" si="220"/>
        <v>158.65</v>
      </c>
      <c r="M4701" s="7"/>
      <c r="O4701">
        <f t="shared" si="221"/>
        <v>2</v>
      </c>
      <c r="Q4701" t="s">
        <v>19</v>
      </c>
    </row>
    <row r="4702" spans="1:17" x14ac:dyDescent="0.3">
      <c r="A4702" t="s">
        <v>5832</v>
      </c>
      <c r="B4702" s="6">
        <v>44950</v>
      </c>
      <c r="C4702" s="6" t="str">
        <f t="shared" si="219"/>
        <v>Jan</v>
      </c>
      <c r="D4702" t="s">
        <v>4876</v>
      </c>
      <c r="E4702" t="s">
        <v>50</v>
      </c>
      <c r="F4702" t="s">
        <v>356</v>
      </c>
      <c r="G4702">
        <v>5</v>
      </c>
      <c r="H4702" s="7">
        <v>329.78</v>
      </c>
      <c r="I4702" t="s">
        <v>103</v>
      </c>
      <c r="J4702" t="s">
        <v>22</v>
      </c>
      <c r="K4702">
        <v>15</v>
      </c>
      <c r="L4702" s="7">
        <f t="shared" si="220"/>
        <v>1648.8999999999999</v>
      </c>
      <c r="M4702" s="7"/>
      <c r="O4702">
        <f t="shared" si="221"/>
        <v>2</v>
      </c>
      <c r="Q4702" t="s">
        <v>104</v>
      </c>
    </row>
    <row r="4703" spans="1:17" x14ac:dyDescent="0.3">
      <c r="A4703" t="s">
        <v>5833</v>
      </c>
      <c r="B4703" s="6">
        <v>45012</v>
      </c>
      <c r="C4703" s="6" t="str">
        <f t="shared" si="219"/>
        <v>Mar</v>
      </c>
      <c r="D4703" t="s">
        <v>1231</v>
      </c>
      <c r="E4703" t="s">
        <v>40</v>
      </c>
      <c r="F4703" t="s">
        <v>75</v>
      </c>
      <c r="G4703">
        <v>1</v>
      </c>
      <c r="H4703" s="7">
        <v>109.18</v>
      </c>
      <c r="I4703" t="s">
        <v>21</v>
      </c>
      <c r="J4703" t="s">
        <v>72</v>
      </c>
      <c r="K4703">
        <v>10</v>
      </c>
      <c r="L4703" s="7">
        <f t="shared" si="220"/>
        <v>109.18</v>
      </c>
      <c r="M4703" s="7"/>
      <c r="O4703">
        <f t="shared" si="221"/>
        <v>2</v>
      </c>
      <c r="Q4703" t="s">
        <v>23</v>
      </c>
    </row>
    <row r="4704" spans="1:17" x14ac:dyDescent="0.3">
      <c r="A4704" t="s">
        <v>5834</v>
      </c>
      <c r="B4704" s="6">
        <v>45174</v>
      </c>
      <c r="C4704" s="6" t="str">
        <f t="shared" si="219"/>
        <v>Sep</v>
      </c>
      <c r="D4704" t="s">
        <v>4209</v>
      </c>
      <c r="E4704" t="s">
        <v>36</v>
      </c>
      <c r="F4704" t="s">
        <v>289</v>
      </c>
      <c r="G4704">
        <v>1</v>
      </c>
      <c r="H4704" s="7">
        <v>162.54</v>
      </c>
      <c r="I4704" t="s">
        <v>103</v>
      </c>
      <c r="J4704" t="s">
        <v>87</v>
      </c>
      <c r="K4704">
        <v>15</v>
      </c>
      <c r="L4704" s="7">
        <f t="shared" si="220"/>
        <v>162.54</v>
      </c>
      <c r="M4704" s="7"/>
      <c r="O4704">
        <f t="shared" si="221"/>
        <v>2</v>
      </c>
      <c r="Q4704" t="s">
        <v>104</v>
      </c>
    </row>
    <row r="4705" spans="1:17" x14ac:dyDescent="0.3">
      <c r="A4705" t="s">
        <v>5835</v>
      </c>
      <c r="B4705" s="6">
        <v>45013</v>
      </c>
      <c r="C4705" s="6" t="str">
        <f t="shared" si="219"/>
        <v>Mar</v>
      </c>
      <c r="D4705" t="s">
        <v>2687</v>
      </c>
      <c r="E4705" t="s">
        <v>26</v>
      </c>
      <c r="F4705" t="s">
        <v>1206</v>
      </c>
      <c r="G4705">
        <v>2</v>
      </c>
      <c r="H4705" s="7">
        <v>123.83</v>
      </c>
      <c r="I4705" t="s">
        <v>64</v>
      </c>
      <c r="J4705" t="s">
        <v>72</v>
      </c>
      <c r="K4705">
        <v>5</v>
      </c>
      <c r="L4705" s="7">
        <f t="shared" si="220"/>
        <v>247.66</v>
      </c>
      <c r="M4705" s="7"/>
      <c r="O4705">
        <f t="shared" si="221"/>
        <v>2</v>
      </c>
      <c r="Q4705" t="s">
        <v>65</v>
      </c>
    </row>
    <row r="4706" spans="1:17" x14ac:dyDescent="0.3">
      <c r="A4706" t="s">
        <v>5836</v>
      </c>
      <c r="B4706" s="6">
        <v>45189</v>
      </c>
      <c r="C4706" s="6" t="str">
        <f t="shared" si="219"/>
        <v>Sep</v>
      </c>
      <c r="D4706" t="s">
        <v>868</v>
      </c>
      <c r="E4706" t="s">
        <v>40</v>
      </c>
      <c r="F4706" t="s">
        <v>696</v>
      </c>
      <c r="G4706">
        <v>4</v>
      </c>
      <c r="H4706" s="7">
        <v>280.68</v>
      </c>
      <c r="I4706" t="s">
        <v>19</v>
      </c>
      <c r="J4706" t="s">
        <v>42</v>
      </c>
      <c r="K4706">
        <v>15</v>
      </c>
      <c r="L4706" s="7">
        <f t="shared" si="220"/>
        <v>1122.72</v>
      </c>
      <c r="M4706" s="7"/>
      <c r="O4706">
        <f t="shared" si="221"/>
        <v>2</v>
      </c>
      <c r="Q4706" t="s">
        <v>19</v>
      </c>
    </row>
    <row r="4707" spans="1:17" x14ac:dyDescent="0.3">
      <c r="A4707" t="s">
        <v>5837</v>
      </c>
      <c r="B4707" s="6">
        <v>45104</v>
      </c>
      <c r="C4707" s="6" t="str">
        <f t="shared" si="219"/>
        <v>Jun</v>
      </c>
      <c r="D4707" t="s">
        <v>908</v>
      </c>
      <c r="E4707" t="s">
        <v>36</v>
      </c>
      <c r="F4707" t="s">
        <v>325</v>
      </c>
      <c r="G4707">
        <v>6</v>
      </c>
      <c r="H4707" s="7">
        <v>58.57</v>
      </c>
      <c r="I4707" t="s">
        <v>103</v>
      </c>
      <c r="J4707" t="s">
        <v>19</v>
      </c>
      <c r="K4707">
        <v>10</v>
      </c>
      <c r="L4707" s="7">
        <f t="shared" si="220"/>
        <v>351.42</v>
      </c>
      <c r="M4707" s="7"/>
      <c r="O4707">
        <f t="shared" si="221"/>
        <v>2</v>
      </c>
      <c r="Q4707" t="s">
        <v>104</v>
      </c>
    </row>
    <row r="4708" spans="1:17" x14ac:dyDescent="0.3">
      <c r="A4708" t="s">
        <v>5838</v>
      </c>
      <c r="B4708" s="6">
        <v>45160</v>
      </c>
      <c r="C4708" s="6" t="str">
        <f t="shared" si="219"/>
        <v>Aug</v>
      </c>
      <c r="D4708" t="s">
        <v>546</v>
      </c>
      <c r="E4708" t="s">
        <v>31</v>
      </c>
      <c r="F4708" t="s">
        <v>749</v>
      </c>
      <c r="G4708">
        <v>8</v>
      </c>
      <c r="H4708" s="7">
        <v>466.99</v>
      </c>
      <c r="I4708" t="s">
        <v>21</v>
      </c>
      <c r="J4708" t="s">
        <v>19</v>
      </c>
      <c r="K4708">
        <v>0</v>
      </c>
      <c r="L4708" s="7">
        <f t="shared" si="220"/>
        <v>3735.92</v>
      </c>
      <c r="M4708" s="7"/>
      <c r="O4708">
        <f t="shared" si="221"/>
        <v>5</v>
      </c>
      <c r="Q4708" t="s">
        <v>23</v>
      </c>
    </row>
    <row r="4709" spans="1:17" x14ac:dyDescent="0.3">
      <c r="A4709" t="s">
        <v>5839</v>
      </c>
      <c r="B4709" s="6">
        <v>45180</v>
      </c>
      <c r="C4709" s="6" t="str">
        <f t="shared" si="219"/>
        <v>Sep</v>
      </c>
      <c r="D4709" t="s">
        <v>1580</v>
      </c>
      <c r="E4709" t="s">
        <v>40</v>
      </c>
      <c r="F4709" t="s">
        <v>71</v>
      </c>
      <c r="G4709">
        <v>3</v>
      </c>
      <c r="H4709" s="7">
        <v>170.09</v>
      </c>
      <c r="I4709" t="s">
        <v>103</v>
      </c>
      <c r="J4709" t="s">
        <v>22</v>
      </c>
      <c r="K4709">
        <v>10</v>
      </c>
      <c r="L4709" s="7">
        <f t="shared" si="220"/>
        <v>510.27</v>
      </c>
      <c r="M4709" s="7"/>
      <c r="O4709">
        <f t="shared" si="221"/>
        <v>2</v>
      </c>
      <c r="Q4709" t="s">
        <v>104</v>
      </c>
    </row>
    <row r="4710" spans="1:17" x14ac:dyDescent="0.3">
      <c r="A4710" t="s">
        <v>5840</v>
      </c>
      <c r="B4710" s="6">
        <v>45282</v>
      </c>
      <c r="C4710" s="6" t="str">
        <f t="shared" si="219"/>
        <v>Dec</v>
      </c>
      <c r="D4710" t="s">
        <v>1305</v>
      </c>
      <c r="E4710" t="s">
        <v>19</v>
      </c>
      <c r="F4710" t="s">
        <v>698</v>
      </c>
      <c r="G4710">
        <v>1</v>
      </c>
      <c r="H4710" s="7">
        <v>113.39</v>
      </c>
      <c r="I4710" t="s">
        <v>32</v>
      </c>
      <c r="J4710" t="s">
        <v>72</v>
      </c>
      <c r="K4710">
        <v>0</v>
      </c>
      <c r="L4710" s="7">
        <f t="shared" si="220"/>
        <v>113.39</v>
      </c>
      <c r="M4710" s="7"/>
      <c r="O4710">
        <f t="shared" si="221"/>
        <v>2</v>
      </c>
      <c r="Q4710" t="s">
        <v>33</v>
      </c>
    </row>
    <row r="4711" spans="1:17" x14ac:dyDescent="0.3">
      <c r="A4711" t="s">
        <v>5841</v>
      </c>
      <c r="B4711" s="6">
        <v>45149</v>
      </c>
      <c r="C4711" s="6" t="str">
        <f t="shared" si="219"/>
        <v>Aug</v>
      </c>
      <c r="D4711" t="s">
        <v>1498</v>
      </c>
      <c r="E4711" t="s">
        <v>50</v>
      </c>
      <c r="F4711" t="s">
        <v>378</v>
      </c>
      <c r="G4711">
        <v>3</v>
      </c>
      <c r="H4711" s="7">
        <v>250.79</v>
      </c>
      <c r="I4711" t="s">
        <v>21</v>
      </c>
      <c r="J4711" t="s">
        <v>87</v>
      </c>
      <c r="K4711">
        <v>20</v>
      </c>
      <c r="L4711" s="7">
        <f t="shared" si="220"/>
        <v>752.37</v>
      </c>
      <c r="M4711" s="7"/>
      <c r="O4711">
        <f t="shared" si="221"/>
        <v>2</v>
      </c>
      <c r="Q4711" t="s">
        <v>23</v>
      </c>
    </row>
    <row r="4712" spans="1:17" x14ac:dyDescent="0.3">
      <c r="A4712" t="s">
        <v>5842</v>
      </c>
      <c r="B4712" s="6">
        <v>45276</v>
      </c>
      <c r="C4712" s="6" t="str">
        <f t="shared" si="219"/>
        <v>Dec</v>
      </c>
      <c r="D4712" t="s">
        <v>2904</v>
      </c>
      <c r="E4712" t="s">
        <v>50</v>
      </c>
      <c r="F4712" t="s">
        <v>909</v>
      </c>
      <c r="G4712">
        <v>3</v>
      </c>
      <c r="H4712" s="7">
        <v>142.11000000000001</v>
      </c>
      <c r="I4712" t="s">
        <v>46</v>
      </c>
      <c r="J4712" t="s">
        <v>42</v>
      </c>
      <c r="K4712">
        <v>0</v>
      </c>
      <c r="L4712" s="7">
        <f t="shared" si="220"/>
        <v>426.33000000000004</v>
      </c>
      <c r="M4712" s="7"/>
      <c r="O4712">
        <f t="shared" si="221"/>
        <v>2</v>
      </c>
      <c r="Q4712" t="s">
        <v>47</v>
      </c>
    </row>
    <row r="4713" spans="1:17" x14ac:dyDescent="0.3">
      <c r="A4713" t="s">
        <v>5843</v>
      </c>
      <c r="B4713" s="6">
        <v>45057</v>
      </c>
      <c r="C4713" s="6" t="str">
        <f t="shared" si="219"/>
        <v>May</v>
      </c>
      <c r="D4713" t="s">
        <v>692</v>
      </c>
      <c r="E4713" t="s">
        <v>19</v>
      </c>
      <c r="F4713" t="s">
        <v>466</v>
      </c>
      <c r="G4713">
        <v>5</v>
      </c>
      <c r="H4713" s="7">
        <v>269.77999999999997</v>
      </c>
      <c r="I4713" t="s">
        <v>64</v>
      </c>
      <c r="J4713" t="s">
        <v>72</v>
      </c>
      <c r="K4713">
        <v>20</v>
      </c>
      <c r="L4713" s="7">
        <f t="shared" si="220"/>
        <v>1348.8999999999999</v>
      </c>
      <c r="M4713" s="7"/>
      <c r="O4713">
        <f t="shared" si="221"/>
        <v>2</v>
      </c>
      <c r="Q4713" t="s">
        <v>65</v>
      </c>
    </row>
    <row r="4714" spans="1:17" x14ac:dyDescent="0.3">
      <c r="A4714" t="s">
        <v>5844</v>
      </c>
      <c r="B4714" s="6">
        <v>45066</v>
      </c>
      <c r="C4714" s="6" t="str">
        <f t="shared" si="219"/>
        <v>May</v>
      </c>
      <c r="D4714" t="s">
        <v>1067</v>
      </c>
      <c r="E4714" t="s">
        <v>50</v>
      </c>
      <c r="F4714" t="s">
        <v>386</v>
      </c>
      <c r="G4714">
        <v>4</v>
      </c>
      <c r="H4714" s="7">
        <v>177.51</v>
      </c>
      <c r="I4714" t="s">
        <v>103</v>
      </c>
      <c r="J4714" t="s">
        <v>28</v>
      </c>
      <c r="K4714">
        <v>10</v>
      </c>
      <c r="L4714" s="7">
        <f t="shared" si="220"/>
        <v>710.04</v>
      </c>
      <c r="M4714" s="7"/>
      <c r="O4714">
        <f t="shared" si="221"/>
        <v>2</v>
      </c>
      <c r="Q4714" t="s">
        <v>104</v>
      </c>
    </row>
    <row r="4715" spans="1:17" x14ac:dyDescent="0.3">
      <c r="A4715" t="s">
        <v>5845</v>
      </c>
      <c r="B4715" s="6">
        <v>44983</v>
      </c>
      <c r="C4715" s="6" t="str">
        <f t="shared" si="219"/>
        <v>Feb</v>
      </c>
      <c r="D4715" t="s">
        <v>755</v>
      </c>
      <c r="E4715" t="s">
        <v>19</v>
      </c>
      <c r="F4715" t="s">
        <v>122</v>
      </c>
      <c r="G4715">
        <v>4</v>
      </c>
      <c r="H4715" s="7">
        <v>70.37</v>
      </c>
      <c r="I4715" t="s">
        <v>19</v>
      </c>
      <c r="J4715" t="s">
        <v>42</v>
      </c>
      <c r="K4715">
        <v>10</v>
      </c>
      <c r="L4715" s="7">
        <f t="shared" si="220"/>
        <v>281.48</v>
      </c>
      <c r="M4715" s="7"/>
      <c r="O4715">
        <f t="shared" si="221"/>
        <v>2</v>
      </c>
      <c r="Q4715" t="s">
        <v>19</v>
      </c>
    </row>
    <row r="4716" spans="1:17" x14ac:dyDescent="0.3">
      <c r="A4716" t="s">
        <v>5846</v>
      </c>
      <c r="B4716" s="6">
        <v>45198</v>
      </c>
      <c r="C4716" s="6" t="str">
        <f t="shared" si="219"/>
        <v>Sep</v>
      </c>
      <c r="D4716" t="s">
        <v>219</v>
      </c>
      <c r="E4716" t="s">
        <v>50</v>
      </c>
      <c r="F4716" t="s">
        <v>198</v>
      </c>
      <c r="G4716">
        <v>9</v>
      </c>
      <c r="H4716" s="7">
        <v>136.62</v>
      </c>
      <c r="I4716" t="s">
        <v>21</v>
      </c>
      <c r="J4716" t="s">
        <v>19</v>
      </c>
      <c r="K4716">
        <v>5</v>
      </c>
      <c r="L4716" s="7">
        <f t="shared" si="220"/>
        <v>1229.58</v>
      </c>
      <c r="M4716" s="7"/>
      <c r="O4716">
        <f t="shared" si="221"/>
        <v>2</v>
      </c>
      <c r="Q4716" t="s">
        <v>23</v>
      </c>
    </row>
    <row r="4717" spans="1:17" x14ac:dyDescent="0.3">
      <c r="A4717" t="s">
        <v>5847</v>
      </c>
      <c r="B4717" s="6">
        <v>44951</v>
      </c>
      <c r="C4717" s="6" t="str">
        <f t="shared" si="219"/>
        <v>Jan</v>
      </c>
      <c r="D4717" t="s">
        <v>855</v>
      </c>
      <c r="E4717" t="s">
        <v>19</v>
      </c>
      <c r="F4717" t="s">
        <v>1282</v>
      </c>
      <c r="G4717">
        <v>7</v>
      </c>
      <c r="H4717" s="7">
        <v>222.03</v>
      </c>
      <c r="I4717" t="s">
        <v>64</v>
      </c>
      <c r="J4717" t="s">
        <v>42</v>
      </c>
      <c r="K4717">
        <v>10</v>
      </c>
      <c r="L4717" s="7">
        <f t="shared" si="220"/>
        <v>1554.21</v>
      </c>
      <c r="M4717" s="7"/>
      <c r="O4717">
        <f t="shared" si="221"/>
        <v>2</v>
      </c>
      <c r="Q4717" t="s">
        <v>65</v>
      </c>
    </row>
    <row r="4718" spans="1:17" x14ac:dyDescent="0.3">
      <c r="A4718" t="s">
        <v>5848</v>
      </c>
      <c r="B4718" s="6">
        <v>45159</v>
      </c>
      <c r="C4718" s="6" t="str">
        <f t="shared" si="219"/>
        <v>Aug</v>
      </c>
      <c r="D4718" t="s">
        <v>618</v>
      </c>
      <c r="E4718" t="s">
        <v>26</v>
      </c>
      <c r="F4718" t="s">
        <v>523</v>
      </c>
      <c r="G4718">
        <v>4</v>
      </c>
      <c r="H4718" s="7">
        <v>20</v>
      </c>
      <c r="I4718" t="s">
        <v>21</v>
      </c>
      <c r="J4718" t="s">
        <v>42</v>
      </c>
      <c r="K4718">
        <v>20</v>
      </c>
      <c r="L4718" s="7">
        <f t="shared" si="220"/>
        <v>80</v>
      </c>
      <c r="M4718" s="7"/>
      <c r="O4718">
        <f t="shared" si="221"/>
        <v>2</v>
      </c>
      <c r="Q4718" t="s">
        <v>23</v>
      </c>
    </row>
    <row r="4719" spans="1:17" x14ac:dyDescent="0.3">
      <c r="A4719" t="s">
        <v>5849</v>
      </c>
      <c r="B4719" s="6">
        <v>45158</v>
      </c>
      <c r="C4719" s="6" t="str">
        <f t="shared" si="219"/>
        <v>Aug</v>
      </c>
      <c r="D4719" t="s">
        <v>1101</v>
      </c>
      <c r="E4719" t="s">
        <v>31</v>
      </c>
      <c r="F4719" t="s">
        <v>450</v>
      </c>
      <c r="G4719">
        <v>3</v>
      </c>
      <c r="H4719" s="7">
        <v>386.47</v>
      </c>
      <c r="I4719" t="s">
        <v>32</v>
      </c>
      <c r="J4719" t="s">
        <v>72</v>
      </c>
      <c r="K4719">
        <v>15</v>
      </c>
      <c r="L4719" s="7">
        <f t="shared" si="220"/>
        <v>1159.4100000000001</v>
      </c>
      <c r="M4719" s="7"/>
      <c r="O4719">
        <f t="shared" si="221"/>
        <v>2</v>
      </c>
      <c r="Q4719" t="s">
        <v>33</v>
      </c>
    </row>
    <row r="4720" spans="1:17" x14ac:dyDescent="0.3">
      <c r="A4720" t="s">
        <v>5850</v>
      </c>
      <c r="B4720" s="6">
        <v>45291</v>
      </c>
      <c r="C4720" s="6" t="str">
        <f t="shared" si="219"/>
        <v>Dec</v>
      </c>
      <c r="D4720" t="s">
        <v>740</v>
      </c>
      <c r="E4720" t="s">
        <v>26</v>
      </c>
      <c r="F4720" t="s">
        <v>434</v>
      </c>
      <c r="G4720">
        <v>6</v>
      </c>
      <c r="H4720" s="7">
        <v>312.8</v>
      </c>
      <c r="I4720" t="s">
        <v>19</v>
      </c>
      <c r="J4720" t="s">
        <v>28</v>
      </c>
      <c r="K4720">
        <v>15</v>
      </c>
      <c r="L4720" s="7">
        <f t="shared" si="220"/>
        <v>1876.8000000000002</v>
      </c>
      <c r="M4720" s="7"/>
      <c r="O4720">
        <f t="shared" si="221"/>
        <v>2</v>
      </c>
      <c r="Q4720" t="s">
        <v>19</v>
      </c>
    </row>
    <row r="4721" spans="1:17" x14ac:dyDescent="0.3">
      <c r="A4721" t="s">
        <v>5851</v>
      </c>
      <c r="B4721" s="6">
        <v>45153</v>
      </c>
      <c r="C4721" s="6" t="str">
        <f t="shared" si="219"/>
        <v>Aug</v>
      </c>
      <c r="D4721" t="s">
        <v>1383</v>
      </c>
      <c r="E4721" t="s">
        <v>62</v>
      </c>
      <c r="F4721" t="s">
        <v>538</v>
      </c>
      <c r="G4721">
        <v>3</v>
      </c>
      <c r="H4721" s="7">
        <v>302.67</v>
      </c>
      <c r="I4721" t="s">
        <v>32</v>
      </c>
      <c r="J4721" t="s">
        <v>42</v>
      </c>
      <c r="K4721">
        <v>10</v>
      </c>
      <c r="L4721" s="7">
        <f t="shared" si="220"/>
        <v>908.01</v>
      </c>
      <c r="M4721" s="7"/>
      <c r="O4721">
        <f t="shared" si="221"/>
        <v>2</v>
      </c>
      <c r="Q4721" t="s">
        <v>33</v>
      </c>
    </row>
    <row r="4722" spans="1:17" x14ac:dyDescent="0.3">
      <c r="A4722" t="s">
        <v>5852</v>
      </c>
      <c r="B4722" s="6">
        <v>44934</v>
      </c>
      <c r="C4722" s="6" t="str">
        <f t="shared" si="219"/>
        <v>Jan</v>
      </c>
      <c r="D4722" t="s">
        <v>101</v>
      </c>
      <c r="E4722" t="s">
        <v>50</v>
      </c>
      <c r="F4722" t="s">
        <v>861</v>
      </c>
      <c r="G4722">
        <v>6</v>
      </c>
      <c r="H4722" s="7">
        <v>275.29000000000002</v>
      </c>
      <c r="I4722" t="s">
        <v>64</v>
      </c>
      <c r="J4722" t="s">
        <v>87</v>
      </c>
      <c r="K4722">
        <v>15</v>
      </c>
      <c r="L4722" s="7">
        <f t="shared" si="220"/>
        <v>1651.7400000000002</v>
      </c>
      <c r="M4722" s="7"/>
      <c r="O4722">
        <f t="shared" si="221"/>
        <v>2</v>
      </c>
      <c r="Q4722" t="s">
        <v>65</v>
      </c>
    </row>
    <row r="4723" spans="1:17" x14ac:dyDescent="0.3">
      <c r="A4723" t="s">
        <v>5853</v>
      </c>
      <c r="B4723" s="6">
        <v>45222</v>
      </c>
      <c r="C4723" s="6" t="str">
        <f t="shared" si="219"/>
        <v>Oct</v>
      </c>
      <c r="D4723" t="s">
        <v>717</v>
      </c>
      <c r="E4723" t="s">
        <v>19</v>
      </c>
      <c r="F4723" t="s">
        <v>800</v>
      </c>
      <c r="G4723">
        <v>9</v>
      </c>
      <c r="H4723" s="7">
        <v>297.20999999999998</v>
      </c>
      <c r="I4723" t="s">
        <v>19</v>
      </c>
      <c r="J4723" t="s">
        <v>87</v>
      </c>
      <c r="K4723">
        <v>20</v>
      </c>
      <c r="L4723" s="7">
        <f t="shared" si="220"/>
        <v>2674.89</v>
      </c>
      <c r="M4723" s="7"/>
      <c r="O4723">
        <f t="shared" si="221"/>
        <v>3</v>
      </c>
      <c r="Q4723" t="s">
        <v>19</v>
      </c>
    </row>
    <row r="4724" spans="1:17" x14ac:dyDescent="0.3">
      <c r="A4724" t="s">
        <v>5854</v>
      </c>
      <c r="B4724" s="6">
        <v>45170</v>
      </c>
      <c r="C4724" s="6" t="str">
        <f t="shared" si="219"/>
        <v>Sep</v>
      </c>
      <c r="D4724" t="s">
        <v>626</v>
      </c>
      <c r="E4724" t="s">
        <v>26</v>
      </c>
      <c r="F4724" t="s">
        <v>693</v>
      </c>
      <c r="G4724">
        <v>6</v>
      </c>
      <c r="H4724" s="7">
        <v>467.65</v>
      </c>
      <c r="I4724" t="s">
        <v>32</v>
      </c>
      <c r="J4724" t="s">
        <v>28</v>
      </c>
      <c r="K4724">
        <v>10</v>
      </c>
      <c r="L4724" s="7">
        <f t="shared" si="220"/>
        <v>2805.8999999999996</v>
      </c>
      <c r="M4724" s="7"/>
      <c r="O4724">
        <f t="shared" si="221"/>
        <v>3</v>
      </c>
      <c r="Q4724" t="s">
        <v>33</v>
      </c>
    </row>
    <row r="4725" spans="1:17" x14ac:dyDescent="0.3">
      <c r="A4725" t="s">
        <v>5855</v>
      </c>
      <c r="B4725" s="6">
        <v>44987</v>
      </c>
      <c r="C4725" s="6" t="str">
        <f t="shared" si="219"/>
        <v>Mar</v>
      </c>
      <c r="D4725" t="s">
        <v>596</v>
      </c>
      <c r="E4725" t="s">
        <v>50</v>
      </c>
      <c r="F4725" t="s">
        <v>646</v>
      </c>
      <c r="G4725">
        <v>4</v>
      </c>
      <c r="H4725" s="7">
        <v>9.24</v>
      </c>
      <c r="I4725" t="s">
        <v>19</v>
      </c>
      <c r="J4725" t="s">
        <v>28</v>
      </c>
      <c r="K4725">
        <v>5</v>
      </c>
      <c r="L4725" s="7">
        <f t="shared" si="220"/>
        <v>36.96</v>
      </c>
      <c r="M4725" s="7"/>
      <c r="O4725">
        <f t="shared" si="221"/>
        <v>2</v>
      </c>
      <c r="Q4725" t="s">
        <v>19</v>
      </c>
    </row>
    <row r="4726" spans="1:17" x14ac:dyDescent="0.3">
      <c r="A4726" t="s">
        <v>5856</v>
      </c>
      <c r="B4726" s="6">
        <v>45226</v>
      </c>
      <c r="C4726" s="6" t="str">
        <f t="shared" si="219"/>
        <v>Oct</v>
      </c>
      <c r="D4726" t="s">
        <v>1376</v>
      </c>
      <c r="E4726" t="s">
        <v>40</v>
      </c>
      <c r="F4726" t="s">
        <v>2185</v>
      </c>
      <c r="G4726">
        <v>5</v>
      </c>
      <c r="H4726" s="7">
        <v>28.66</v>
      </c>
      <c r="I4726" t="s">
        <v>21</v>
      </c>
      <c r="J4726" t="s">
        <v>87</v>
      </c>
      <c r="K4726">
        <v>0</v>
      </c>
      <c r="L4726" s="7">
        <f t="shared" si="220"/>
        <v>143.30000000000001</v>
      </c>
      <c r="M4726" s="7"/>
      <c r="O4726">
        <f t="shared" si="221"/>
        <v>2</v>
      </c>
      <c r="Q4726" t="s">
        <v>23</v>
      </c>
    </row>
    <row r="4727" spans="1:17" x14ac:dyDescent="0.3">
      <c r="A4727" t="s">
        <v>5857</v>
      </c>
      <c r="B4727" s="6">
        <v>45107</v>
      </c>
      <c r="C4727" s="6" t="str">
        <f t="shared" si="219"/>
        <v>Jun</v>
      </c>
      <c r="D4727" t="s">
        <v>1546</v>
      </c>
      <c r="E4727" t="s">
        <v>19</v>
      </c>
      <c r="F4727" t="s">
        <v>1618</v>
      </c>
      <c r="G4727">
        <v>6</v>
      </c>
      <c r="H4727" s="7">
        <v>99.79</v>
      </c>
      <c r="I4727" t="s">
        <v>64</v>
      </c>
      <c r="J4727" t="s">
        <v>19</v>
      </c>
      <c r="K4727">
        <v>20</v>
      </c>
      <c r="L4727" s="7">
        <f t="shared" si="220"/>
        <v>598.74</v>
      </c>
      <c r="M4727" s="7"/>
      <c r="O4727">
        <f t="shared" si="221"/>
        <v>2</v>
      </c>
      <c r="Q4727" t="s">
        <v>65</v>
      </c>
    </row>
    <row r="4728" spans="1:17" x14ac:dyDescent="0.3">
      <c r="A4728" t="s">
        <v>5858</v>
      </c>
      <c r="B4728" s="6">
        <v>45009</v>
      </c>
      <c r="C4728" s="6" t="str">
        <f t="shared" si="219"/>
        <v>Mar</v>
      </c>
      <c r="D4728" t="s">
        <v>1122</v>
      </c>
      <c r="E4728" t="s">
        <v>19</v>
      </c>
      <c r="F4728" t="s">
        <v>257</v>
      </c>
      <c r="G4728">
        <v>3</v>
      </c>
      <c r="H4728" s="7">
        <v>87.81</v>
      </c>
      <c r="I4728" t="s">
        <v>46</v>
      </c>
      <c r="J4728" t="s">
        <v>28</v>
      </c>
      <c r="K4728">
        <v>20</v>
      </c>
      <c r="L4728" s="7">
        <f t="shared" si="220"/>
        <v>263.43</v>
      </c>
      <c r="M4728" s="7"/>
      <c r="O4728">
        <f t="shared" si="221"/>
        <v>2</v>
      </c>
      <c r="Q4728" t="s">
        <v>47</v>
      </c>
    </row>
    <row r="4729" spans="1:17" x14ac:dyDescent="0.3">
      <c r="A4729" t="s">
        <v>5859</v>
      </c>
      <c r="B4729" s="6">
        <v>45133</v>
      </c>
      <c r="C4729" s="6" t="str">
        <f t="shared" si="219"/>
        <v>Jul</v>
      </c>
      <c r="D4729" t="s">
        <v>4209</v>
      </c>
      <c r="E4729" t="s">
        <v>36</v>
      </c>
      <c r="F4729" t="s">
        <v>63</v>
      </c>
      <c r="G4729">
        <v>8</v>
      </c>
      <c r="H4729" s="7">
        <v>94.69</v>
      </c>
      <c r="I4729" t="s">
        <v>103</v>
      </c>
      <c r="J4729" t="s">
        <v>22</v>
      </c>
      <c r="K4729">
        <v>0</v>
      </c>
      <c r="L4729" s="7">
        <f t="shared" si="220"/>
        <v>757.52</v>
      </c>
      <c r="M4729" s="7"/>
      <c r="O4729">
        <f t="shared" si="221"/>
        <v>2</v>
      </c>
      <c r="Q4729" t="s">
        <v>104</v>
      </c>
    </row>
    <row r="4730" spans="1:17" x14ac:dyDescent="0.3">
      <c r="A4730" t="s">
        <v>5860</v>
      </c>
      <c r="B4730" s="6">
        <v>45144</v>
      </c>
      <c r="C4730" s="6" t="str">
        <f t="shared" si="219"/>
        <v>Aug</v>
      </c>
      <c r="D4730" t="s">
        <v>2556</v>
      </c>
      <c r="E4730" t="s">
        <v>50</v>
      </c>
      <c r="F4730" t="s">
        <v>270</v>
      </c>
      <c r="G4730">
        <v>4</v>
      </c>
      <c r="H4730" s="7">
        <v>337.61</v>
      </c>
      <c r="I4730" t="s">
        <v>103</v>
      </c>
      <c r="J4730" t="s">
        <v>19</v>
      </c>
      <c r="K4730">
        <v>0</v>
      </c>
      <c r="L4730" s="7">
        <f t="shared" si="220"/>
        <v>1350.44</v>
      </c>
      <c r="M4730" s="7"/>
      <c r="O4730">
        <f t="shared" si="221"/>
        <v>2</v>
      </c>
      <c r="Q4730" t="s">
        <v>104</v>
      </c>
    </row>
    <row r="4731" spans="1:17" x14ac:dyDescent="0.3">
      <c r="A4731" t="s">
        <v>5861</v>
      </c>
      <c r="B4731" s="6">
        <v>45242</v>
      </c>
      <c r="C4731" s="6" t="str">
        <f t="shared" si="219"/>
        <v>Nov</v>
      </c>
      <c r="D4731" t="s">
        <v>2556</v>
      </c>
      <c r="E4731" t="s">
        <v>50</v>
      </c>
      <c r="F4731" t="s">
        <v>90</v>
      </c>
      <c r="G4731">
        <v>8</v>
      </c>
      <c r="H4731" s="7">
        <v>232.44</v>
      </c>
      <c r="I4731" t="s">
        <v>21</v>
      </c>
      <c r="J4731" t="s">
        <v>87</v>
      </c>
      <c r="K4731">
        <v>5</v>
      </c>
      <c r="L4731" s="7">
        <f t="shared" si="220"/>
        <v>1859.52</v>
      </c>
      <c r="M4731" s="7"/>
      <c r="O4731">
        <f t="shared" si="221"/>
        <v>2</v>
      </c>
      <c r="Q4731" t="s">
        <v>23</v>
      </c>
    </row>
    <row r="4732" spans="1:17" x14ac:dyDescent="0.3">
      <c r="A4732" t="s">
        <v>5862</v>
      </c>
      <c r="B4732" s="6">
        <v>45142</v>
      </c>
      <c r="C4732" s="6" t="str">
        <f t="shared" si="219"/>
        <v>Aug</v>
      </c>
      <c r="D4732" t="s">
        <v>2454</v>
      </c>
      <c r="E4732" t="s">
        <v>36</v>
      </c>
      <c r="F4732" t="s">
        <v>706</v>
      </c>
      <c r="G4732">
        <v>3</v>
      </c>
      <c r="H4732" s="7">
        <v>495.93</v>
      </c>
      <c r="I4732" t="s">
        <v>64</v>
      </c>
      <c r="J4732" t="s">
        <v>28</v>
      </c>
      <c r="K4732">
        <v>5</v>
      </c>
      <c r="L4732" s="7">
        <f t="shared" si="220"/>
        <v>1487.79</v>
      </c>
      <c r="M4732" s="7"/>
      <c r="O4732">
        <f t="shared" si="221"/>
        <v>2</v>
      </c>
      <c r="Q4732" t="s">
        <v>65</v>
      </c>
    </row>
    <row r="4733" spans="1:17" x14ac:dyDescent="0.3">
      <c r="A4733" t="s">
        <v>5863</v>
      </c>
      <c r="B4733" s="6">
        <v>45145</v>
      </c>
      <c r="C4733" s="6" t="str">
        <f t="shared" si="219"/>
        <v>Aug</v>
      </c>
      <c r="D4733" t="s">
        <v>1740</v>
      </c>
      <c r="E4733" t="s">
        <v>50</v>
      </c>
      <c r="F4733" t="s">
        <v>665</v>
      </c>
      <c r="G4733">
        <v>7</v>
      </c>
      <c r="H4733" s="7">
        <v>117.31</v>
      </c>
      <c r="I4733" t="s">
        <v>32</v>
      </c>
      <c r="J4733" t="s">
        <v>42</v>
      </c>
      <c r="K4733">
        <v>5</v>
      </c>
      <c r="L4733" s="7">
        <f t="shared" si="220"/>
        <v>821.17000000000007</v>
      </c>
      <c r="M4733" s="7"/>
      <c r="O4733">
        <f t="shared" si="221"/>
        <v>2</v>
      </c>
      <c r="Q4733" t="s">
        <v>33</v>
      </c>
    </row>
    <row r="4734" spans="1:17" x14ac:dyDescent="0.3">
      <c r="A4734" t="s">
        <v>5864</v>
      </c>
      <c r="B4734" s="6">
        <v>44951</v>
      </c>
      <c r="C4734" s="6" t="str">
        <f t="shared" si="219"/>
        <v>Jan</v>
      </c>
      <c r="D4734" t="s">
        <v>846</v>
      </c>
      <c r="E4734" t="s">
        <v>26</v>
      </c>
      <c r="F4734" t="s">
        <v>398</v>
      </c>
      <c r="G4734">
        <v>9</v>
      </c>
      <c r="H4734" s="7">
        <v>158.86000000000001</v>
      </c>
      <c r="I4734" t="s">
        <v>21</v>
      </c>
      <c r="J4734" t="s">
        <v>22</v>
      </c>
      <c r="K4734">
        <v>15</v>
      </c>
      <c r="L4734" s="7">
        <f t="shared" si="220"/>
        <v>1429.7400000000002</v>
      </c>
      <c r="M4734" s="7"/>
      <c r="O4734">
        <f t="shared" si="221"/>
        <v>2</v>
      </c>
      <c r="Q4734" t="s">
        <v>23</v>
      </c>
    </row>
    <row r="4735" spans="1:17" x14ac:dyDescent="0.3">
      <c r="A4735" t="s">
        <v>5865</v>
      </c>
      <c r="B4735" s="6">
        <v>45076</v>
      </c>
      <c r="C4735" s="6" t="str">
        <f t="shared" si="219"/>
        <v>May</v>
      </c>
      <c r="D4735" t="s">
        <v>393</v>
      </c>
      <c r="E4735" t="s">
        <v>19</v>
      </c>
      <c r="F4735" t="s">
        <v>627</v>
      </c>
      <c r="G4735">
        <v>4</v>
      </c>
      <c r="H4735" s="7">
        <v>492.2</v>
      </c>
      <c r="I4735" t="s">
        <v>32</v>
      </c>
      <c r="J4735" t="s">
        <v>72</v>
      </c>
      <c r="K4735">
        <v>20</v>
      </c>
      <c r="L4735" s="7">
        <f t="shared" si="220"/>
        <v>1968.8</v>
      </c>
      <c r="M4735" s="7"/>
      <c r="O4735">
        <f t="shared" si="221"/>
        <v>2</v>
      </c>
      <c r="Q4735" t="s">
        <v>33</v>
      </c>
    </row>
    <row r="4736" spans="1:17" x14ac:dyDescent="0.3">
      <c r="A4736" t="s">
        <v>5866</v>
      </c>
      <c r="B4736" s="6">
        <v>45102</v>
      </c>
      <c r="C4736" s="6" t="str">
        <f t="shared" si="219"/>
        <v>Jun</v>
      </c>
      <c r="D4736" t="s">
        <v>3913</v>
      </c>
      <c r="E4736" t="s">
        <v>19</v>
      </c>
      <c r="F4736" t="s">
        <v>107</v>
      </c>
      <c r="G4736">
        <v>8</v>
      </c>
      <c r="H4736" s="7">
        <v>416.72</v>
      </c>
      <c r="I4736" t="s">
        <v>103</v>
      </c>
      <c r="J4736" t="s">
        <v>19</v>
      </c>
      <c r="K4736">
        <v>10</v>
      </c>
      <c r="L4736" s="7">
        <f t="shared" si="220"/>
        <v>3333.76</v>
      </c>
      <c r="M4736" s="7"/>
      <c r="O4736">
        <f t="shared" si="221"/>
        <v>4</v>
      </c>
      <c r="Q4736" t="s">
        <v>104</v>
      </c>
    </row>
    <row r="4737" spans="1:17" x14ac:dyDescent="0.3">
      <c r="A4737" t="s">
        <v>5867</v>
      </c>
      <c r="B4737" s="6">
        <v>45073</v>
      </c>
      <c r="C4737" s="6" t="str">
        <f t="shared" si="219"/>
        <v>May</v>
      </c>
      <c r="D4737" t="s">
        <v>4048</v>
      </c>
      <c r="E4737" t="s">
        <v>62</v>
      </c>
      <c r="F4737" t="s">
        <v>359</v>
      </c>
      <c r="G4737">
        <v>3</v>
      </c>
      <c r="H4737" s="7">
        <v>237.55</v>
      </c>
      <c r="I4737" t="s">
        <v>19</v>
      </c>
      <c r="J4737" t="s">
        <v>28</v>
      </c>
      <c r="K4737">
        <v>0</v>
      </c>
      <c r="L4737" s="7">
        <f t="shared" si="220"/>
        <v>712.65000000000009</v>
      </c>
      <c r="M4737" s="7"/>
      <c r="O4737">
        <f t="shared" si="221"/>
        <v>2</v>
      </c>
      <c r="Q4737" t="s">
        <v>19</v>
      </c>
    </row>
    <row r="4738" spans="1:17" x14ac:dyDescent="0.3">
      <c r="A4738" t="s">
        <v>5868</v>
      </c>
      <c r="B4738" s="6">
        <v>45256</v>
      </c>
      <c r="C4738" s="6" t="str">
        <f t="shared" si="219"/>
        <v>Nov</v>
      </c>
      <c r="D4738" t="s">
        <v>1391</v>
      </c>
      <c r="E4738" t="s">
        <v>31</v>
      </c>
      <c r="F4738" t="s">
        <v>417</v>
      </c>
      <c r="G4738">
        <v>7</v>
      </c>
      <c r="H4738" s="7">
        <v>279.52999999999997</v>
      </c>
      <c r="I4738" t="s">
        <v>21</v>
      </c>
      <c r="J4738" t="s">
        <v>19</v>
      </c>
      <c r="K4738">
        <v>20</v>
      </c>
      <c r="L4738" s="7">
        <f t="shared" si="220"/>
        <v>1956.7099999999998</v>
      </c>
      <c r="M4738" s="7"/>
      <c r="O4738">
        <f t="shared" si="221"/>
        <v>2</v>
      </c>
      <c r="Q4738" t="s">
        <v>23</v>
      </c>
    </row>
    <row r="4739" spans="1:17" x14ac:dyDescent="0.3">
      <c r="A4739" t="s">
        <v>5869</v>
      </c>
      <c r="B4739" s="6">
        <v>45175</v>
      </c>
      <c r="C4739" s="6" t="str">
        <f t="shared" ref="C4739:C4802" si="222">TEXT(B4739,"MMM")</f>
        <v>Sep</v>
      </c>
      <c r="D4739" t="s">
        <v>3480</v>
      </c>
      <c r="E4739" t="s">
        <v>19</v>
      </c>
      <c r="F4739" t="s">
        <v>511</v>
      </c>
      <c r="G4739">
        <v>3</v>
      </c>
      <c r="H4739" s="7">
        <v>422.37</v>
      </c>
      <c r="I4739" t="s">
        <v>64</v>
      </c>
      <c r="J4739" t="s">
        <v>22</v>
      </c>
      <c r="K4739">
        <v>20</v>
      </c>
      <c r="L4739" s="7">
        <f t="shared" ref="L4739:L4802" si="223">G4739*H4739</f>
        <v>1267.1100000000001</v>
      </c>
      <c r="M4739" s="7"/>
      <c r="O4739">
        <f t="shared" si="221"/>
        <v>2</v>
      </c>
      <c r="Q4739" t="s">
        <v>65</v>
      </c>
    </row>
    <row r="4740" spans="1:17" x14ac:dyDescent="0.3">
      <c r="A4740" t="s">
        <v>5870</v>
      </c>
      <c r="B4740" s="6">
        <v>44964</v>
      </c>
      <c r="C4740" s="6" t="str">
        <f t="shared" si="222"/>
        <v>Feb</v>
      </c>
      <c r="D4740" t="s">
        <v>2022</v>
      </c>
      <c r="E4740" t="s">
        <v>26</v>
      </c>
      <c r="F4740" t="s">
        <v>134</v>
      </c>
      <c r="G4740">
        <v>7</v>
      </c>
      <c r="H4740" s="7">
        <v>243.09</v>
      </c>
      <c r="I4740" t="s">
        <v>64</v>
      </c>
      <c r="J4740" t="s">
        <v>19</v>
      </c>
      <c r="K4740">
        <v>5</v>
      </c>
      <c r="L4740" s="7">
        <f t="shared" si="223"/>
        <v>1701.63</v>
      </c>
      <c r="M4740" s="7"/>
      <c r="O4740">
        <f t="shared" ref="O4740:O4803" si="224">IF(L4740&gt;3500,5,IF(L4740&gt;3000,4,IF(L4740&gt;2500,3,IF(L4740&gt;2000,2,IF(L4740&gt;1000,2,2)))))</f>
        <v>2</v>
      </c>
      <c r="Q4740" t="s">
        <v>65</v>
      </c>
    </row>
    <row r="4741" spans="1:17" x14ac:dyDescent="0.3">
      <c r="A4741" t="s">
        <v>5871</v>
      </c>
      <c r="B4741" s="6">
        <v>45020</v>
      </c>
      <c r="C4741" s="6" t="str">
        <f t="shared" si="222"/>
        <v>Apr</v>
      </c>
      <c r="D4741" t="s">
        <v>508</v>
      </c>
      <c r="E4741" t="s">
        <v>19</v>
      </c>
      <c r="F4741" t="s">
        <v>983</v>
      </c>
      <c r="G4741">
        <v>6</v>
      </c>
      <c r="H4741" s="7">
        <v>106.98</v>
      </c>
      <c r="I4741" t="s">
        <v>64</v>
      </c>
      <c r="J4741" t="s">
        <v>87</v>
      </c>
      <c r="K4741">
        <v>5</v>
      </c>
      <c r="L4741" s="7">
        <f t="shared" si="223"/>
        <v>641.88</v>
      </c>
      <c r="M4741" s="7"/>
      <c r="O4741">
        <f t="shared" si="224"/>
        <v>2</v>
      </c>
      <c r="Q4741" t="s">
        <v>65</v>
      </c>
    </row>
    <row r="4742" spans="1:17" x14ac:dyDescent="0.3">
      <c r="A4742" t="s">
        <v>5872</v>
      </c>
      <c r="B4742" s="6">
        <v>45086</v>
      </c>
      <c r="C4742" s="6" t="str">
        <f t="shared" si="222"/>
        <v>Jun</v>
      </c>
      <c r="D4742" t="s">
        <v>3588</v>
      </c>
      <c r="E4742" t="s">
        <v>40</v>
      </c>
      <c r="F4742" t="s">
        <v>900</v>
      </c>
      <c r="G4742">
        <v>2</v>
      </c>
      <c r="H4742" s="7">
        <v>415.08</v>
      </c>
      <c r="I4742" t="s">
        <v>19</v>
      </c>
      <c r="J4742" t="s">
        <v>19</v>
      </c>
      <c r="K4742">
        <v>20</v>
      </c>
      <c r="L4742" s="7">
        <f t="shared" si="223"/>
        <v>830.16</v>
      </c>
      <c r="M4742" s="7"/>
      <c r="O4742">
        <f t="shared" si="224"/>
        <v>2</v>
      </c>
      <c r="Q4742" t="s">
        <v>19</v>
      </c>
    </row>
    <row r="4743" spans="1:17" x14ac:dyDescent="0.3">
      <c r="A4743" t="s">
        <v>5873</v>
      </c>
      <c r="B4743" s="6">
        <v>45291</v>
      </c>
      <c r="C4743" s="6" t="str">
        <f t="shared" si="222"/>
        <v>Dec</v>
      </c>
      <c r="D4743" t="s">
        <v>2634</v>
      </c>
      <c r="E4743" t="s">
        <v>40</v>
      </c>
      <c r="F4743" t="s">
        <v>732</v>
      </c>
      <c r="G4743">
        <v>5</v>
      </c>
      <c r="H4743" s="7">
        <v>271.2</v>
      </c>
      <c r="I4743" t="s">
        <v>46</v>
      </c>
      <c r="J4743" t="s">
        <v>22</v>
      </c>
      <c r="K4743">
        <v>5</v>
      </c>
      <c r="L4743" s="7">
        <f t="shared" si="223"/>
        <v>1356</v>
      </c>
      <c r="M4743" s="7"/>
      <c r="O4743">
        <f t="shared" si="224"/>
        <v>2</v>
      </c>
      <c r="Q4743" t="s">
        <v>47</v>
      </c>
    </row>
    <row r="4744" spans="1:17" x14ac:dyDescent="0.3">
      <c r="A4744" t="s">
        <v>5874</v>
      </c>
      <c r="B4744" s="6">
        <v>45232</v>
      </c>
      <c r="C4744" s="6" t="str">
        <f t="shared" si="222"/>
        <v>Nov</v>
      </c>
      <c r="D4744" t="s">
        <v>3009</v>
      </c>
      <c r="E4744" t="s">
        <v>26</v>
      </c>
      <c r="F4744" t="s">
        <v>586</v>
      </c>
      <c r="G4744">
        <v>6</v>
      </c>
      <c r="H4744" s="7">
        <v>80.760000000000005</v>
      </c>
      <c r="I4744" t="s">
        <v>21</v>
      </c>
      <c r="J4744" t="s">
        <v>87</v>
      </c>
      <c r="K4744">
        <v>15</v>
      </c>
      <c r="L4744" s="7">
        <f t="shared" si="223"/>
        <v>484.56000000000006</v>
      </c>
      <c r="M4744" s="7"/>
      <c r="O4744">
        <f t="shared" si="224"/>
        <v>2</v>
      </c>
      <c r="Q4744" t="s">
        <v>23</v>
      </c>
    </row>
    <row r="4745" spans="1:17" x14ac:dyDescent="0.3">
      <c r="A4745" t="s">
        <v>5875</v>
      </c>
      <c r="B4745" s="6">
        <v>45286</v>
      </c>
      <c r="C4745" s="6" t="str">
        <f t="shared" si="222"/>
        <v>Dec</v>
      </c>
      <c r="D4745" t="s">
        <v>1236</v>
      </c>
      <c r="E4745" t="s">
        <v>50</v>
      </c>
      <c r="F4745" t="s">
        <v>434</v>
      </c>
      <c r="G4745">
        <v>4</v>
      </c>
      <c r="H4745" s="7">
        <v>255.26</v>
      </c>
      <c r="I4745" t="s">
        <v>64</v>
      </c>
      <c r="J4745" t="s">
        <v>22</v>
      </c>
      <c r="K4745">
        <v>0</v>
      </c>
      <c r="L4745" s="7">
        <f t="shared" si="223"/>
        <v>1021.04</v>
      </c>
      <c r="M4745" s="7"/>
      <c r="O4745">
        <f t="shared" si="224"/>
        <v>2</v>
      </c>
      <c r="Q4745" t="s">
        <v>65</v>
      </c>
    </row>
    <row r="4746" spans="1:17" x14ac:dyDescent="0.3">
      <c r="A4746" t="s">
        <v>5876</v>
      </c>
      <c r="B4746" s="6">
        <v>45159</v>
      </c>
      <c r="C4746" s="6" t="str">
        <f t="shared" si="222"/>
        <v>Aug</v>
      </c>
      <c r="D4746" t="s">
        <v>841</v>
      </c>
      <c r="E4746" t="s">
        <v>36</v>
      </c>
      <c r="F4746" t="s">
        <v>131</v>
      </c>
      <c r="G4746">
        <v>6</v>
      </c>
      <c r="H4746" s="7">
        <v>209.54</v>
      </c>
      <c r="I4746" t="s">
        <v>19</v>
      </c>
      <c r="J4746" t="s">
        <v>72</v>
      </c>
      <c r="K4746">
        <v>20</v>
      </c>
      <c r="L4746" s="7">
        <f t="shared" si="223"/>
        <v>1257.24</v>
      </c>
      <c r="M4746" s="7"/>
      <c r="O4746">
        <f t="shared" si="224"/>
        <v>2</v>
      </c>
      <c r="Q4746" t="s">
        <v>19</v>
      </c>
    </row>
    <row r="4747" spans="1:17" x14ac:dyDescent="0.3">
      <c r="A4747" t="s">
        <v>5877</v>
      </c>
      <c r="B4747" s="6">
        <v>45235</v>
      </c>
      <c r="C4747" s="6" t="str">
        <f t="shared" si="222"/>
        <v>Nov</v>
      </c>
      <c r="D4747" t="s">
        <v>2201</v>
      </c>
      <c r="E4747" t="s">
        <v>26</v>
      </c>
      <c r="F4747" t="s">
        <v>198</v>
      </c>
      <c r="G4747">
        <v>1</v>
      </c>
      <c r="H4747" s="7">
        <v>439.04</v>
      </c>
      <c r="I4747" t="s">
        <v>21</v>
      </c>
      <c r="J4747" t="s">
        <v>22</v>
      </c>
      <c r="K4747">
        <v>0</v>
      </c>
      <c r="L4747" s="7">
        <f t="shared" si="223"/>
        <v>439.04</v>
      </c>
      <c r="M4747" s="7"/>
      <c r="O4747">
        <f t="shared" si="224"/>
        <v>2</v>
      </c>
      <c r="Q4747" t="s">
        <v>23</v>
      </c>
    </row>
    <row r="4748" spans="1:17" x14ac:dyDescent="0.3">
      <c r="A4748" t="s">
        <v>5878</v>
      </c>
      <c r="B4748" s="6">
        <v>45057</v>
      </c>
      <c r="C4748" s="6" t="str">
        <f t="shared" si="222"/>
        <v>May</v>
      </c>
      <c r="D4748" t="s">
        <v>1015</v>
      </c>
      <c r="E4748" t="s">
        <v>19</v>
      </c>
      <c r="F4748" t="s">
        <v>231</v>
      </c>
      <c r="G4748">
        <v>1</v>
      </c>
      <c r="H4748" s="7">
        <v>252.16</v>
      </c>
      <c r="I4748" t="s">
        <v>32</v>
      </c>
      <c r="J4748" t="s">
        <v>42</v>
      </c>
      <c r="K4748">
        <v>15</v>
      </c>
      <c r="L4748" s="7">
        <f t="shared" si="223"/>
        <v>252.16</v>
      </c>
      <c r="M4748" s="7"/>
      <c r="O4748">
        <f t="shared" si="224"/>
        <v>2</v>
      </c>
      <c r="Q4748" t="s">
        <v>33</v>
      </c>
    </row>
    <row r="4749" spans="1:17" x14ac:dyDescent="0.3">
      <c r="A4749" t="s">
        <v>5879</v>
      </c>
      <c r="B4749" s="6">
        <v>45136</v>
      </c>
      <c r="C4749" s="6" t="str">
        <f t="shared" si="222"/>
        <v>Jul</v>
      </c>
      <c r="D4749" t="s">
        <v>3354</v>
      </c>
      <c r="E4749" t="s">
        <v>19</v>
      </c>
      <c r="F4749" t="s">
        <v>179</v>
      </c>
      <c r="G4749">
        <v>3</v>
      </c>
      <c r="H4749" s="7">
        <v>438.23</v>
      </c>
      <c r="I4749" t="s">
        <v>19</v>
      </c>
      <c r="J4749" t="s">
        <v>87</v>
      </c>
      <c r="K4749">
        <v>5</v>
      </c>
      <c r="L4749" s="7">
        <f t="shared" si="223"/>
        <v>1314.69</v>
      </c>
      <c r="M4749" s="7"/>
      <c r="O4749">
        <f t="shared" si="224"/>
        <v>2</v>
      </c>
      <c r="Q4749" t="s">
        <v>19</v>
      </c>
    </row>
    <row r="4750" spans="1:17" x14ac:dyDescent="0.3">
      <c r="A4750" t="s">
        <v>5880</v>
      </c>
      <c r="B4750" s="6">
        <v>45043</v>
      </c>
      <c r="C4750" s="6" t="str">
        <f t="shared" si="222"/>
        <v>Apr</v>
      </c>
      <c r="D4750" t="s">
        <v>546</v>
      </c>
      <c r="E4750" t="s">
        <v>36</v>
      </c>
      <c r="F4750" t="s">
        <v>432</v>
      </c>
      <c r="G4750">
        <v>8</v>
      </c>
      <c r="H4750" s="7">
        <v>258.54000000000002</v>
      </c>
      <c r="I4750" t="s">
        <v>64</v>
      </c>
      <c r="J4750" t="s">
        <v>42</v>
      </c>
      <c r="K4750">
        <v>10</v>
      </c>
      <c r="L4750" s="7">
        <f t="shared" si="223"/>
        <v>2068.3200000000002</v>
      </c>
      <c r="M4750" s="7"/>
      <c r="O4750">
        <f t="shared" si="224"/>
        <v>2</v>
      </c>
      <c r="Q4750" t="s">
        <v>65</v>
      </c>
    </row>
    <row r="4751" spans="1:17" x14ac:dyDescent="0.3">
      <c r="A4751" t="s">
        <v>5881</v>
      </c>
      <c r="B4751" s="6">
        <v>45259</v>
      </c>
      <c r="C4751" s="6" t="str">
        <f t="shared" si="222"/>
        <v>Nov</v>
      </c>
      <c r="D4751" t="s">
        <v>492</v>
      </c>
      <c r="E4751" t="s">
        <v>62</v>
      </c>
      <c r="F4751" t="s">
        <v>665</v>
      </c>
      <c r="G4751">
        <v>8</v>
      </c>
      <c r="H4751" s="7">
        <v>205.16</v>
      </c>
      <c r="I4751" t="s">
        <v>19</v>
      </c>
      <c r="J4751" t="s">
        <v>72</v>
      </c>
      <c r="K4751">
        <v>15</v>
      </c>
      <c r="L4751" s="7">
        <f t="shared" si="223"/>
        <v>1641.28</v>
      </c>
      <c r="M4751" s="7"/>
      <c r="O4751">
        <f t="shared" si="224"/>
        <v>2</v>
      </c>
      <c r="Q4751" t="s">
        <v>19</v>
      </c>
    </row>
    <row r="4752" spans="1:17" x14ac:dyDescent="0.3">
      <c r="A4752" t="s">
        <v>5882</v>
      </c>
      <c r="B4752" s="6">
        <v>44961</v>
      </c>
      <c r="C4752" s="6" t="str">
        <f t="shared" si="222"/>
        <v>Feb</v>
      </c>
      <c r="D4752" t="s">
        <v>492</v>
      </c>
      <c r="E4752" t="s">
        <v>36</v>
      </c>
      <c r="F4752" t="s">
        <v>730</v>
      </c>
      <c r="G4752">
        <v>5</v>
      </c>
      <c r="H4752" s="7">
        <v>85.17</v>
      </c>
      <c r="I4752" t="s">
        <v>46</v>
      </c>
      <c r="J4752" t="s">
        <v>87</v>
      </c>
      <c r="K4752">
        <v>10</v>
      </c>
      <c r="L4752" s="7">
        <f t="shared" si="223"/>
        <v>425.85</v>
      </c>
      <c r="M4752" s="7"/>
      <c r="O4752">
        <f t="shared" si="224"/>
        <v>2</v>
      </c>
      <c r="Q4752" t="s">
        <v>47</v>
      </c>
    </row>
    <row r="4753" spans="1:17" x14ac:dyDescent="0.3">
      <c r="A4753" t="s">
        <v>5883</v>
      </c>
      <c r="B4753" s="6">
        <v>45080</v>
      </c>
      <c r="C4753" s="6" t="str">
        <f t="shared" si="222"/>
        <v>Jun</v>
      </c>
      <c r="D4753" t="s">
        <v>873</v>
      </c>
      <c r="E4753" t="s">
        <v>26</v>
      </c>
      <c r="F4753" t="s">
        <v>63</v>
      </c>
      <c r="G4753">
        <v>6</v>
      </c>
      <c r="H4753" s="7">
        <v>351.9</v>
      </c>
      <c r="I4753" t="s">
        <v>103</v>
      </c>
      <c r="J4753" t="s">
        <v>42</v>
      </c>
      <c r="K4753">
        <v>0</v>
      </c>
      <c r="L4753" s="7">
        <f t="shared" si="223"/>
        <v>2111.3999999999996</v>
      </c>
      <c r="M4753" s="7"/>
      <c r="O4753">
        <f t="shared" si="224"/>
        <v>2</v>
      </c>
      <c r="Q4753" t="s">
        <v>104</v>
      </c>
    </row>
    <row r="4754" spans="1:17" x14ac:dyDescent="0.3">
      <c r="A4754" t="s">
        <v>5884</v>
      </c>
      <c r="B4754" s="6">
        <v>45261</v>
      </c>
      <c r="C4754" s="6" t="str">
        <f t="shared" si="222"/>
        <v>Dec</v>
      </c>
      <c r="D4754" t="s">
        <v>3049</v>
      </c>
      <c r="E4754" t="s">
        <v>50</v>
      </c>
      <c r="F4754" t="s">
        <v>556</v>
      </c>
      <c r="G4754">
        <v>8</v>
      </c>
      <c r="H4754" s="7">
        <v>463.77</v>
      </c>
      <c r="I4754" t="s">
        <v>46</v>
      </c>
      <c r="J4754" t="s">
        <v>19</v>
      </c>
      <c r="K4754">
        <v>20</v>
      </c>
      <c r="L4754" s="7">
        <f t="shared" si="223"/>
        <v>3710.16</v>
      </c>
      <c r="M4754" s="7"/>
      <c r="O4754">
        <f t="shared" si="224"/>
        <v>5</v>
      </c>
      <c r="Q4754" t="s">
        <v>47</v>
      </c>
    </row>
    <row r="4755" spans="1:17" x14ac:dyDescent="0.3">
      <c r="A4755" t="s">
        <v>5885</v>
      </c>
      <c r="B4755" s="6">
        <v>44932</v>
      </c>
      <c r="C4755" s="6" t="str">
        <f t="shared" si="222"/>
        <v>Jan</v>
      </c>
      <c r="D4755" t="s">
        <v>2112</v>
      </c>
      <c r="E4755" t="s">
        <v>36</v>
      </c>
      <c r="F4755" t="s">
        <v>131</v>
      </c>
      <c r="G4755">
        <v>7</v>
      </c>
      <c r="H4755" s="7">
        <v>190.81</v>
      </c>
      <c r="I4755" t="s">
        <v>21</v>
      </c>
      <c r="J4755" t="s">
        <v>28</v>
      </c>
      <c r="K4755">
        <v>5</v>
      </c>
      <c r="L4755" s="7">
        <f t="shared" si="223"/>
        <v>1335.67</v>
      </c>
      <c r="M4755" s="7"/>
      <c r="O4755">
        <f t="shared" si="224"/>
        <v>2</v>
      </c>
      <c r="Q4755" t="s">
        <v>23</v>
      </c>
    </row>
    <row r="4756" spans="1:17" x14ac:dyDescent="0.3">
      <c r="A4756" t="s">
        <v>5886</v>
      </c>
      <c r="B4756" s="6">
        <v>45112</v>
      </c>
      <c r="C4756" s="6" t="str">
        <f t="shared" si="222"/>
        <v>Jul</v>
      </c>
      <c r="D4756" t="s">
        <v>5035</v>
      </c>
      <c r="E4756" t="s">
        <v>31</v>
      </c>
      <c r="F4756" t="s">
        <v>861</v>
      </c>
      <c r="G4756">
        <v>7</v>
      </c>
      <c r="H4756" s="7">
        <v>124.58</v>
      </c>
      <c r="I4756" t="s">
        <v>46</v>
      </c>
      <c r="J4756" t="s">
        <v>72</v>
      </c>
      <c r="K4756">
        <v>15</v>
      </c>
      <c r="L4756" s="7">
        <f t="shared" si="223"/>
        <v>872.06</v>
      </c>
      <c r="M4756" s="7"/>
      <c r="O4756">
        <f t="shared" si="224"/>
        <v>2</v>
      </c>
      <c r="Q4756" t="s">
        <v>47</v>
      </c>
    </row>
    <row r="4757" spans="1:17" x14ac:dyDescent="0.3">
      <c r="A4757" t="s">
        <v>5887</v>
      </c>
      <c r="B4757" s="6">
        <v>45248</v>
      </c>
      <c r="C4757" s="6" t="str">
        <f t="shared" si="222"/>
        <v>Nov</v>
      </c>
      <c r="D4757" t="s">
        <v>930</v>
      </c>
      <c r="E4757" t="s">
        <v>36</v>
      </c>
      <c r="F4757" t="s">
        <v>295</v>
      </c>
      <c r="G4757">
        <v>4</v>
      </c>
      <c r="H4757" s="7">
        <v>279.66000000000003</v>
      </c>
      <c r="I4757" t="s">
        <v>46</v>
      </c>
      <c r="J4757" t="s">
        <v>19</v>
      </c>
      <c r="K4757">
        <v>5</v>
      </c>
      <c r="L4757" s="7">
        <f t="shared" si="223"/>
        <v>1118.6400000000001</v>
      </c>
      <c r="M4757" s="7"/>
      <c r="O4757">
        <f t="shared" si="224"/>
        <v>2</v>
      </c>
      <c r="Q4757" t="s">
        <v>47</v>
      </c>
    </row>
    <row r="4758" spans="1:17" x14ac:dyDescent="0.3">
      <c r="A4758" t="s">
        <v>5888</v>
      </c>
      <c r="B4758" s="6">
        <v>44984</v>
      </c>
      <c r="C4758" s="6" t="str">
        <f t="shared" si="222"/>
        <v>Feb</v>
      </c>
      <c r="D4758" t="s">
        <v>2691</v>
      </c>
      <c r="E4758" t="s">
        <v>19</v>
      </c>
      <c r="F4758" t="s">
        <v>298</v>
      </c>
      <c r="G4758">
        <v>9</v>
      </c>
      <c r="H4758" s="7">
        <v>399.11</v>
      </c>
      <c r="I4758" t="s">
        <v>21</v>
      </c>
      <c r="J4758" t="s">
        <v>22</v>
      </c>
      <c r="K4758">
        <v>10</v>
      </c>
      <c r="L4758" s="7">
        <f t="shared" si="223"/>
        <v>3591.9900000000002</v>
      </c>
      <c r="M4758" s="7"/>
      <c r="O4758">
        <f t="shared" si="224"/>
        <v>5</v>
      </c>
      <c r="Q4758" t="s">
        <v>23</v>
      </c>
    </row>
    <row r="4759" spans="1:17" x14ac:dyDescent="0.3">
      <c r="A4759" t="s">
        <v>5889</v>
      </c>
      <c r="B4759" s="6">
        <v>45059</v>
      </c>
      <c r="C4759" s="6" t="str">
        <f t="shared" si="222"/>
        <v>May</v>
      </c>
      <c r="D4759" t="s">
        <v>1187</v>
      </c>
      <c r="E4759" t="s">
        <v>26</v>
      </c>
      <c r="F4759" t="s">
        <v>325</v>
      </c>
      <c r="G4759">
        <v>6</v>
      </c>
      <c r="H4759" s="7">
        <v>6.87</v>
      </c>
      <c r="I4759" t="s">
        <v>46</v>
      </c>
      <c r="J4759" t="s">
        <v>72</v>
      </c>
      <c r="K4759">
        <v>10</v>
      </c>
      <c r="L4759" s="7">
        <f t="shared" si="223"/>
        <v>41.22</v>
      </c>
      <c r="M4759" s="7"/>
      <c r="O4759">
        <f t="shared" si="224"/>
        <v>2</v>
      </c>
      <c r="Q4759" t="s">
        <v>47</v>
      </c>
    </row>
    <row r="4760" spans="1:17" x14ac:dyDescent="0.3">
      <c r="A4760" t="s">
        <v>5890</v>
      </c>
      <c r="B4760" s="6">
        <v>45205</v>
      </c>
      <c r="C4760" s="6" t="str">
        <f t="shared" si="222"/>
        <v>Oct</v>
      </c>
      <c r="D4760" t="s">
        <v>1578</v>
      </c>
      <c r="E4760" t="s">
        <v>50</v>
      </c>
      <c r="F4760" t="s">
        <v>1568</v>
      </c>
      <c r="G4760">
        <v>3</v>
      </c>
      <c r="H4760" s="7">
        <v>317.52999999999997</v>
      </c>
      <c r="I4760" t="s">
        <v>19</v>
      </c>
      <c r="J4760" t="s">
        <v>87</v>
      </c>
      <c r="K4760">
        <v>10</v>
      </c>
      <c r="L4760" s="7">
        <f t="shared" si="223"/>
        <v>952.58999999999992</v>
      </c>
      <c r="M4760" s="7"/>
      <c r="O4760">
        <f t="shared" si="224"/>
        <v>2</v>
      </c>
      <c r="Q4760" t="s">
        <v>19</v>
      </c>
    </row>
    <row r="4761" spans="1:17" x14ac:dyDescent="0.3">
      <c r="A4761" t="s">
        <v>5891</v>
      </c>
      <c r="B4761" s="6">
        <v>45157</v>
      </c>
      <c r="C4761" s="6" t="str">
        <f t="shared" si="222"/>
        <v>Aug</v>
      </c>
      <c r="D4761" t="s">
        <v>1056</v>
      </c>
      <c r="E4761" t="s">
        <v>26</v>
      </c>
      <c r="F4761" t="s">
        <v>68</v>
      </c>
      <c r="G4761">
        <v>5</v>
      </c>
      <c r="H4761" s="7">
        <v>300.27999999999997</v>
      </c>
      <c r="I4761" t="s">
        <v>46</v>
      </c>
      <c r="J4761" t="s">
        <v>22</v>
      </c>
      <c r="K4761">
        <v>20</v>
      </c>
      <c r="L4761" s="7">
        <f t="shared" si="223"/>
        <v>1501.3999999999999</v>
      </c>
      <c r="M4761" s="7"/>
      <c r="O4761">
        <f t="shared" si="224"/>
        <v>2</v>
      </c>
      <c r="Q4761" t="s">
        <v>47</v>
      </c>
    </row>
    <row r="4762" spans="1:17" x14ac:dyDescent="0.3">
      <c r="A4762" t="s">
        <v>5892</v>
      </c>
      <c r="B4762" s="6">
        <v>45176</v>
      </c>
      <c r="C4762" s="6" t="str">
        <f t="shared" si="222"/>
        <v>Sep</v>
      </c>
      <c r="D4762" t="s">
        <v>1664</v>
      </c>
      <c r="E4762" t="s">
        <v>62</v>
      </c>
      <c r="F4762" t="s">
        <v>94</v>
      </c>
      <c r="G4762">
        <v>5</v>
      </c>
      <c r="H4762" s="7">
        <v>162.49</v>
      </c>
      <c r="I4762" t="s">
        <v>19</v>
      </c>
      <c r="J4762" t="s">
        <v>42</v>
      </c>
      <c r="K4762">
        <v>10</v>
      </c>
      <c r="L4762" s="7">
        <f t="shared" si="223"/>
        <v>812.45</v>
      </c>
      <c r="M4762" s="7"/>
      <c r="O4762">
        <f t="shared" si="224"/>
        <v>2</v>
      </c>
      <c r="Q4762" t="s">
        <v>19</v>
      </c>
    </row>
    <row r="4763" spans="1:17" x14ac:dyDescent="0.3">
      <c r="A4763" t="s">
        <v>5893</v>
      </c>
      <c r="B4763" s="6">
        <v>44934</v>
      </c>
      <c r="C4763" s="6" t="str">
        <f t="shared" si="222"/>
        <v>Jan</v>
      </c>
      <c r="D4763" t="s">
        <v>949</v>
      </c>
      <c r="E4763" t="s">
        <v>31</v>
      </c>
      <c r="F4763" t="s">
        <v>687</v>
      </c>
      <c r="G4763">
        <v>5</v>
      </c>
      <c r="H4763" s="7">
        <v>228.45</v>
      </c>
      <c r="I4763" t="s">
        <v>64</v>
      </c>
      <c r="J4763" t="s">
        <v>87</v>
      </c>
      <c r="K4763">
        <v>20</v>
      </c>
      <c r="L4763" s="7">
        <f t="shared" si="223"/>
        <v>1142.25</v>
      </c>
      <c r="M4763" s="7"/>
      <c r="O4763">
        <f t="shared" si="224"/>
        <v>2</v>
      </c>
      <c r="Q4763" t="s">
        <v>65</v>
      </c>
    </row>
    <row r="4764" spans="1:17" x14ac:dyDescent="0.3">
      <c r="A4764" t="s">
        <v>5894</v>
      </c>
      <c r="B4764" s="6">
        <v>45292</v>
      </c>
      <c r="C4764" s="6" t="str">
        <f t="shared" si="222"/>
        <v>Jan</v>
      </c>
      <c r="D4764" t="s">
        <v>1495</v>
      </c>
      <c r="E4764" t="s">
        <v>62</v>
      </c>
      <c r="F4764" t="s">
        <v>278</v>
      </c>
      <c r="G4764">
        <v>8</v>
      </c>
      <c r="H4764" s="7">
        <v>127.25</v>
      </c>
      <c r="I4764" t="s">
        <v>19</v>
      </c>
      <c r="J4764" t="s">
        <v>28</v>
      </c>
      <c r="K4764">
        <v>10</v>
      </c>
      <c r="L4764" s="7">
        <f t="shared" si="223"/>
        <v>1018</v>
      </c>
      <c r="M4764" s="7"/>
      <c r="O4764">
        <f t="shared" si="224"/>
        <v>2</v>
      </c>
      <c r="Q4764" t="s">
        <v>19</v>
      </c>
    </row>
    <row r="4765" spans="1:17" x14ac:dyDescent="0.3">
      <c r="A4765" t="s">
        <v>5895</v>
      </c>
      <c r="B4765" s="6">
        <v>45255</v>
      </c>
      <c r="C4765" s="6" t="str">
        <f t="shared" si="222"/>
        <v>Nov</v>
      </c>
      <c r="D4765" t="s">
        <v>3806</v>
      </c>
      <c r="E4765" t="s">
        <v>62</v>
      </c>
      <c r="F4765" t="s">
        <v>173</v>
      </c>
      <c r="G4765">
        <v>9</v>
      </c>
      <c r="H4765" s="7">
        <v>395.99</v>
      </c>
      <c r="I4765" t="s">
        <v>103</v>
      </c>
      <c r="J4765" t="s">
        <v>22</v>
      </c>
      <c r="K4765">
        <v>15</v>
      </c>
      <c r="L4765" s="7">
        <f t="shared" si="223"/>
        <v>3563.91</v>
      </c>
      <c r="M4765" s="7"/>
      <c r="O4765">
        <f t="shared" si="224"/>
        <v>5</v>
      </c>
      <c r="Q4765" t="s">
        <v>104</v>
      </c>
    </row>
    <row r="4766" spans="1:17" x14ac:dyDescent="0.3">
      <c r="A4766" t="s">
        <v>5896</v>
      </c>
      <c r="B4766" s="6">
        <v>45260</v>
      </c>
      <c r="C4766" s="6" t="str">
        <f t="shared" si="222"/>
        <v>Nov</v>
      </c>
      <c r="D4766" t="s">
        <v>1020</v>
      </c>
      <c r="E4766" t="s">
        <v>36</v>
      </c>
      <c r="F4766" t="s">
        <v>1302</v>
      </c>
      <c r="G4766">
        <v>9</v>
      </c>
      <c r="H4766" s="7">
        <v>319.08999999999997</v>
      </c>
      <c r="I4766" t="s">
        <v>103</v>
      </c>
      <c r="J4766" t="s">
        <v>28</v>
      </c>
      <c r="K4766">
        <v>10</v>
      </c>
      <c r="L4766" s="7">
        <f t="shared" si="223"/>
        <v>2871.81</v>
      </c>
      <c r="M4766" s="7"/>
      <c r="O4766">
        <f t="shared" si="224"/>
        <v>3</v>
      </c>
      <c r="Q4766" t="s">
        <v>104</v>
      </c>
    </row>
    <row r="4767" spans="1:17" x14ac:dyDescent="0.3">
      <c r="A4767" t="s">
        <v>5897</v>
      </c>
      <c r="B4767" s="6">
        <v>45100</v>
      </c>
      <c r="C4767" s="6" t="str">
        <f t="shared" si="222"/>
        <v>Jun</v>
      </c>
      <c r="D4767" t="s">
        <v>2017</v>
      </c>
      <c r="E4767" t="s">
        <v>19</v>
      </c>
      <c r="F4767" t="s">
        <v>939</v>
      </c>
      <c r="G4767">
        <v>6</v>
      </c>
      <c r="H4767" s="7">
        <v>268.69</v>
      </c>
      <c r="I4767" t="s">
        <v>19</v>
      </c>
      <c r="J4767" t="s">
        <v>19</v>
      </c>
      <c r="K4767">
        <v>20</v>
      </c>
      <c r="L4767" s="7">
        <f t="shared" si="223"/>
        <v>1612.1399999999999</v>
      </c>
      <c r="M4767" s="7"/>
      <c r="O4767">
        <f t="shared" si="224"/>
        <v>2</v>
      </c>
      <c r="Q4767" t="s">
        <v>19</v>
      </c>
    </row>
    <row r="4768" spans="1:17" x14ac:dyDescent="0.3">
      <c r="A4768" t="s">
        <v>5898</v>
      </c>
      <c r="B4768" s="6">
        <v>45026</v>
      </c>
      <c r="C4768" s="6" t="str">
        <f t="shared" si="222"/>
        <v>Apr</v>
      </c>
      <c r="D4768" t="s">
        <v>2314</v>
      </c>
      <c r="E4768" t="s">
        <v>40</v>
      </c>
      <c r="F4768" t="s">
        <v>190</v>
      </c>
      <c r="G4768">
        <v>6</v>
      </c>
      <c r="H4768" s="7">
        <v>199.3</v>
      </c>
      <c r="I4768" t="s">
        <v>21</v>
      </c>
      <c r="J4768" t="s">
        <v>72</v>
      </c>
      <c r="K4768">
        <v>10</v>
      </c>
      <c r="L4768" s="7">
        <f t="shared" si="223"/>
        <v>1195.8000000000002</v>
      </c>
      <c r="M4768" s="7"/>
      <c r="O4768">
        <f t="shared" si="224"/>
        <v>2</v>
      </c>
      <c r="Q4768" t="s">
        <v>23</v>
      </c>
    </row>
    <row r="4769" spans="1:17" x14ac:dyDescent="0.3">
      <c r="A4769" t="s">
        <v>5899</v>
      </c>
      <c r="B4769" s="6">
        <v>44932</v>
      </c>
      <c r="C4769" s="6" t="str">
        <f t="shared" si="222"/>
        <v>Jan</v>
      </c>
      <c r="D4769" t="s">
        <v>1662</v>
      </c>
      <c r="E4769" t="s">
        <v>40</v>
      </c>
      <c r="F4769" t="s">
        <v>983</v>
      </c>
      <c r="G4769">
        <v>9</v>
      </c>
      <c r="H4769" s="7">
        <v>149.24</v>
      </c>
      <c r="I4769" t="s">
        <v>64</v>
      </c>
      <c r="J4769" t="s">
        <v>42</v>
      </c>
      <c r="K4769">
        <v>0</v>
      </c>
      <c r="L4769" s="7">
        <f t="shared" si="223"/>
        <v>1343.16</v>
      </c>
      <c r="M4769" s="7"/>
      <c r="O4769">
        <f t="shared" si="224"/>
        <v>2</v>
      </c>
      <c r="Q4769" t="s">
        <v>65</v>
      </c>
    </row>
    <row r="4770" spans="1:17" x14ac:dyDescent="0.3">
      <c r="A4770" t="s">
        <v>5900</v>
      </c>
      <c r="B4770" s="6">
        <v>45151</v>
      </c>
      <c r="C4770" s="6" t="str">
        <f t="shared" si="222"/>
        <v>Aug</v>
      </c>
      <c r="D4770" t="s">
        <v>207</v>
      </c>
      <c r="E4770" t="s">
        <v>19</v>
      </c>
      <c r="F4770" t="s">
        <v>975</v>
      </c>
      <c r="G4770">
        <v>5</v>
      </c>
      <c r="H4770" s="7">
        <v>412.25</v>
      </c>
      <c r="I4770" t="s">
        <v>46</v>
      </c>
      <c r="J4770" t="s">
        <v>87</v>
      </c>
      <c r="K4770">
        <v>20</v>
      </c>
      <c r="L4770" s="7">
        <f t="shared" si="223"/>
        <v>2061.25</v>
      </c>
      <c r="M4770" s="7"/>
      <c r="O4770">
        <f t="shared" si="224"/>
        <v>2</v>
      </c>
      <c r="Q4770" t="s">
        <v>47</v>
      </c>
    </row>
    <row r="4771" spans="1:17" x14ac:dyDescent="0.3">
      <c r="A4771" t="s">
        <v>5901</v>
      </c>
      <c r="B4771" s="6">
        <v>45290</v>
      </c>
      <c r="C4771" s="6" t="str">
        <f t="shared" si="222"/>
        <v>Dec</v>
      </c>
      <c r="D4771" t="s">
        <v>832</v>
      </c>
      <c r="E4771" t="s">
        <v>40</v>
      </c>
      <c r="F4771" t="s">
        <v>170</v>
      </c>
      <c r="G4771">
        <v>6</v>
      </c>
      <c r="H4771" s="7">
        <v>228.45</v>
      </c>
      <c r="I4771" t="s">
        <v>19</v>
      </c>
      <c r="J4771" t="s">
        <v>28</v>
      </c>
      <c r="K4771">
        <v>5</v>
      </c>
      <c r="L4771" s="7">
        <f t="shared" si="223"/>
        <v>1370.6999999999998</v>
      </c>
      <c r="M4771" s="7"/>
      <c r="O4771">
        <f t="shared" si="224"/>
        <v>2</v>
      </c>
      <c r="Q4771" t="s">
        <v>19</v>
      </c>
    </row>
    <row r="4772" spans="1:17" x14ac:dyDescent="0.3">
      <c r="A4772" t="s">
        <v>5902</v>
      </c>
      <c r="B4772" s="6">
        <v>45128</v>
      </c>
      <c r="C4772" s="6" t="str">
        <f t="shared" si="222"/>
        <v>Jul</v>
      </c>
      <c r="D4772" t="s">
        <v>2154</v>
      </c>
      <c r="E4772" t="s">
        <v>19</v>
      </c>
      <c r="F4772" t="s">
        <v>749</v>
      </c>
      <c r="G4772">
        <v>4</v>
      </c>
      <c r="H4772" s="7">
        <v>252.16</v>
      </c>
      <c r="I4772" t="s">
        <v>64</v>
      </c>
      <c r="J4772" t="s">
        <v>28</v>
      </c>
      <c r="K4772">
        <v>0</v>
      </c>
      <c r="L4772" s="7">
        <f t="shared" si="223"/>
        <v>1008.64</v>
      </c>
      <c r="M4772" s="7"/>
      <c r="O4772">
        <f t="shared" si="224"/>
        <v>2</v>
      </c>
      <c r="Q4772" t="s">
        <v>65</v>
      </c>
    </row>
    <row r="4773" spans="1:17" x14ac:dyDescent="0.3">
      <c r="A4773" t="s">
        <v>5903</v>
      </c>
      <c r="B4773" s="6">
        <v>45052</v>
      </c>
      <c r="C4773" s="6" t="str">
        <f t="shared" si="222"/>
        <v>May</v>
      </c>
      <c r="D4773" t="s">
        <v>1107</v>
      </c>
      <c r="E4773" t="s">
        <v>19</v>
      </c>
      <c r="F4773" t="s">
        <v>27</v>
      </c>
      <c r="G4773">
        <v>1</v>
      </c>
      <c r="H4773" s="7">
        <v>262.81</v>
      </c>
      <c r="I4773" t="s">
        <v>21</v>
      </c>
      <c r="J4773" t="s">
        <v>19</v>
      </c>
      <c r="K4773">
        <v>20</v>
      </c>
      <c r="L4773" s="7">
        <f t="shared" si="223"/>
        <v>262.81</v>
      </c>
      <c r="M4773" s="7"/>
      <c r="O4773">
        <f t="shared" si="224"/>
        <v>2</v>
      </c>
      <c r="Q4773" t="s">
        <v>23</v>
      </c>
    </row>
    <row r="4774" spans="1:17" x14ac:dyDescent="0.3">
      <c r="A4774" t="s">
        <v>5904</v>
      </c>
      <c r="B4774" s="6">
        <v>45222</v>
      </c>
      <c r="C4774" s="6" t="str">
        <f t="shared" si="222"/>
        <v>Oct</v>
      </c>
      <c r="D4774" t="s">
        <v>1918</v>
      </c>
      <c r="E4774" t="s">
        <v>19</v>
      </c>
      <c r="F4774" t="s">
        <v>684</v>
      </c>
      <c r="G4774">
        <v>7</v>
      </c>
      <c r="H4774" s="7">
        <v>226.94</v>
      </c>
      <c r="I4774" t="s">
        <v>21</v>
      </c>
      <c r="J4774" t="s">
        <v>28</v>
      </c>
      <c r="K4774">
        <v>5</v>
      </c>
      <c r="L4774" s="7">
        <f t="shared" si="223"/>
        <v>1588.58</v>
      </c>
      <c r="M4774" s="7"/>
      <c r="O4774">
        <f t="shared" si="224"/>
        <v>2</v>
      </c>
      <c r="Q4774" t="s">
        <v>23</v>
      </c>
    </row>
    <row r="4775" spans="1:17" x14ac:dyDescent="0.3">
      <c r="A4775" t="s">
        <v>5905</v>
      </c>
      <c r="B4775" s="6">
        <v>45132</v>
      </c>
      <c r="C4775" s="6" t="str">
        <f t="shared" si="222"/>
        <v>Jul</v>
      </c>
      <c r="D4775" t="s">
        <v>4249</v>
      </c>
      <c r="E4775" t="s">
        <v>19</v>
      </c>
      <c r="F4775" t="s">
        <v>2185</v>
      </c>
      <c r="G4775">
        <v>6</v>
      </c>
      <c r="H4775" s="7">
        <v>131.76</v>
      </c>
      <c r="I4775" t="s">
        <v>46</v>
      </c>
      <c r="J4775" t="s">
        <v>19</v>
      </c>
      <c r="K4775">
        <v>10</v>
      </c>
      <c r="L4775" s="7">
        <f t="shared" si="223"/>
        <v>790.56</v>
      </c>
      <c r="M4775" s="7"/>
      <c r="O4775">
        <f t="shared" si="224"/>
        <v>2</v>
      </c>
      <c r="Q4775" t="s">
        <v>47</v>
      </c>
    </row>
    <row r="4776" spans="1:17" x14ac:dyDescent="0.3">
      <c r="A4776" t="s">
        <v>5906</v>
      </c>
      <c r="B4776" s="6">
        <v>45048</v>
      </c>
      <c r="C4776" s="6" t="str">
        <f t="shared" si="222"/>
        <v>May</v>
      </c>
      <c r="D4776" t="s">
        <v>889</v>
      </c>
      <c r="E4776" t="s">
        <v>40</v>
      </c>
      <c r="F4776" t="s">
        <v>412</v>
      </c>
      <c r="G4776">
        <v>9</v>
      </c>
      <c r="H4776" s="7">
        <v>64.569999999999993</v>
      </c>
      <c r="I4776" t="s">
        <v>64</v>
      </c>
      <c r="J4776" t="s">
        <v>22</v>
      </c>
      <c r="K4776">
        <v>0</v>
      </c>
      <c r="L4776" s="7">
        <f t="shared" si="223"/>
        <v>581.12999999999988</v>
      </c>
      <c r="M4776" s="7"/>
      <c r="O4776">
        <f t="shared" si="224"/>
        <v>2</v>
      </c>
      <c r="Q4776" t="s">
        <v>65</v>
      </c>
    </row>
    <row r="4777" spans="1:17" x14ac:dyDescent="0.3">
      <c r="A4777" t="s">
        <v>5907</v>
      </c>
      <c r="B4777" s="6">
        <v>45017</v>
      </c>
      <c r="C4777" s="6" t="str">
        <f t="shared" si="222"/>
        <v>Apr</v>
      </c>
      <c r="D4777" t="s">
        <v>56</v>
      </c>
      <c r="E4777" t="s">
        <v>50</v>
      </c>
      <c r="F4777" t="s">
        <v>1180</v>
      </c>
      <c r="G4777">
        <v>7</v>
      </c>
      <c r="H4777" s="7">
        <v>53.78</v>
      </c>
      <c r="I4777" t="s">
        <v>19</v>
      </c>
      <c r="J4777" t="s">
        <v>72</v>
      </c>
      <c r="K4777">
        <v>20</v>
      </c>
      <c r="L4777" s="7">
        <f t="shared" si="223"/>
        <v>376.46000000000004</v>
      </c>
      <c r="M4777" s="7"/>
      <c r="O4777">
        <f t="shared" si="224"/>
        <v>2</v>
      </c>
      <c r="Q4777" t="s">
        <v>19</v>
      </c>
    </row>
    <row r="4778" spans="1:17" x14ac:dyDescent="0.3">
      <c r="A4778" t="s">
        <v>5908</v>
      </c>
      <c r="B4778" s="6">
        <v>45115</v>
      </c>
      <c r="C4778" s="6" t="str">
        <f t="shared" si="222"/>
        <v>Jul</v>
      </c>
      <c r="D4778" t="s">
        <v>1097</v>
      </c>
      <c r="E4778" t="s">
        <v>50</v>
      </c>
      <c r="F4778" t="s">
        <v>217</v>
      </c>
      <c r="G4778">
        <v>7</v>
      </c>
      <c r="H4778" s="7">
        <v>379.94</v>
      </c>
      <c r="I4778" t="s">
        <v>32</v>
      </c>
      <c r="J4778" t="s">
        <v>22</v>
      </c>
      <c r="K4778">
        <v>15</v>
      </c>
      <c r="L4778" s="7">
        <f t="shared" si="223"/>
        <v>2659.58</v>
      </c>
      <c r="M4778" s="7"/>
      <c r="O4778">
        <f t="shared" si="224"/>
        <v>3</v>
      </c>
      <c r="Q4778" t="s">
        <v>33</v>
      </c>
    </row>
    <row r="4779" spans="1:17" x14ac:dyDescent="0.3">
      <c r="A4779" t="s">
        <v>5909</v>
      </c>
      <c r="B4779" s="6">
        <v>45225</v>
      </c>
      <c r="C4779" s="6" t="str">
        <f t="shared" si="222"/>
        <v>Oct</v>
      </c>
      <c r="D4779" t="s">
        <v>219</v>
      </c>
      <c r="E4779" t="s">
        <v>19</v>
      </c>
      <c r="F4779" t="s">
        <v>322</v>
      </c>
      <c r="G4779">
        <v>2</v>
      </c>
      <c r="H4779" s="7">
        <v>115.65</v>
      </c>
      <c r="I4779" t="s">
        <v>103</v>
      </c>
      <c r="J4779" t="s">
        <v>72</v>
      </c>
      <c r="K4779">
        <v>10</v>
      </c>
      <c r="L4779" s="7">
        <f t="shared" si="223"/>
        <v>231.3</v>
      </c>
      <c r="M4779" s="7"/>
      <c r="O4779">
        <f t="shared" si="224"/>
        <v>2</v>
      </c>
      <c r="Q4779" t="s">
        <v>104</v>
      </c>
    </row>
    <row r="4780" spans="1:17" x14ac:dyDescent="0.3">
      <c r="A4780" t="s">
        <v>5910</v>
      </c>
      <c r="B4780" s="6">
        <v>45124</v>
      </c>
      <c r="C4780" s="6" t="str">
        <f t="shared" si="222"/>
        <v>Jul</v>
      </c>
      <c r="D4780" t="s">
        <v>5911</v>
      </c>
      <c r="E4780" t="s">
        <v>40</v>
      </c>
      <c r="F4780" t="s">
        <v>116</v>
      </c>
      <c r="G4780">
        <v>9</v>
      </c>
      <c r="H4780" s="7">
        <v>32.56</v>
      </c>
      <c r="I4780" t="s">
        <v>19</v>
      </c>
      <c r="J4780" t="s">
        <v>19</v>
      </c>
      <c r="K4780">
        <v>5</v>
      </c>
      <c r="L4780" s="7">
        <f t="shared" si="223"/>
        <v>293.04000000000002</v>
      </c>
      <c r="M4780" s="7"/>
      <c r="O4780">
        <f t="shared" si="224"/>
        <v>2</v>
      </c>
      <c r="Q4780" t="s">
        <v>19</v>
      </c>
    </row>
    <row r="4781" spans="1:17" x14ac:dyDescent="0.3">
      <c r="A4781" t="s">
        <v>5912</v>
      </c>
      <c r="B4781" s="6">
        <v>45186</v>
      </c>
      <c r="C4781" s="6" t="str">
        <f t="shared" si="222"/>
        <v>Sep</v>
      </c>
      <c r="D4781" t="s">
        <v>1114</v>
      </c>
      <c r="E4781" t="s">
        <v>31</v>
      </c>
      <c r="F4781" t="s">
        <v>1085</v>
      </c>
      <c r="G4781">
        <v>9</v>
      </c>
      <c r="H4781" s="7">
        <v>399.77</v>
      </c>
      <c r="I4781" t="s">
        <v>21</v>
      </c>
      <c r="J4781" t="s">
        <v>72</v>
      </c>
      <c r="K4781">
        <v>15</v>
      </c>
      <c r="L4781" s="7">
        <f t="shared" si="223"/>
        <v>3597.93</v>
      </c>
      <c r="M4781" s="7"/>
      <c r="O4781">
        <f t="shared" si="224"/>
        <v>5</v>
      </c>
      <c r="Q4781" t="s">
        <v>23</v>
      </c>
    </row>
    <row r="4782" spans="1:17" x14ac:dyDescent="0.3">
      <c r="A4782" t="s">
        <v>5913</v>
      </c>
      <c r="B4782" s="6">
        <v>45230</v>
      </c>
      <c r="C4782" s="6" t="str">
        <f t="shared" si="222"/>
        <v>Oct</v>
      </c>
      <c r="D4782" t="s">
        <v>654</v>
      </c>
      <c r="E4782" t="s">
        <v>50</v>
      </c>
      <c r="F4782" t="s">
        <v>988</v>
      </c>
      <c r="G4782">
        <v>6</v>
      </c>
      <c r="H4782" s="7">
        <v>81.260000000000005</v>
      </c>
      <c r="I4782" t="s">
        <v>103</v>
      </c>
      <c r="J4782" t="s">
        <v>72</v>
      </c>
      <c r="K4782">
        <v>10</v>
      </c>
      <c r="L4782" s="7">
        <f t="shared" si="223"/>
        <v>487.56000000000006</v>
      </c>
      <c r="M4782" s="7"/>
      <c r="O4782">
        <f t="shared" si="224"/>
        <v>2</v>
      </c>
      <c r="Q4782" t="s">
        <v>104</v>
      </c>
    </row>
    <row r="4783" spans="1:17" x14ac:dyDescent="0.3">
      <c r="A4783" t="s">
        <v>5914</v>
      </c>
      <c r="B4783" s="6">
        <v>45000</v>
      </c>
      <c r="C4783" s="6" t="str">
        <f t="shared" si="222"/>
        <v>Mar</v>
      </c>
      <c r="D4783" t="s">
        <v>1546</v>
      </c>
      <c r="E4783" t="s">
        <v>19</v>
      </c>
      <c r="F4783" t="s">
        <v>54</v>
      </c>
      <c r="G4783">
        <v>3</v>
      </c>
      <c r="H4783" s="7">
        <v>314.45</v>
      </c>
      <c r="I4783" t="s">
        <v>46</v>
      </c>
      <c r="J4783" t="s">
        <v>87</v>
      </c>
      <c r="K4783">
        <v>10</v>
      </c>
      <c r="L4783" s="7">
        <f t="shared" si="223"/>
        <v>943.34999999999991</v>
      </c>
      <c r="M4783" s="7"/>
      <c r="O4783">
        <f t="shared" si="224"/>
        <v>2</v>
      </c>
      <c r="Q4783" t="s">
        <v>47</v>
      </c>
    </row>
    <row r="4784" spans="1:17" x14ac:dyDescent="0.3">
      <c r="A4784" t="s">
        <v>5915</v>
      </c>
      <c r="B4784" s="6">
        <v>45240</v>
      </c>
      <c r="C4784" s="6" t="str">
        <f t="shared" si="222"/>
        <v>Nov</v>
      </c>
      <c r="D4784" t="s">
        <v>187</v>
      </c>
      <c r="E4784" t="s">
        <v>36</v>
      </c>
      <c r="F4784" t="s">
        <v>148</v>
      </c>
      <c r="G4784">
        <v>1</v>
      </c>
      <c r="H4784" s="7">
        <v>172.63</v>
      </c>
      <c r="I4784" t="s">
        <v>19</v>
      </c>
      <c r="J4784" t="s">
        <v>42</v>
      </c>
      <c r="K4784">
        <v>10</v>
      </c>
      <c r="L4784" s="7">
        <f t="shared" si="223"/>
        <v>172.63</v>
      </c>
      <c r="M4784" s="7"/>
      <c r="O4784">
        <f t="shared" si="224"/>
        <v>2</v>
      </c>
      <c r="Q4784" t="s">
        <v>19</v>
      </c>
    </row>
    <row r="4785" spans="1:17" x14ac:dyDescent="0.3">
      <c r="A4785" t="s">
        <v>5916</v>
      </c>
      <c r="B4785" s="6">
        <v>45069</v>
      </c>
      <c r="C4785" s="6" t="str">
        <f t="shared" si="222"/>
        <v>May</v>
      </c>
      <c r="D4785" t="s">
        <v>546</v>
      </c>
      <c r="E4785" t="s">
        <v>19</v>
      </c>
      <c r="F4785" t="s">
        <v>54</v>
      </c>
      <c r="G4785">
        <v>4</v>
      </c>
      <c r="H4785" s="7">
        <v>67.61</v>
      </c>
      <c r="I4785" t="s">
        <v>19</v>
      </c>
      <c r="J4785" t="s">
        <v>28</v>
      </c>
      <c r="K4785">
        <v>20</v>
      </c>
      <c r="L4785" s="7">
        <f t="shared" si="223"/>
        <v>270.44</v>
      </c>
      <c r="M4785" s="7"/>
      <c r="O4785">
        <f t="shared" si="224"/>
        <v>2</v>
      </c>
      <c r="Q4785" t="s">
        <v>19</v>
      </c>
    </row>
    <row r="4786" spans="1:17" x14ac:dyDescent="0.3">
      <c r="A4786" t="s">
        <v>5917</v>
      </c>
      <c r="B4786" s="6">
        <v>45091</v>
      </c>
      <c r="C4786" s="6" t="str">
        <f t="shared" si="222"/>
        <v>Jun</v>
      </c>
      <c r="D4786" t="s">
        <v>772</v>
      </c>
      <c r="E4786" t="s">
        <v>19</v>
      </c>
      <c r="F4786" t="s">
        <v>359</v>
      </c>
      <c r="G4786">
        <v>3</v>
      </c>
      <c r="H4786" s="7">
        <v>210.17</v>
      </c>
      <c r="I4786" t="s">
        <v>46</v>
      </c>
      <c r="J4786" t="s">
        <v>72</v>
      </c>
      <c r="K4786">
        <v>20</v>
      </c>
      <c r="L4786" s="7">
        <f t="shared" si="223"/>
        <v>630.51</v>
      </c>
      <c r="M4786" s="7"/>
      <c r="O4786">
        <f t="shared" si="224"/>
        <v>2</v>
      </c>
      <c r="Q4786" t="s">
        <v>47</v>
      </c>
    </row>
    <row r="4787" spans="1:17" x14ac:dyDescent="0.3">
      <c r="A4787" t="s">
        <v>5918</v>
      </c>
      <c r="B4787" s="6">
        <v>45048</v>
      </c>
      <c r="C4787" s="6" t="str">
        <f t="shared" si="222"/>
        <v>May</v>
      </c>
      <c r="D4787" t="s">
        <v>1313</v>
      </c>
      <c r="E4787" t="s">
        <v>19</v>
      </c>
      <c r="F4787" t="s">
        <v>246</v>
      </c>
      <c r="G4787">
        <v>1</v>
      </c>
      <c r="H4787" s="7">
        <v>12.33</v>
      </c>
      <c r="I4787" t="s">
        <v>103</v>
      </c>
      <c r="J4787" t="s">
        <v>42</v>
      </c>
      <c r="K4787">
        <v>5</v>
      </c>
      <c r="L4787" s="7">
        <f t="shared" si="223"/>
        <v>12.33</v>
      </c>
      <c r="M4787" s="7"/>
      <c r="O4787">
        <f t="shared" si="224"/>
        <v>2</v>
      </c>
      <c r="Q4787" t="s">
        <v>104</v>
      </c>
    </row>
    <row r="4788" spans="1:17" x14ac:dyDescent="0.3">
      <c r="A4788" t="s">
        <v>5919</v>
      </c>
      <c r="B4788" s="6">
        <v>45151</v>
      </c>
      <c r="C4788" s="6" t="str">
        <f t="shared" si="222"/>
        <v>Aug</v>
      </c>
      <c r="D4788" t="s">
        <v>3825</v>
      </c>
      <c r="E4788" t="s">
        <v>36</v>
      </c>
      <c r="F4788" t="s">
        <v>122</v>
      </c>
      <c r="G4788">
        <v>3</v>
      </c>
      <c r="H4788" s="7">
        <v>421.32</v>
      </c>
      <c r="I4788" t="s">
        <v>46</v>
      </c>
      <c r="J4788" t="s">
        <v>72</v>
      </c>
      <c r="K4788">
        <v>10</v>
      </c>
      <c r="L4788" s="7">
        <f t="shared" si="223"/>
        <v>1263.96</v>
      </c>
      <c r="M4788" s="7"/>
      <c r="O4788">
        <f t="shared" si="224"/>
        <v>2</v>
      </c>
      <c r="Q4788" t="s">
        <v>47</v>
      </c>
    </row>
    <row r="4789" spans="1:17" x14ac:dyDescent="0.3">
      <c r="A4789" t="s">
        <v>5920</v>
      </c>
      <c r="B4789" s="6">
        <v>45105</v>
      </c>
      <c r="C4789" s="6" t="str">
        <f t="shared" si="222"/>
        <v>Jun</v>
      </c>
      <c r="D4789" t="s">
        <v>1838</v>
      </c>
      <c r="E4789" t="s">
        <v>36</v>
      </c>
      <c r="F4789" t="s">
        <v>369</v>
      </c>
      <c r="G4789">
        <v>4</v>
      </c>
      <c r="H4789" s="7">
        <v>259.18</v>
      </c>
      <c r="I4789" t="s">
        <v>46</v>
      </c>
      <c r="J4789" t="s">
        <v>28</v>
      </c>
      <c r="K4789">
        <v>20</v>
      </c>
      <c r="L4789" s="7">
        <f t="shared" si="223"/>
        <v>1036.72</v>
      </c>
      <c r="M4789" s="7"/>
      <c r="O4789">
        <f t="shared" si="224"/>
        <v>2</v>
      </c>
      <c r="Q4789" t="s">
        <v>47</v>
      </c>
    </row>
    <row r="4790" spans="1:17" x14ac:dyDescent="0.3">
      <c r="A4790" t="s">
        <v>5921</v>
      </c>
      <c r="B4790" s="6">
        <v>45233</v>
      </c>
      <c r="C4790" s="6" t="str">
        <f t="shared" si="222"/>
        <v>Nov</v>
      </c>
      <c r="D4790" t="s">
        <v>1101</v>
      </c>
      <c r="E4790" t="s">
        <v>26</v>
      </c>
      <c r="F4790" t="s">
        <v>188</v>
      </c>
      <c r="G4790">
        <v>8</v>
      </c>
      <c r="H4790" s="7">
        <v>73.88</v>
      </c>
      <c r="I4790" t="s">
        <v>32</v>
      </c>
      <c r="J4790" t="s">
        <v>72</v>
      </c>
      <c r="K4790">
        <v>10</v>
      </c>
      <c r="L4790" s="7">
        <f t="shared" si="223"/>
        <v>591.04</v>
      </c>
      <c r="M4790" s="7"/>
      <c r="O4790">
        <f t="shared" si="224"/>
        <v>2</v>
      </c>
      <c r="Q4790" t="s">
        <v>33</v>
      </c>
    </row>
    <row r="4791" spans="1:17" x14ac:dyDescent="0.3">
      <c r="A4791" t="s">
        <v>5922</v>
      </c>
      <c r="B4791" s="6">
        <v>45025</v>
      </c>
      <c r="C4791" s="6" t="str">
        <f t="shared" si="222"/>
        <v>Apr</v>
      </c>
      <c r="D4791" t="s">
        <v>1355</v>
      </c>
      <c r="E4791" t="s">
        <v>19</v>
      </c>
      <c r="F4791" t="s">
        <v>719</v>
      </c>
      <c r="G4791">
        <v>9</v>
      </c>
      <c r="H4791" s="7">
        <v>122.31</v>
      </c>
      <c r="I4791" t="s">
        <v>19</v>
      </c>
      <c r="J4791" t="s">
        <v>72</v>
      </c>
      <c r="K4791">
        <v>20</v>
      </c>
      <c r="L4791" s="7">
        <f t="shared" si="223"/>
        <v>1100.79</v>
      </c>
      <c r="M4791" s="7"/>
      <c r="O4791">
        <f t="shared" si="224"/>
        <v>2</v>
      </c>
      <c r="Q4791" t="s">
        <v>19</v>
      </c>
    </row>
    <row r="4792" spans="1:17" x14ac:dyDescent="0.3">
      <c r="A4792" t="s">
        <v>5923</v>
      </c>
      <c r="B4792" s="6">
        <v>45060</v>
      </c>
      <c r="C4792" s="6" t="str">
        <f t="shared" si="222"/>
        <v>May</v>
      </c>
      <c r="D4792" t="s">
        <v>965</v>
      </c>
      <c r="E4792" t="s">
        <v>19</v>
      </c>
      <c r="F4792" t="s">
        <v>975</v>
      </c>
      <c r="G4792">
        <v>3</v>
      </c>
      <c r="H4792" s="7">
        <v>226.75</v>
      </c>
      <c r="I4792" t="s">
        <v>64</v>
      </c>
      <c r="J4792" t="s">
        <v>87</v>
      </c>
      <c r="K4792">
        <v>10</v>
      </c>
      <c r="L4792" s="7">
        <f t="shared" si="223"/>
        <v>680.25</v>
      </c>
      <c r="M4792" s="7"/>
      <c r="O4792">
        <f t="shared" si="224"/>
        <v>2</v>
      </c>
      <c r="Q4792" t="s">
        <v>65</v>
      </c>
    </row>
    <row r="4793" spans="1:17" x14ac:dyDescent="0.3">
      <c r="A4793" t="s">
        <v>5924</v>
      </c>
      <c r="B4793" s="6">
        <v>45113</v>
      </c>
      <c r="C4793" s="6" t="str">
        <f t="shared" si="222"/>
        <v>Jul</v>
      </c>
      <c r="D4793" t="s">
        <v>2416</v>
      </c>
      <c r="E4793" t="s">
        <v>50</v>
      </c>
      <c r="F4793" t="s">
        <v>128</v>
      </c>
      <c r="G4793">
        <v>6</v>
      </c>
      <c r="H4793" s="7">
        <v>98.49</v>
      </c>
      <c r="I4793" t="s">
        <v>64</v>
      </c>
      <c r="J4793" t="s">
        <v>22</v>
      </c>
      <c r="K4793">
        <v>0</v>
      </c>
      <c r="L4793" s="7">
        <f t="shared" si="223"/>
        <v>590.93999999999994</v>
      </c>
      <c r="M4793" s="7"/>
      <c r="O4793">
        <f t="shared" si="224"/>
        <v>2</v>
      </c>
      <c r="Q4793" t="s">
        <v>65</v>
      </c>
    </row>
    <row r="4794" spans="1:17" x14ac:dyDescent="0.3">
      <c r="A4794" t="s">
        <v>5925</v>
      </c>
      <c r="B4794" s="6">
        <v>45035</v>
      </c>
      <c r="C4794" s="6" t="str">
        <f t="shared" si="222"/>
        <v>Apr</v>
      </c>
      <c r="D4794" t="s">
        <v>943</v>
      </c>
      <c r="E4794" t="s">
        <v>36</v>
      </c>
      <c r="F4794" t="s">
        <v>693</v>
      </c>
      <c r="G4794">
        <v>5</v>
      </c>
      <c r="H4794" s="7">
        <v>137.96</v>
      </c>
      <c r="I4794" t="s">
        <v>19</v>
      </c>
      <c r="J4794" t="s">
        <v>72</v>
      </c>
      <c r="K4794">
        <v>15</v>
      </c>
      <c r="L4794" s="7">
        <f t="shared" si="223"/>
        <v>689.80000000000007</v>
      </c>
      <c r="M4794" s="7"/>
      <c r="O4794">
        <f t="shared" si="224"/>
        <v>2</v>
      </c>
      <c r="Q4794" t="s">
        <v>19</v>
      </c>
    </row>
    <row r="4795" spans="1:17" x14ac:dyDescent="0.3">
      <c r="A4795" t="s">
        <v>5926</v>
      </c>
      <c r="B4795" s="6">
        <v>45217</v>
      </c>
      <c r="C4795" s="6" t="str">
        <f t="shared" si="222"/>
        <v>Oct</v>
      </c>
      <c r="D4795" t="s">
        <v>1795</v>
      </c>
      <c r="E4795" t="s">
        <v>19</v>
      </c>
      <c r="F4795" t="s">
        <v>284</v>
      </c>
      <c r="G4795">
        <v>5</v>
      </c>
      <c r="H4795" s="7">
        <v>269.52</v>
      </c>
      <c r="I4795" t="s">
        <v>32</v>
      </c>
      <c r="J4795" t="s">
        <v>42</v>
      </c>
      <c r="K4795">
        <v>10</v>
      </c>
      <c r="L4795" s="7">
        <f t="shared" si="223"/>
        <v>1347.6</v>
      </c>
      <c r="M4795" s="7"/>
      <c r="O4795">
        <f t="shared" si="224"/>
        <v>2</v>
      </c>
      <c r="Q4795" t="s">
        <v>33</v>
      </c>
    </row>
    <row r="4796" spans="1:17" x14ac:dyDescent="0.3">
      <c r="A4796" t="s">
        <v>5927</v>
      </c>
      <c r="B4796" s="6">
        <v>45132</v>
      </c>
      <c r="C4796" s="6" t="str">
        <f t="shared" si="222"/>
        <v>Jul</v>
      </c>
      <c r="D4796" t="s">
        <v>1466</v>
      </c>
      <c r="E4796" t="s">
        <v>26</v>
      </c>
      <c r="F4796" t="s">
        <v>363</v>
      </c>
      <c r="G4796">
        <v>4</v>
      </c>
      <c r="H4796" s="7">
        <v>417.14</v>
      </c>
      <c r="I4796" t="s">
        <v>64</v>
      </c>
      <c r="J4796" t="s">
        <v>22</v>
      </c>
      <c r="K4796">
        <v>10</v>
      </c>
      <c r="L4796" s="7">
        <f t="shared" si="223"/>
        <v>1668.56</v>
      </c>
      <c r="M4796" s="7"/>
      <c r="O4796">
        <f t="shared" si="224"/>
        <v>2</v>
      </c>
      <c r="Q4796" t="s">
        <v>65</v>
      </c>
    </row>
    <row r="4797" spans="1:17" x14ac:dyDescent="0.3">
      <c r="A4797" t="s">
        <v>5928</v>
      </c>
      <c r="B4797" s="6">
        <v>45161</v>
      </c>
      <c r="C4797" s="6" t="str">
        <f t="shared" si="222"/>
        <v>Aug</v>
      </c>
      <c r="D4797" t="s">
        <v>172</v>
      </c>
      <c r="E4797" t="s">
        <v>62</v>
      </c>
      <c r="F4797" t="s">
        <v>1325</v>
      </c>
      <c r="G4797">
        <v>6</v>
      </c>
      <c r="H4797" s="7">
        <v>203.91</v>
      </c>
      <c r="I4797" t="s">
        <v>103</v>
      </c>
      <c r="J4797" t="s">
        <v>42</v>
      </c>
      <c r="K4797">
        <v>10</v>
      </c>
      <c r="L4797" s="7">
        <f t="shared" si="223"/>
        <v>1223.46</v>
      </c>
      <c r="M4797" s="7"/>
      <c r="O4797">
        <f t="shared" si="224"/>
        <v>2</v>
      </c>
      <c r="Q4797" t="s">
        <v>104</v>
      </c>
    </row>
    <row r="4798" spans="1:17" x14ac:dyDescent="0.3">
      <c r="A4798" t="s">
        <v>5929</v>
      </c>
      <c r="B4798" s="6">
        <v>45241</v>
      </c>
      <c r="C4798" s="6" t="str">
        <f t="shared" si="222"/>
        <v>Nov</v>
      </c>
      <c r="D4798" t="s">
        <v>1391</v>
      </c>
      <c r="E4798" t="s">
        <v>50</v>
      </c>
      <c r="F4798" t="s">
        <v>316</v>
      </c>
      <c r="G4798">
        <v>7</v>
      </c>
      <c r="H4798" s="7">
        <v>359.9</v>
      </c>
      <c r="I4798" t="s">
        <v>103</v>
      </c>
      <c r="J4798" t="s">
        <v>22</v>
      </c>
      <c r="K4798">
        <v>10</v>
      </c>
      <c r="L4798" s="7">
        <f t="shared" si="223"/>
        <v>2519.2999999999997</v>
      </c>
      <c r="M4798" s="7"/>
      <c r="O4798">
        <f t="shared" si="224"/>
        <v>3</v>
      </c>
      <c r="Q4798" t="s">
        <v>104</v>
      </c>
    </row>
    <row r="4799" spans="1:17" x14ac:dyDescent="0.3">
      <c r="A4799" t="s">
        <v>5930</v>
      </c>
      <c r="B4799" s="6">
        <v>44996</v>
      </c>
      <c r="C4799" s="6" t="str">
        <f t="shared" si="222"/>
        <v>Mar</v>
      </c>
      <c r="D4799" t="s">
        <v>883</v>
      </c>
      <c r="E4799" t="s">
        <v>50</v>
      </c>
      <c r="F4799" t="s">
        <v>939</v>
      </c>
      <c r="G4799">
        <v>9</v>
      </c>
      <c r="H4799" s="7">
        <v>438.96</v>
      </c>
      <c r="I4799" t="s">
        <v>64</v>
      </c>
      <c r="J4799" t="s">
        <v>28</v>
      </c>
      <c r="K4799">
        <v>10</v>
      </c>
      <c r="L4799" s="7">
        <f t="shared" si="223"/>
        <v>3950.64</v>
      </c>
      <c r="M4799" s="7"/>
      <c r="O4799">
        <f t="shared" si="224"/>
        <v>5</v>
      </c>
      <c r="Q4799" t="s">
        <v>65</v>
      </c>
    </row>
    <row r="4800" spans="1:17" x14ac:dyDescent="0.3">
      <c r="A4800" t="s">
        <v>5931</v>
      </c>
      <c r="B4800" s="6">
        <v>45003</v>
      </c>
      <c r="C4800" s="6" t="str">
        <f t="shared" si="222"/>
        <v>Mar</v>
      </c>
      <c r="D4800" t="s">
        <v>551</v>
      </c>
      <c r="E4800" t="s">
        <v>40</v>
      </c>
      <c r="F4800" t="s">
        <v>137</v>
      </c>
      <c r="G4800">
        <v>7</v>
      </c>
      <c r="H4800" s="7">
        <v>112.07</v>
      </c>
      <c r="I4800" t="s">
        <v>32</v>
      </c>
      <c r="J4800" t="s">
        <v>19</v>
      </c>
      <c r="K4800">
        <v>15</v>
      </c>
      <c r="L4800" s="7">
        <f t="shared" si="223"/>
        <v>784.49</v>
      </c>
      <c r="M4800" s="7"/>
      <c r="O4800">
        <f t="shared" si="224"/>
        <v>2</v>
      </c>
      <c r="Q4800" t="s">
        <v>33</v>
      </c>
    </row>
    <row r="4801" spans="1:17" x14ac:dyDescent="0.3">
      <c r="A4801" t="s">
        <v>5932</v>
      </c>
      <c r="B4801" s="6">
        <v>45246</v>
      </c>
      <c r="C4801" s="6" t="str">
        <f t="shared" si="222"/>
        <v>Nov</v>
      </c>
      <c r="D4801" t="s">
        <v>5035</v>
      </c>
      <c r="E4801" t="s">
        <v>19</v>
      </c>
      <c r="F4801" t="s">
        <v>313</v>
      </c>
      <c r="G4801">
        <v>6</v>
      </c>
      <c r="H4801" s="7">
        <v>404.56</v>
      </c>
      <c r="I4801" t="s">
        <v>46</v>
      </c>
      <c r="J4801" t="s">
        <v>22</v>
      </c>
      <c r="K4801">
        <v>15</v>
      </c>
      <c r="L4801" s="7">
        <f t="shared" si="223"/>
        <v>2427.36</v>
      </c>
      <c r="M4801" s="7"/>
      <c r="O4801">
        <f t="shared" si="224"/>
        <v>2</v>
      </c>
      <c r="Q4801" t="s">
        <v>47</v>
      </c>
    </row>
    <row r="4802" spans="1:17" x14ac:dyDescent="0.3">
      <c r="A4802" t="s">
        <v>5933</v>
      </c>
      <c r="B4802" s="6">
        <v>45139</v>
      </c>
      <c r="C4802" s="6" t="str">
        <f t="shared" si="222"/>
        <v>Aug</v>
      </c>
      <c r="D4802" t="s">
        <v>1970</v>
      </c>
      <c r="E4802" t="s">
        <v>40</v>
      </c>
      <c r="F4802" t="s">
        <v>119</v>
      </c>
      <c r="G4802">
        <v>1</v>
      </c>
      <c r="H4802" s="7">
        <v>379.91</v>
      </c>
      <c r="I4802" t="s">
        <v>46</v>
      </c>
      <c r="J4802" t="s">
        <v>28</v>
      </c>
      <c r="K4802">
        <v>10</v>
      </c>
      <c r="L4802" s="7">
        <f t="shared" si="223"/>
        <v>379.91</v>
      </c>
      <c r="M4802" s="7"/>
      <c r="O4802">
        <f t="shared" si="224"/>
        <v>2</v>
      </c>
      <c r="Q4802" t="s">
        <v>47</v>
      </c>
    </row>
    <row r="4803" spans="1:17" x14ac:dyDescent="0.3">
      <c r="A4803" t="s">
        <v>5934</v>
      </c>
      <c r="B4803" s="6">
        <v>45268</v>
      </c>
      <c r="C4803" s="6" t="str">
        <f t="shared" ref="C4803:C4866" si="225">TEXT(B4803,"MMM")</f>
        <v>Dec</v>
      </c>
      <c r="D4803" t="s">
        <v>3468</v>
      </c>
      <c r="E4803" t="s">
        <v>31</v>
      </c>
      <c r="F4803" t="s">
        <v>208</v>
      </c>
      <c r="G4803">
        <v>2</v>
      </c>
      <c r="H4803" s="7">
        <v>181.68</v>
      </c>
      <c r="I4803" t="s">
        <v>21</v>
      </c>
      <c r="J4803" t="s">
        <v>28</v>
      </c>
      <c r="K4803">
        <v>10</v>
      </c>
      <c r="L4803" s="7">
        <f t="shared" ref="L4803:L4866" si="226">G4803*H4803</f>
        <v>363.36</v>
      </c>
      <c r="M4803" s="7"/>
      <c r="O4803">
        <f t="shared" si="224"/>
        <v>2</v>
      </c>
      <c r="Q4803" t="s">
        <v>23</v>
      </c>
    </row>
    <row r="4804" spans="1:17" x14ac:dyDescent="0.3">
      <c r="A4804" t="s">
        <v>5935</v>
      </c>
      <c r="B4804" s="6">
        <v>45233</v>
      </c>
      <c r="C4804" s="6" t="str">
        <f t="shared" si="225"/>
        <v>Nov</v>
      </c>
      <c r="D4804" t="s">
        <v>1505</v>
      </c>
      <c r="E4804" t="s">
        <v>50</v>
      </c>
      <c r="F4804" t="s">
        <v>983</v>
      </c>
      <c r="G4804">
        <v>1</v>
      </c>
      <c r="H4804" s="7">
        <v>494.81</v>
      </c>
      <c r="I4804" t="s">
        <v>64</v>
      </c>
      <c r="J4804" t="s">
        <v>28</v>
      </c>
      <c r="K4804">
        <v>15</v>
      </c>
      <c r="L4804" s="7">
        <f t="shared" si="226"/>
        <v>494.81</v>
      </c>
      <c r="M4804" s="7"/>
      <c r="O4804">
        <f t="shared" ref="O4804:O4867" si="227">IF(L4804&gt;3500,5,IF(L4804&gt;3000,4,IF(L4804&gt;2500,3,IF(L4804&gt;2000,2,IF(L4804&gt;1000,2,2)))))</f>
        <v>2</v>
      </c>
      <c r="Q4804" t="s">
        <v>65</v>
      </c>
    </row>
    <row r="4805" spans="1:17" x14ac:dyDescent="0.3">
      <c r="A4805" t="s">
        <v>5936</v>
      </c>
      <c r="B4805" s="6">
        <v>45119</v>
      </c>
      <c r="C4805" s="6" t="str">
        <f t="shared" si="225"/>
        <v>Jul</v>
      </c>
      <c r="D4805" t="s">
        <v>365</v>
      </c>
      <c r="E4805" t="s">
        <v>31</v>
      </c>
      <c r="F4805" t="s">
        <v>1374</v>
      </c>
      <c r="G4805">
        <v>9</v>
      </c>
      <c r="H4805" s="7">
        <v>134.97</v>
      </c>
      <c r="I4805" t="s">
        <v>103</v>
      </c>
      <c r="J4805" t="s">
        <v>87</v>
      </c>
      <c r="K4805">
        <v>5</v>
      </c>
      <c r="L4805" s="7">
        <f t="shared" si="226"/>
        <v>1214.73</v>
      </c>
      <c r="M4805" s="7"/>
      <c r="O4805">
        <f t="shared" si="227"/>
        <v>2</v>
      </c>
      <c r="Q4805" t="s">
        <v>104</v>
      </c>
    </row>
    <row r="4806" spans="1:17" x14ac:dyDescent="0.3">
      <c r="A4806" t="s">
        <v>5937</v>
      </c>
      <c r="B4806" s="6">
        <v>45264</v>
      </c>
      <c r="C4806" s="6" t="str">
        <f t="shared" si="225"/>
        <v>Dec</v>
      </c>
      <c r="D4806" t="s">
        <v>192</v>
      </c>
      <c r="E4806" t="s">
        <v>40</v>
      </c>
      <c r="F4806" t="s">
        <v>1085</v>
      </c>
      <c r="G4806">
        <v>9</v>
      </c>
      <c r="H4806" s="7">
        <v>131.13</v>
      </c>
      <c r="I4806" t="s">
        <v>19</v>
      </c>
      <c r="J4806" t="s">
        <v>22</v>
      </c>
      <c r="K4806">
        <v>10</v>
      </c>
      <c r="L4806" s="7">
        <f t="shared" si="226"/>
        <v>1180.17</v>
      </c>
      <c r="M4806" s="7"/>
      <c r="O4806">
        <f t="shared" si="227"/>
        <v>2</v>
      </c>
      <c r="Q4806" t="s">
        <v>19</v>
      </c>
    </row>
    <row r="4807" spans="1:17" x14ac:dyDescent="0.3">
      <c r="A4807" t="s">
        <v>5938</v>
      </c>
      <c r="B4807" s="6">
        <v>45212</v>
      </c>
      <c r="C4807" s="6" t="str">
        <f t="shared" si="225"/>
        <v>Oct</v>
      </c>
      <c r="D4807" t="s">
        <v>762</v>
      </c>
      <c r="E4807" t="s">
        <v>26</v>
      </c>
      <c r="F4807" t="s">
        <v>713</v>
      </c>
      <c r="G4807">
        <v>7</v>
      </c>
      <c r="H4807" s="7">
        <v>387.27</v>
      </c>
      <c r="I4807" t="s">
        <v>32</v>
      </c>
      <c r="J4807" t="s">
        <v>87</v>
      </c>
      <c r="K4807">
        <v>15</v>
      </c>
      <c r="L4807" s="7">
        <f t="shared" si="226"/>
        <v>2710.89</v>
      </c>
      <c r="M4807" s="7"/>
      <c r="O4807">
        <f t="shared" si="227"/>
        <v>3</v>
      </c>
      <c r="Q4807" t="s">
        <v>33</v>
      </c>
    </row>
    <row r="4808" spans="1:17" x14ac:dyDescent="0.3">
      <c r="A4808" t="s">
        <v>5939</v>
      </c>
      <c r="B4808" s="6">
        <v>45246</v>
      </c>
      <c r="C4808" s="6" t="str">
        <f t="shared" si="225"/>
        <v>Nov</v>
      </c>
      <c r="D4808" t="s">
        <v>3468</v>
      </c>
      <c r="E4808" t="s">
        <v>40</v>
      </c>
      <c r="F4808" t="s">
        <v>107</v>
      </c>
      <c r="G4808">
        <v>2</v>
      </c>
      <c r="H4808" s="7">
        <v>220.16</v>
      </c>
      <c r="I4808" t="s">
        <v>103</v>
      </c>
      <c r="J4808" t="s">
        <v>87</v>
      </c>
      <c r="K4808">
        <v>0</v>
      </c>
      <c r="L4808" s="7">
        <f t="shared" si="226"/>
        <v>440.32</v>
      </c>
      <c r="M4808" s="7"/>
      <c r="O4808">
        <f t="shared" si="227"/>
        <v>2</v>
      </c>
      <c r="Q4808" t="s">
        <v>104</v>
      </c>
    </row>
    <row r="4809" spans="1:17" x14ac:dyDescent="0.3">
      <c r="A4809" t="s">
        <v>5940</v>
      </c>
      <c r="B4809" s="6">
        <v>45044</v>
      </c>
      <c r="C4809" s="6" t="str">
        <f t="shared" si="225"/>
        <v>Apr</v>
      </c>
      <c r="D4809" t="s">
        <v>3940</v>
      </c>
      <c r="E4809" t="s">
        <v>40</v>
      </c>
      <c r="F4809" t="s">
        <v>237</v>
      </c>
      <c r="G4809">
        <v>6</v>
      </c>
      <c r="H4809" s="7">
        <v>168.74</v>
      </c>
      <c r="I4809" t="s">
        <v>46</v>
      </c>
      <c r="J4809" t="s">
        <v>28</v>
      </c>
      <c r="K4809">
        <v>0</v>
      </c>
      <c r="L4809" s="7">
        <f t="shared" si="226"/>
        <v>1012.44</v>
      </c>
      <c r="M4809" s="7"/>
      <c r="O4809">
        <f t="shared" si="227"/>
        <v>2</v>
      </c>
      <c r="Q4809" t="s">
        <v>47</v>
      </c>
    </row>
    <row r="4810" spans="1:17" x14ac:dyDescent="0.3">
      <c r="A4810" t="s">
        <v>5941</v>
      </c>
      <c r="B4810" s="6">
        <v>45205</v>
      </c>
      <c r="C4810" s="6" t="str">
        <f t="shared" si="225"/>
        <v>Oct</v>
      </c>
      <c r="D4810" t="s">
        <v>510</v>
      </c>
      <c r="E4810" t="s">
        <v>36</v>
      </c>
      <c r="F4810" t="s">
        <v>137</v>
      </c>
      <c r="G4810">
        <v>4</v>
      </c>
      <c r="H4810" s="7">
        <v>93.44</v>
      </c>
      <c r="I4810" t="s">
        <v>103</v>
      </c>
      <c r="J4810" t="s">
        <v>19</v>
      </c>
      <c r="K4810">
        <v>5</v>
      </c>
      <c r="L4810" s="7">
        <f t="shared" si="226"/>
        <v>373.76</v>
      </c>
      <c r="M4810" s="7"/>
      <c r="O4810">
        <f t="shared" si="227"/>
        <v>2</v>
      </c>
      <c r="Q4810" t="s">
        <v>104</v>
      </c>
    </row>
    <row r="4811" spans="1:17" x14ac:dyDescent="0.3">
      <c r="A4811" t="s">
        <v>5942</v>
      </c>
      <c r="B4811" s="6">
        <v>45252</v>
      </c>
      <c r="C4811" s="6" t="str">
        <f t="shared" si="225"/>
        <v>Nov</v>
      </c>
      <c r="D4811" t="s">
        <v>860</v>
      </c>
      <c r="E4811" t="s">
        <v>50</v>
      </c>
      <c r="F4811" t="s">
        <v>145</v>
      </c>
      <c r="G4811">
        <v>1</v>
      </c>
      <c r="H4811" s="7">
        <v>383.84</v>
      </c>
      <c r="I4811" t="s">
        <v>32</v>
      </c>
      <c r="J4811" t="s">
        <v>87</v>
      </c>
      <c r="K4811">
        <v>15</v>
      </c>
      <c r="L4811" s="7">
        <f t="shared" si="226"/>
        <v>383.84</v>
      </c>
      <c r="M4811" s="7"/>
      <c r="O4811">
        <f t="shared" si="227"/>
        <v>2</v>
      </c>
      <c r="Q4811" t="s">
        <v>33</v>
      </c>
    </row>
    <row r="4812" spans="1:17" x14ac:dyDescent="0.3">
      <c r="A4812" t="s">
        <v>5943</v>
      </c>
      <c r="B4812" s="6">
        <v>45043</v>
      </c>
      <c r="C4812" s="6" t="str">
        <f t="shared" si="225"/>
        <v>Apr</v>
      </c>
      <c r="D4812" t="s">
        <v>1065</v>
      </c>
      <c r="E4812" t="s">
        <v>19</v>
      </c>
      <c r="F4812" t="s">
        <v>246</v>
      </c>
      <c r="G4812">
        <v>1</v>
      </c>
      <c r="H4812" s="7">
        <v>394.23</v>
      </c>
      <c r="I4812" t="s">
        <v>32</v>
      </c>
      <c r="J4812" t="s">
        <v>87</v>
      </c>
      <c r="K4812">
        <v>0</v>
      </c>
      <c r="L4812" s="7">
        <f t="shared" si="226"/>
        <v>394.23</v>
      </c>
      <c r="M4812" s="7"/>
      <c r="O4812">
        <f t="shared" si="227"/>
        <v>2</v>
      </c>
      <c r="Q4812" t="s">
        <v>33</v>
      </c>
    </row>
    <row r="4813" spans="1:17" x14ac:dyDescent="0.3">
      <c r="A4813" t="s">
        <v>5944</v>
      </c>
      <c r="B4813" s="6">
        <v>45028</v>
      </c>
      <c r="C4813" s="6" t="str">
        <f t="shared" si="225"/>
        <v>Apr</v>
      </c>
      <c r="D4813" t="s">
        <v>3317</v>
      </c>
      <c r="E4813" t="s">
        <v>19</v>
      </c>
      <c r="F4813" t="s">
        <v>325</v>
      </c>
      <c r="G4813">
        <v>5</v>
      </c>
      <c r="H4813" s="7">
        <v>252.16</v>
      </c>
      <c r="I4813" t="s">
        <v>21</v>
      </c>
      <c r="J4813" t="s">
        <v>87</v>
      </c>
      <c r="K4813">
        <v>10</v>
      </c>
      <c r="L4813" s="7">
        <f t="shared" si="226"/>
        <v>1260.8</v>
      </c>
      <c r="M4813" s="7"/>
      <c r="O4813">
        <f t="shared" si="227"/>
        <v>2</v>
      </c>
      <c r="Q4813" t="s">
        <v>23</v>
      </c>
    </row>
    <row r="4814" spans="1:17" x14ac:dyDescent="0.3">
      <c r="A4814" t="s">
        <v>5945</v>
      </c>
      <c r="B4814" s="6">
        <v>44927</v>
      </c>
      <c r="C4814" s="6" t="str">
        <f t="shared" si="225"/>
        <v>Jan</v>
      </c>
      <c r="D4814" t="s">
        <v>553</v>
      </c>
      <c r="E4814" t="s">
        <v>62</v>
      </c>
      <c r="F4814" t="s">
        <v>316</v>
      </c>
      <c r="G4814">
        <v>2</v>
      </c>
      <c r="H4814" s="7">
        <v>478.87</v>
      </c>
      <c r="I4814" t="s">
        <v>21</v>
      </c>
      <c r="J4814" t="s">
        <v>22</v>
      </c>
      <c r="K4814">
        <v>20</v>
      </c>
      <c r="L4814" s="7">
        <f t="shared" si="226"/>
        <v>957.74</v>
      </c>
      <c r="M4814" s="7"/>
      <c r="O4814">
        <f t="shared" si="227"/>
        <v>2</v>
      </c>
      <c r="Q4814" t="s">
        <v>23</v>
      </c>
    </row>
    <row r="4815" spans="1:17" x14ac:dyDescent="0.3">
      <c r="A4815" t="s">
        <v>5946</v>
      </c>
      <c r="B4815" s="6">
        <v>45070</v>
      </c>
      <c r="C4815" s="6" t="str">
        <f t="shared" si="225"/>
        <v>May</v>
      </c>
      <c r="D4815" t="s">
        <v>717</v>
      </c>
      <c r="E4815" t="s">
        <v>62</v>
      </c>
      <c r="F4815" t="s">
        <v>1328</v>
      </c>
      <c r="G4815">
        <v>4</v>
      </c>
      <c r="H4815" s="7">
        <v>162.49</v>
      </c>
      <c r="I4815" t="s">
        <v>21</v>
      </c>
      <c r="J4815" t="s">
        <v>87</v>
      </c>
      <c r="K4815">
        <v>15</v>
      </c>
      <c r="L4815" s="7">
        <f t="shared" si="226"/>
        <v>649.96</v>
      </c>
      <c r="M4815" s="7"/>
      <c r="O4815">
        <f t="shared" si="227"/>
        <v>2</v>
      </c>
      <c r="Q4815" t="s">
        <v>23</v>
      </c>
    </row>
    <row r="4816" spans="1:17" x14ac:dyDescent="0.3">
      <c r="A4816" t="s">
        <v>5947</v>
      </c>
      <c r="B4816" s="6">
        <v>44981</v>
      </c>
      <c r="C4816" s="6" t="str">
        <f t="shared" si="225"/>
        <v>Feb</v>
      </c>
      <c r="D4816" t="s">
        <v>452</v>
      </c>
      <c r="E4816" t="s">
        <v>40</v>
      </c>
      <c r="F4816" t="s">
        <v>99</v>
      </c>
      <c r="G4816">
        <v>1</v>
      </c>
      <c r="H4816" s="7">
        <v>113.71</v>
      </c>
      <c r="I4816" t="s">
        <v>46</v>
      </c>
      <c r="J4816" t="s">
        <v>42</v>
      </c>
      <c r="K4816">
        <v>5</v>
      </c>
      <c r="L4816" s="7">
        <f t="shared" si="226"/>
        <v>113.71</v>
      </c>
      <c r="M4816" s="7"/>
      <c r="O4816">
        <f t="shared" si="227"/>
        <v>2</v>
      </c>
      <c r="Q4816" t="s">
        <v>47</v>
      </c>
    </row>
    <row r="4817" spans="1:17" x14ac:dyDescent="0.3">
      <c r="A4817" t="s">
        <v>5948</v>
      </c>
      <c r="B4817" s="6">
        <v>45050</v>
      </c>
      <c r="C4817" s="6" t="str">
        <f t="shared" si="225"/>
        <v>May</v>
      </c>
      <c r="D4817" t="s">
        <v>1050</v>
      </c>
      <c r="E4817" t="s">
        <v>40</v>
      </c>
      <c r="F4817" t="s">
        <v>1085</v>
      </c>
      <c r="G4817">
        <v>4</v>
      </c>
      <c r="H4817" s="7">
        <v>340.35</v>
      </c>
      <c r="I4817" t="s">
        <v>32</v>
      </c>
      <c r="J4817" t="s">
        <v>42</v>
      </c>
      <c r="K4817">
        <v>15</v>
      </c>
      <c r="L4817" s="7">
        <f t="shared" si="226"/>
        <v>1361.4</v>
      </c>
      <c r="M4817" s="7"/>
      <c r="O4817">
        <f t="shared" si="227"/>
        <v>2</v>
      </c>
      <c r="Q4817" t="s">
        <v>33</v>
      </c>
    </row>
    <row r="4818" spans="1:17" x14ac:dyDescent="0.3">
      <c r="A4818" t="s">
        <v>5949</v>
      </c>
      <c r="B4818" s="6">
        <v>45162</v>
      </c>
      <c r="C4818" s="6" t="str">
        <f t="shared" si="225"/>
        <v>Aug</v>
      </c>
      <c r="D4818" t="s">
        <v>1236</v>
      </c>
      <c r="E4818" t="s">
        <v>19</v>
      </c>
      <c r="F4818" t="s">
        <v>208</v>
      </c>
      <c r="G4818">
        <v>6</v>
      </c>
      <c r="H4818" s="7">
        <v>380.41</v>
      </c>
      <c r="I4818" t="s">
        <v>21</v>
      </c>
      <c r="J4818" t="s">
        <v>19</v>
      </c>
      <c r="K4818">
        <v>10</v>
      </c>
      <c r="L4818" s="7">
        <f t="shared" si="226"/>
        <v>2282.46</v>
      </c>
      <c r="M4818" s="7"/>
      <c r="O4818">
        <f t="shared" si="227"/>
        <v>2</v>
      </c>
      <c r="Q4818" t="s">
        <v>23</v>
      </c>
    </row>
    <row r="4819" spans="1:17" x14ac:dyDescent="0.3">
      <c r="A4819" t="s">
        <v>5950</v>
      </c>
      <c r="B4819" s="6">
        <v>45146</v>
      </c>
      <c r="C4819" s="6" t="str">
        <f t="shared" si="225"/>
        <v>Aug</v>
      </c>
      <c r="D4819" t="s">
        <v>1980</v>
      </c>
      <c r="E4819" t="s">
        <v>31</v>
      </c>
      <c r="F4819" t="s">
        <v>331</v>
      </c>
      <c r="G4819">
        <v>4</v>
      </c>
      <c r="H4819" s="7">
        <v>116.33</v>
      </c>
      <c r="I4819" t="s">
        <v>19</v>
      </c>
      <c r="J4819" t="s">
        <v>87</v>
      </c>
      <c r="K4819">
        <v>10</v>
      </c>
      <c r="L4819" s="7">
        <f t="shared" si="226"/>
        <v>465.32</v>
      </c>
      <c r="M4819" s="7"/>
      <c r="O4819">
        <f t="shared" si="227"/>
        <v>2</v>
      </c>
      <c r="Q4819" t="s">
        <v>19</v>
      </c>
    </row>
    <row r="4820" spans="1:17" x14ac:dyDescent="0.3">
      <c r="A4820" t="s">
        <v>5951</v>
      </c>
      <c r="B4820" s="6">
        <v>45095</v>
      </c>
      <c r="C4820" s="6" t="str">
        <f t="shared" si="225"/>
        <v>Jun</v>
      </c>
      <c r="D4820" t="s">
        <v>1832</v>
      </c>
      <c r="E4820" t="s">
        <v>31</v>
      </c>
      <c r="F4820" t="s">
        <v>1182</v>
      </c>
      <c r="G4820">
        <v>5</v>
      </c>
      <c r="H4820" s="7">
        <v>42.92</v>
      </c>
      <c r="I4820" t="s">
        <v>19</v>
      </c>
      <c r="J4820" t="s">
        <v>22</v>
      </c>
      <c r="K4820">
        <v>0</v>
      </c>
      <c r="L4820" s="7">
        <f t="shared" si="226"/>
        <v>214.60000000000002</v>
      </c>
      <c r="M4820" s="7"/>
      <c r="O4820">
        <f t="shared" si="227"/>
        <v>2</v>
      </c>
      <c r="Q4820" t="s">
        <v>19</v>
      </c>
    </row>
    <row r="4821" spans="1:17" x14ac:dyDescent="0.3">
      <c r="A4821" t="s">
        <v>5952</v>
      </c>
      <c r="B4821" s="6">
        <v>44935</v>
      </c>
      <c r="C4821" s="6" t="str">
        <f t="shared" si="225"/>
        <v>Jan</v>
      </c>
      <c r="D4821" t="s">
        <v>2712</v>
      </c>
      <c r="E4821" t="s">
        <v>19</v>
      </c>
      <c r="F4821" t="s">
        <v>51</v>
      </c>
      <c r="G4821">
        <v>7</v>
      </c>
      <c r="H4821" s="7">
        <v>406.21</v>
      </c>
      <c r="I4821" t="s">
        <v>19</v>
      </c>
      <c r="J4821" t="s">
        <v>42</v>
      </c>
      <c r="K4821">
        <v>10</v>
      </c>
      <c r="L4821" s="7">
        <f t="shared" si="226"/>
        <v>2843.47</v>
      </c>
      <c r="M4821" s="7"/>
      <c r="O4821">
        <f t="shared" si="227"/>
        <v>3</v>
      </c>
      <c r="Q4821" t="s">
        <v>19</v>
      </c>
    </row>
    <row r="4822" spans="1:17" x14ac:dyDescent="0.3">
      <c r="A4822" t="s">
        <v>5953</v>
      </c>
      <c r="B4822" s="6">
        <v>44976</v>
      </c>
      <c r="C4822" s="6" t="str">
        <f t="shared" si="225"/>
        <v>Feb</v>
      </c>
      <c r="D4822" t="s">
        <v>1275</v>
      </c>
      <c r="E4822" t="s">
        <v>19</v>
      </c>
      <c r="F4822" t="s">
        <v>1182</v>
      </c>
      <c r="G4822">
        <v>2</v>
      </c>
      <c r="H4822" s="7">
        <v>488.37</v>
      </c>
      <c r="I4822" t="s">
        <v>32</v>
      </c>
      <c r="J4822" t="s">
        <v>22</v>
      </c>
      <c r="K4822">
        <v>5</v>
      </c>
      <c r="L4822" s="7">
        <f t="shared" si="226"/>
        <v>976.74</v>
      </c>
      <c r="M4822" s="7"/>
      <c r="O4822">
        <f t="shared" si="227"/>
        <v>2</v>
      </c>
      <c r="Q4822" t="s">
        <v>33</v>
      </c>
    </row>
    <row r="4823" spans="1:17" x14ac:dyDescent="0.3">
      <c r="A4823" t="s">
        <v>5954</v>
      </c>
      <c r="B4823" s="6">
        <v>45140</v>
      </c>
      <c r="C4823" s="6" t="str">
        <f t="shared" si="225"/>
        <v>Aug</v>
      </c>
      <c r="D4823" t="s">
        <v>3132</v>
      </c>
      <c r="E4823" t="s">
        <v>31</v>
      </c>
      <c r="F4823" t="s">
        <v>511</v>
      </c>
      <c r="G4823">
        <v>9</v>
      </c>
      <c r="H4823" s="7">
        <v>324.11</v>
      </c>
      <c r="I4823" t="s">
        <v>64</v>
      </c>
      <c r="J4823" t="s">
        <v>87</v>
      </c>
      <c r="K4823">
        <v>0</v>
      </c>
      <c r="L4823" s="7">
        <f t="shared" si="226"/>
        <v>2916.9900000000002</v>
      </c>
      <c r="M4823" s="7"/>
      <c r="O4823">
        <f t="shared" si="227"/>
        <v>3</v>
      </c>
      <c r="Q4823" t="s">
        <v>65</v>
      </c>
    </row>
    <row r="4824" spans="1:17" x14ac:dyDescent="0.3">
      <c r="A4824" t="s">
        <v>5955</v>
      </c>
      <c r="B4824" s="6">
        <v>45029</v>
      </c>
      <c r="C4824" s="6" t="str">
        <f t="shared" si="225"/>
        <v>Apr</v>
      </c>
      <c r="D4824" t="s">
        <v>1449</v>
      </c>
      <c r="E4824" t="s">
        <v>62</v>
      </c>
      <c r="F4824" t="s">
        <v>356</v>
      </c>
      <c r="G4824">
        <v>3</v>
      </c>
      <c r="H4824" s="7">
        <v>142.54</v>
      </c>
      <c r="I4824" t="s">
        <v>19</v>
      </c>
      <c r="J4824" t="s">
        <v>42</v>
      </c>
      <c r="K4824">
        <v>5</v>
      </c>
      <c r="L4824" s="7">
        <f t="shared" si="226"/>
        <v>427.62</v>
      </c>
      <c r="M4824" s="7"/>
      <c r="O4824">
        <f t="shared" si="227"/>
        <v>2</v>
      </c>
      <c r="Q4824" t="s">
        <v>19</v>
      </c>
    </row>
    <row r="4825" spans="1:17" x14ac:dyDescent="0.3">
      <c r="A4825" t="s">
        <v>5956</v>
      </c>
      <c r="B4825" s="6">
        <v>45049</v>
      </c>
      <c r="C4825" s="6" t="str">
        <f t="shared" si="225"/>
        <v>May</v>
      </c>
      <c r="D4825" t="s">
        <v>2394</v>
      </c>
      <c r="E4825" t="s">
        <v>31</v>
      </c>
      <c r="F4825" t="s">
        <v>968</v>
      </c>
      <c r="G4825">
        <v>5</v>
      </c>
      <c r="H4825" s="7">
        <v>498.35</v>
      </c>
      <c r="I4825" t="s">
        <v>103</v>
      </c>
      <c r="J4825" t="s">
        <v>87</v>
      </c>
      <c r="K4825">
        <v>10</v>
      </c>
      <c r="L4825" s="7">
        <f t="shared" si="226"/>
        <v>2491.75</v>
      </c>
      <c r="M4825" s="7"/>
      <c r="O4825">
        <f t="shared" si="227"/>
        <v>2</v>
      </c>
      <c r="Q4825" t="s">
        <v>104</v>
      </c>
    </row>
    <row r="4826" spans="1:17" x14ac:dyDescent="0.3">
      <c r="A4826" t="s">
        <v>5957</v>
      </c>
      <c r="B4826" s="6">
        <v>45127</v>
      </c>
      <c r="C4826" s="6" t="str">
        <f t="shared" si="225"/>
        <v>Jul</v>
      </c>
      <c r="D4826" t="s">
        <v>1266</v>
      </c>
      <c r="E4826" t="s">
        <v>19</v>
      </c>
      <c r="F4826" t="s">
        <v>732</v>
      </c>
      <c r="G4826">
        <v>8</v>
      </c>
      <c r="H4826" s="7">
        <v>447.17</v>
      </c>
      <c r="I4826" t="s">
        <v>32</v>
      </c>
      <c r="J4826" t="s">
        <v>87</v>
      </c>
      <c r="K4826">
        <v>5</v>
      </c>
      <c r="L4826" s="7">
        <f t="shared" si="226"/>
        <v>3577.36</v>
      </c>
      <c r="M4826" s="7"/>
      <c r="O4826">
        <f t="shared" si="227"/>
        <v>5</v>
      </c>
      <c r="Q4826" t="s">
        <v>33</v>
      </c>
    </row>
    <row r="4827" spans="1:17" x14ac:dyDescent="0.3">
      <c r="A4827" t="s">
        <v>5958</v>
      </c>
      <c r="B4827" s="6">
        <v>45266</v>
      </c>
      <c r="C4827" s="6" t="str">
        <f t="shared" si="225"/>
        <v>Dec</v>
      </c>
      <c r="D4827" t="s">
        <v>74</v>
      </c>
      <c r="E4827" t="s">
        <v>62</v>
      </c>
      <c r="F4827" t="s">
        <v>107</v>
      </c>
      <c r="G4827">
        <v>3</v>
      </c>
      <c r="H4827" s="7">
        <v>259.12</v>
      </c>
      <c r="I4827" t="s">
        <v>21</v>
      </c>
      <c r="J4827" t="s">
        <v>22</v>
      </c>
      <c r="K4827">
        <v>10</v>
      </c>
      <c r="L4827" s="7">
        <f t="shared" si="226"/>
        <v>777.36</v>
      </c>
      <c r="M4827" s="7"/>
      <c r="O4827">
        <f t="shared" si="227"/>
        <v>2</v>
      </c>
      <c r="Q4827" t="s">
        <v>23</v>
      </c>
    </row>
    <row r="4828" spans="1:17" x14ac:dyDescent="0.3">
      <c r="A4828" t="s">
        <v>5959</v>
      </c>
      <c r="B4828" s="6">
        <v>45029</v>
      </c>
      <c r="C4828" s="6" t="str">
        <f t="shared" si="225"/>
        <v>Apr</v>
      </c>
      <c r="D4828" t="s">
        <v>2564</v>
      </c>
      <c r="E4828" t="s">
        <v>62</v>
      </c>
      <c r="F4828" t="s">
        <v>179</v>
      </c>
      <c r="G4828">
        <v>4</v>
      </c>
      <c r="H4828" s="7">
        <v>413.53</v>
      </c>
      <c r="I4828" t="s">
        <v>64</v>
      </c>
      <c r="J4828" t="s">
        <v>72</v>
      </c>
      <c r="K4828">
        <v>10</v>
      </c>
      <c r="L4828" s="7">
        <f t="shared" si="226"/>
        <v>1654.12</v>
      </c>
      <c r="M4828" s="7"/>
      <c r="O4828">
        <f t="shared" si="227"/>
        <v>2</v>
      </c>
      <c r="Q4828" t="s">
        <v>65</v>
      </c>
    </row>
    <row r="4829" spans="1:17" x14ac:dyDescent="0.3">
      <c r="A4829" t="s">
        <v>5960</v>
      </c>
      <c r="B4829" s="6">
        <v>45049</v>
      </c>
      <c r="C4829" s="6" t="str">
        <f t="shared" si="225"/>
        <v>May</v>
      </c>
      <c r="D4829" t="s">
        <v>1501</v>
      </c>
      <c r="E4829" t="s">
        <v>36</v>
      </c>
      <c r="F4829" t="s">
        <v>1251</v>
      </c>
      <c r="G4829">
        <v>2</v>
      </c>
      <c r="H4829" s="7">
        <v>408.83</v>
      </c>
      <c r="I4829" t="s">
        <v>19</v>
      </c>
      <c r="J4829" t="s">
        <v>28</v>
      </c>
      <c r="K4829">
        <v>10</v>
      </c>
      <c r="L4829" s="7">
        <f t="shared" si="226"/>
        <v>817.66</v>
      </c>
      <c r="M4829" s="7"/>
      <c r="O4829">
        <f t="shared" si="227"/>
        <v>2</v>
      </c>
      <c r="Q4829" t="s">
        <v>19</v>
      </c>
    </row>
    <row r="4830" spans="1:17" x14ac:dyDescent="0.3">
      <c r="A4830" t="s">
        <v>5961</v>
      </c>
      <c r="B4830" s="6">
        <v>45112</v>
      </c>
      <c r="C4830" s="6" t="str">
        <f t="shared" si="225"/>
        <v>Jul</v>
      </c>
      <c r="D4830" t="s">
        <v>2537</v>
      </c>
      <c r="E4830" t="s">
        <v>40</v>
      </c>
      <c r="F4830" t="s">
        <v>234</v>
      </c>
      <c r="G4830">
        <v>4</v>
      </c>
      <c r="H4830" s="7">
        <v>467.73</v>
      </c>
      <c r="I4830" t="s">
        <v>19</v>
      </c>
      <c r="J4830" t="s">
        <v>28</v>
      </c>
      <c r="K4830">
        <v>5</v>
      </c>
      <c r="L4830" s="7">
        <f t="shared" si="226"/>
        <v>1870.92</v>
      </c>
      <c r="M4830" s="7"/>
      <c r="O4830">
        <f t="shared" si="227"/>
        <v>2</v>
      </c>
      <c r="Q4830" t="s">
        <v>19</v>
      </c>
    </row>
    <row r="4831" spans="1:17" x14ac:dyDescent="0.3">
      <c r="A4831" t="s">
        <v>5962</v>
      </c>
      <c r="B4831" s="6">
        <v>45029</v>
      </c>
      <c r="C4831" s="6" t="str">
        <f t="shared" si="225"/>
        <v>Apr</v>
      </c>
      <c r="D4831" t="s">
        <v>2450</v>
      </c>
      <c r="E4831" t="s">
        <v>26</v>
      </c>
      <c r="F4831" t="s">
        <v>642</v>
      </c>
      <c r="G4831">
        <v>9</v>
      </c>
      <c r="H4831" s="7">
        <v>421.26</v>
      </c>
      <c r="I4831" t="s">
        <v>21</v>
      </c>
      <c r="J4831" t="s">
        <v>72</v>
      </c>
      <c r="K4831">
        <v>10</v>
      </c>
      <c r="L4831" s="7">
        <f t="shared" si="226"/>
        <v>3791.34</v>
      </c>
      <c r="M4831" s="7"/>
      <c r="O4831">
        <f t="shared" si="227"/>
        <v>5</v>
      </c>
      <c r="Q4831" t="s">
        <v>23</v>
      </c>
    </row>
    <row r="4832" spans="1:17" x14ac:dyDescent="0.3">
      <c r="A4832" t="s">
        <v>5963</v>
      </c>
      <c r="B4832" s="6">
        <v>45163</v>
      </c>
      <c r="C4832" s="6" t="str">
        <f t="shared" si="225"/>
        <v>Aug</v>
      </c>
      <c r="D4832" t="s">
        <v>2474</v>
      </c>
      <c r="E4832" t="s">
        <v>31</v>
      </c>
      <c r="F4832" t="s">
        <v>328</v>
      </c>
      <c r="G4832">
        <v>2</v>
      </c>
      <c r="H4832" s="7">
        <v>323.62</v>
      </c>
      <c r="I4832" t="s">
        <v>64</v>
      </c>
      <c r="J4832" t="s">
        <v>87</v>
      </c>
      <c r="K4832">
        <v>10</v>
      </c>
      <c r="L4832" s="7">
        <f t="shared" si="226"/>
        <v>647.24</v>
      </c>
      <c r="M4832" s="7"/>
      <c r="O4832">
        <f t="shared" si="227"/>
        <v>2</v>
      </c>
      <c r="Q4832" t="s">
        <v>65</v>
      </c>
    </row>
    <row r="4833" spans="1:17" x14ac:dyDescent="0.3">
      <c r="A4833" t="s">
        <v>5964</v>
      </c>
      <c r="B4833" s="6">
        <v>45037</v>
      </c>
      <c r="C4833" s="6" t="str">
        <f t="shared" si="225"/>
        <v>Apr</v>
      </c>
      <c r="D4833" t="s">
        <v>2968</v>
      </c>
      <c r="E4833" t="s">
        <v>36</v>
      </c>
      <c r="F4833" t="s">
        <v>445</v>
      </c>
      <c r="G4833">
        <v>3</v>
      </c>
      <c r="H4833" s="7">
        <v>306.61</v>
      </c>
      <c r="I4833" t="s">
        <v>103</v>
      </c>
      <c r="J4833" t="s">
        <v>22</v>
      </c>
      <c r="K4833">
        <v>10</v>
      </c>
      <c r="L4833" s="7">
        <f t="shared" si="226"/>
        <v>919.83</v>
      </c>
      <c r="M4833" s="7"/>
      <c r="O4833">
        <f t="shared" si="227"/>
        <v>2</v>
      </c>
      <c r="Q4833" t="s">
        <v>104</v>
      </c>
    </row>
    <row r="4834" spans="1:17" x14ac:dyDescent="0.3">
      <c r="A4834" t="s">
        <v>5965</v>
      </c>
      <c r="B4834" s="6">
        <v>45070</v>
      </c>
      <c r="C4834" s="6" t="str">
        <f t="shared" si="225"/>
        <v>May</v>
      </c>
      <c r="D4834" t="s">
        <v>1605</v>
      </c>
      <c r="E4834" t="s">
        <v>40</v>
      </c>
      <c r="F4834" t="s">
        <v>968</v>
      </c>
      <c r="G4834">
        <v>4</v>
      </c>
      <c r="H4834" s="7">
        <v>236.34</v>
      </c>
      <c r="I4834" t="s">
        <v>32</v>
      </c>
      <c r="J4834" t="s">
        <v>87</v>
      </c>
      <c r="K4834">
        <v>15</v>
      </c>
      <c r="L4834" s="7">
        <f t="shared" si="226"/>
        <v>945.36</v>
      </c>
      <c r="M4834" s="7"/>
      <c r="O4834">
        <f t="shared" si="227"/>
        <v>2</v>
      </c>
      <c r="Q4834" t="s">
        <v>33</v>
      </c>
    </row>
    <row r="4835" spans="1:17" x14ac:dyDescent="0.3">
      <c r="A4835" t="s">
        <v>5966</v>
      </c>
      <c r="B4835" s="6">
        <v>45179</v>
      </c>
      <c r="C4835" s="6" t="str">
        <f t="shared" si="225"/>
        <v>Sep</v>
      </c>
      <c r="D4835" t="s">
        <v>2094</v>
      </c>
      <c r="E4835" t="s">
        <v>19</v>
      </c>
      <c r="F4835" t="s">
        <v>170</v>
      </c>
      <c r="G4835">
        <v>5</v>
      </c>
      <c r="H4835" s="7">
        <v>315.11</v>
      </c>
      <c r="I4835" t="s">
        <v>46</v>
      </c>
      <c r="J4835" t="s">
        <v>22</v>
      </c>
      <c r="K4835">
        <v>10</v>
      </c>
      <c r="L4835" s="7">
        <f t="shared" si="226"/>
        <v>1575.5500000000002</v>
      </c>
      <c r="M4835" s="7"/>
      <c r="O4835">
        <f t="shared" si="227"/>
        <v>2</v>
      </c>
      <c r="Q4835" t="s">
        <v>47</v>
      </c>
    </row>
    <row r="4836" spans="1:17" x14ac:dyDescent="0.3">
      <c r="A4836" t="s">
        <v>5967</v>
      </c>
      <c r="B4836" s="6">
        <v>45117</v>
      </c>
      <c r="C4836" s="6" t="str">
        <f t="shared" si="225"/>
        <v>Jul</v>
      </c>
      <c r="D4836" t="s">
        <v>956</v>
      </c>
      <c r="E4836" t="s">
        <v>36</v>
      </c>
      <c r="F4836" t="s">
        <v>99</v>
      </c>
      <c r="G4836">
        <v>1</v>
      </c>
      <c r="H4836" s="7">
        <v>398.63</v>
      </c>
      <c r="I4836" t="s">
        <v>21</v>
      </c>
      <c r="J4836" t="s">
        <v>28</v>
      </c>
      <c r="K4836">
        <v>10</v>
      </c>
      <c r="L4836" s="7">
        <f t="shared" si="226"/>
        <v>398.63</v>
      </c>
      <c r="M4836" s="7"/>
      <c r="O4836">
        <f t="shared" si="227"/>
        <v>2</v>
      </c>
      <c r="Q4836" t="s">
        <v>23</v>
      </c>
    </row>
    <row r="4837" spans="1:17" x14ac:dyDescent="0.3">
      <c r="A4837" t="s">
        <v>5968</v>
      </c>
      <c r="B4837" s="6">
        <v>45272</v>
      </c>
      <c r="C4837" s="6" t="str">
        <f t="shared" si="225"/>
        <v>Dec</v>
      </c>
      <c r="D4837" t="s">
        <v>2048</v>
      </c>
      <c r="E4837" t="s">
        <v>36</v>
      </c>
      <c r="F4837" t="s">
        <v>142</v>
      </c>
      <c r="G4837">
        <v>7</v>
      </c>
      <c r="H4837" s="7">
        <v>484.67</v>
      </c>
      <c r="I4837" t="s">
        <v>19</v>
      </c>
      <c r="J4837" t="s">
        <v>87</v>
      </c>
      <c r="K4837">
        <v>10</v>
      </c>
      <c r="L4837" s="7">
        <f t="shared" si="226"/>
        <v>3392.69</v>
      </c>
      <c r="M4837" s="7"/>
      <c r="O4837">
        <f t="shared" si="227"/>
        <v>4</v>
      </c>
      <c r="Q4837" t="s">
        <v>19</v>
      </c>
    </row>
    <row r="4838" spans="1:17" x14ac:dyDescent="0.3">
      <c r="A4838" t="s">
        <v>5969</v>
      </c>
      <c r="B4838" s="6">
        <v>45083</v>
      </c>
      <c r="C4838" s="6" t="str">
        <f t="shared" si="225"/>
        <v>Jun</v>
      </c>
      <c r="D4838" t="s">
        <v>1285</v>
      </c>
      <c r="E4838" t="s">
        <v>19</v>
      </c>
      <c r="F4838" t="s">
        <v>201</v>
      </c>
      <c r="G4838">
        <v>7</v>
      </c>
      <c r="H4838" s="7">
        <v>236.31</v>
      </c>
      <c r="I4838" t="s">
        <v>64</v>
      </c>
      <c r="J4838" t="s">
        <v>28</v>
      </c>
      <c r="K4838">
        <v>5</v>
      </c>
      <c r="L4838" s="7">
        <f t="shared" si="226"/>
        <v>1654.17</v>
      </c>
      <c r="M4838" s="7"/>
      <c r="O4838">
        <f t="shared" si="227"/>
        <v>2</v>
      </c>
      <c r="Q4838" t="s">
        <v>65</v>
      </c>
    </row>
    <row r="4839" spans="1:17" x14ac:dyDescent="0.3">
      <c r="A4839" t="s">
        <v>5970</v>
      </c>
      <c r="B4839" s="6">
        <v>45038</v>
      </c>
      <c r="C4839" s="6" t="str">
        <f t="shared" si="225"/>
        <v>Apr</v>
      </c>
      <c r="D4839" t="s">
        <v>1968</v>
      </c>
      <c r="E4839" t="s">
        <v>36</v>
      </c>
      <c r="F4839" t="s">
        <v>51</v>
      </c>
      <c r="G4839">
        <v>9</v>
      </c>
      <c r="H4839" s="7">
        <v>288.95999999999998</v>
      </c>
      <c r="I4839" t="s">
        <v>64</v>
      </c>
      <c r="J4839" t="s">
        <v>28</v>
      </c>
      <c r="K4839">
        <v>20</v>
      </c>
      <c r="L4839" s="7">
        <f t="shared" si="226"/>
        <v>2600.64</v>
      </c>
      <c r="M4839" s="7"/>
      <c r="O4839">
        <f t="shared" si="227"/>
        <v>3</v>
      </c>
      <c r="Q4839" t="s">
        <v>65</v>
      </c>
    </row>
    <row r="4840" spans="1:17" x14ac:dyDescent="0.3">
      <c r="A4840" t="s">
        <v>5971</v>
      </c>
      <c r="B4840" s="6">
        <v>45032</v>
      </c>
      <c r="C4840" s="6" t="str">
        <f t="shared" si="225"/>
        <v>Apr</v>
      </c>
      <c r="D4840" t="s">
        <v>1718</v>
      </c>
      <c r="E4840" t="s">
        <v>19</v>
      </c>
      <c r="F4840" t="s">
        <v>281</v>
      </c>
      <c r="G4840">
        <v>4</v>
      </c>
      <c r="H4840" s="7">
        <v>252.16</v>
      </c>
      <c r="I4840" t="s">
        <v>21</v>
      </c>
      <c r="J4840" t="s">
        <v>28</v>
      </c>
      <c r="K4840">
        <v>5</v>
      </c>
      <c r="L4840" s="7">
        <f t="shared" si="226"/>
        <v>1008.64</v>
      </c>
      <c r="M4840" s="7"/>
      <c r="O4840">
        <f t="shared" si="227"/>
        <v>2</v>
      </c>
      <c r="Q4840" t="s">
        <v>23</v>
      </c>
    </row>
    <row r="4841" spans="1:17" x14ac:dyDescent="0.3">
      <c r="A4841" t="s">
        <v>5972</v>
      </c>
      <c r="B4841" s="6">
        <v>45115</v>
      </c>
      <c r="C4841" s="6" t="str">
        <f t="shared" si="225"/>
        <v>Jul</v>
      </c>
      <c r="D4841" t="s">
        <v>1266</v>
      </c>
      <c r="E4841" t="s">
        <v>31</v>
      </c>
      <c r="F4841" t="s">
        <v>353</v>
      </c>
      <c r="G4841">
        <v>6</v>
      </c>
      <c r="H4841" s="7">
        <v>335.9</v>
      </c>
      <c r="I4841" t="s">
        <v>64</v>
      </c>
      <c r="J4841" t="s">
        <v>19</v>
      </c>
      <c r="K4841">
        <v>10</v>
      </c>
      <c r="L4841" s="7">
        <f t="shared" si="226"/>
        <v>2015.3999999999999</v>
      </c>
      <c r="M4841" s="7"/>
      <c r="O4841">
        <f t="shared" si="227"/>
        <v>2</v>
      </c>
      <c r="Q4841" t="s">
        <v>65</v>
      </c>
    </row>
    <row r="4842" spans="1:17" x14ac:dyDescent="0.3">
      <c r="A4842" t="s">
        <v>5973</v>
      </c>
      <c r="B4842" s="6">
        <v>44994</v>
      </c>
      <c r="C4842" s="6" t="str">
        <f t="shared" si="225"/>
        <v>Mar</v>
      </c>
      <c r="D4842" t="s">
        <v>506</v>
      </c>
      <c r="E4842" t="s">
        <v>36</v>
      </c>
      <c r="F4842" t="s">
        <v>1325</v>
      </c>
      <c r="G4842">
        <v>2</v>
      </c>
      <c r="H4842" s="7">
        <v>316.81</v>
      </c>
      <c r="I4842" t="s">
        <v>103</v>
      </c>
      <c r="J4842" t="s">
        <v>42</v>
      </c>
      <c r="K4842">
        <v>0</v>
      </c>
      <c r="L4842" s="7">
        <f t="shared" si="226"/>
        <v>633.62</v>
      </c>
      <c r="M4842" s="7"/>
      <c r="O4842">
        <f t="shared" si="227"/>
        <v>2</v>
      </c>
      <c r="Q4842" t="s">
        <v>104</v>
      </c>
    </row>
    <row r="4843" spans="1:17" x14ac:dyDescent="0.3">
      <c r="A4843" t="s">
        <v>5974</v>
      </c>
      <c r="B4843" s="6">
        <v>44985</v>
      </c>
      <c r="C4843" s="6" t="str">
        <f t="shared" si="225"/>
        <v>Feb</v>
      </c>
      <c r="D4843" t="s">
        <v>1832</v>
      </c>
      <c r="E4843" t="s">
        <v>26</v>
      </c>
      <c r="F4843" t="s">
        <v>504</v>
      </c>
      <c r="G4843">
        <v>4</v>
      </c>
      <c r="H4843" s="7">
        <v>13.83</v>
      </c>
      <c r="I4843" t="s">
        <v>21</v>
      </c>
      <c r="J4843" t="s">
        <v>22</v>
      </c>
      <c r="K4843">
        <v>10</v>
      </c>
      <c r="L4843" s="7">
        <f t="shared" si="226"/>
        <v>55.32</v>
      </c>
      <c r="M4843" s="7"/>
      <c r="O4843">
        <f t="shared" si="227"/>
        <v>2</v>
      </c>
      <c r="Q4843" t="s">
        <v>23</v>
      </c>
    </row>
    <row r="4844" spans="1:17" x14ac:dyDescent="0.3">
      <c r="A4844" t="s">
        <v>5975</v>
      </c>
      <c r="B4844" s="6">
        <v>45059</v>
      </c>
      <c r="C4844" s="6" t="str">
        <f t="shared" si="225"/>
        <v>May</v>
      </c>
      <c r="D4844" t="s">
        <v>216</v>
      </c>
      <c r="E4844" t="s">
        <v>19</v>
      </c>
      <c r="F4844" t="s">
        <v>328</v>
      </c>
      <c r="G4844">
        <v>2</v>
      </c>
      <c r="H4844" s="7">
        <v>272.87</v>
      </c>
      <c r="I4844" t="s">
        <v>103</v>
      </c>
      <c r="J4844" t="s">
        <v>19</v>
      </c>
      <c r="K4844">
        <v>10</v>
      </c>
      <c r="L4844" s="7">
        <f t="shared" si="226"/>
        <v>545.74</v>
      </c>
      <c r="M4844" s="7"/>
      <c r="O4844">
        <f t="shared" si="227"/>
        <v>2</v>
      </c>
      <c r="Q4844" t="s">
        <v>104</v>
      </c>
    </row>
    <row r="4845" spans="1:17" x14ac:dyDescent="0.3">
      <c r="A4845" t="s">
        <v>5976</v>
      </c>
      <c r="B4845" s="6">
        <v>45081</v>
      </c>
      <c r="C4845" s="6" t="str">
        <f t="shared" si="225"/>
        <v>Jun</v>
      </c>
      <c r="D4845" t="s">
        <v>393</v>
      </c>
      <c r="E4845" t="s">
        <v>40</v>
      </c>
      <c r="F4845" t="s">
        <v>248</v>
      </c>
      <c r="G4845">
        <v>5</v>
      </c>
      <c r="H4845" s="7">
        <v>48.8</v>
      </c>
      <c r="I4845" t="s">
        <v>64</v>
      </c>
      <c r="J4845" t="s">
        <v>87</v>
      </c>
      <c r="K4845">
        <v>20</v>
      </c>
      <c r="L4845" s="7">
        <f t="shared" si="226"/>
        <v>244</v>
      </c>
      <c r="M4845" s="7"/>
      <c r="O4845">
        <f t="shared" si="227"/>
        <v>2</v>
      </c>
      <c r="Q4845" t="s">
        <v>65</v>
      </c>
    </row>
    <row r="4846" spans="1:17" x14ac:dyDescent="0.3">
      <c r="A4846" t="s">
        <v>5977</v>
      </c>
      <c r="B4846" s="6">
        <v>45290</v>
      </c>
      <c r="C4846" s="6" t="str">
        <f t="shared" si="225"/>
        <v>Dec</v>
      </c>
      <c r="D4846" t="s">
        <v>1655</v>
      </c>
      <c r="E4846" t="s">
        <v>62</v>
      </c>
      <c r="F4846" t="s">
        <v>1063</v>
      </c>
      <c r="G4846">
        <v>7</v>
      </c>
      <c r="H4846" s="7">
        <v>18.059999999999999</v>
      </c>
      <c r="I4846" t="s">
        <v>103</v>
      </c>
      <c r="J4846" t="s">
        <v>42</v>
      </c>
      <c r="K4846">
        <v>0</v>
      </c>
      <c r="L4846" s="7">
        <f t="shared" si="226"/>
        <v>126.41999999999999</v>
      </c>
      <c r="M4846" s="7"/>
      <c r="O4846">
        <f t="shared" si="227"/>
        <v>2</v>
      </c>
      <c r="Q4846" t="s">
        <v>104</v>
      </c>
    </row>
    <row r="4847" spans="1:17" x14ac:dyDescent="0.3">
      <c r="A4847" t="s">
        <v>5978</v>
      </c>
      <c r="B4847" s="6">
        <v>45154</v>
      </c>
      <c r="C4847" s="6" t="str">
        <f t="shared" si="225"/>
        <v>Aug</v>
      </c>
      <c r="D4847" t="s">
        <v>1980</v>
      </c>
      <c r="E4847" t="s">
        <v>19</v>
      </c>
      <c r="F4847" t="s">
        <v>292</v>
      </c>
      <c r="G4847">
        <v>1</v>
      </c>
      <c r="H4847" s="7">
        <v>396.64</v>
      </c>
      <c r="I4847" t="s">
        <v>103</v>
      </c>
      <c r="J4847" t="s">
        <v>42</v>
      </c>
      <c r="K4847">
        <v>15</v>
      </c>
      <c r="L4847" s="7">
        <f t="shared" si="226"/>
        <v>396.64</v>
      </c>
      <c r="M4847" s="7"/>
      <c r="O4847">
        <f t="shared" si="227"/>
        <v>2</v>
      </c>
      <c r="Q4847" t="s">
        <v>104</v>
      </c>
    </row>
    <row r="4848" spans="1:17" x14ac:dyDescent="0.3">
      <c r="A4848" t="s">
        <v>5979</v>
      </c>
      <c r="B4848" s="6">
        <v>45076</v>
      </c>
      <c r="C4848" s="6" t="str">
        <f t="shared" si="225"/>
        <v>May</v>
      </c>
      <c r="D4848" t="s">
        <v>233</v>
      </c>
      <c r="E4848" t="s">
        <v>36</v>
      </c>
      <c r="F4848" t="s">
        <v>185</v>
      </c>
      <c r="G4848">
        <v>7</v>
      </c>
      <c r="H4848" s="7">
        <v>133.03</v>
      </c>
      <c r="I4848" t="s">
        <v>19</v>
      </c>
      <c r="J4848" t="s">
        <v>72</v>
      </c>
      <c r="K4848">
        <v>5</v>
      </c>
      <c r="L4848" s="7">
        <f t="shared" si="226"/>
        <v>931.21</v>
      </c>
      <c r="M4848" s="7"/>
      <c r="O4848">
        <f t="shared" si="227"/>
        <v>2</v>
      </c>
      <c r="Q4848" t="s">
        <v>19</v>
      </c>
    </row>
    <row r="4849" spans="1:17" x14ac:dyDescent="0.3">
      <c r="A4849" t="s">
        <v>5980</v>
      </c>
      <c r="B4849" s="6">
        <v>45160</v>
      </c>
      <c r="C4849" s="6" t="str">
        <f t="shared" si="225"/>
        <v>Aug</v>
      </c>
      <c r="D4849" t="s">
        <v>1786</v>
      </c>
      <c r="E4849" t="s">
        <v>19</v>
      </c>
      <c r="F4849" t="s">
        <v>193</v>
      </c>
      <c r="G4849">
        <v>6</v>
      </c>
      <c r="H4849" s="7">
        <v>173.62</v>
      </c>
      <c r="I4849" t="s">
        <v>32</v>
      </c>
      <c r="J4849" t="s">
        <v>22</v>
      </c>
      <c r="K4849">
        <v>15</v>
      </c>
      <c r="L4849" s="7">
        <f t="shared" si="226"/>
        <v>1041.72</v>
      </c>
      <c r="M4849" s="7"/>
      <c r="O4849">
        <f t="shared" si="227"/>
        <v>2</v>
      </c>
      <c r="Q4849" t="s">
        <v>33</v>
      </c>
    </row>
    <row r="4850" spans="1:17" x14ac:dyDescent="0.3">
      <c r="A4850" t="s">
        <v>5981</v>
      </c>
      <c r="B4850" s="6">
        <v>44964</v>
      </c>
      <c r="C4850" s="6" t="str">
        <f t="shared" si="225"/>
        <v>Feb</v>
      </c>
      <c r="D4850" t="s">
        <v>830</v>
      </c>
      <c r="E4850" t="s">
        <v>36</v>
      </c>
      <c r="F4850" t="s">
        <v>434</v>
      </c>
      <c r="G4850">
        <v>6</v>
      </c>
      <c r="H4850" s="7">
        <v>36.72</v>
      </c>
      <c r="I4850" t="s">
        <v>46</v>
      </c>
      <c r="J4850" t="s">
        <v>72</v>
      </c>
      <c r="K4850">
        <v>0</v>
      </c>
      <c r="L4850" s="7">
        <f t="shared" si="226"/>
        <v>220.32</v>
      </c>
      <c r="M4850" s="7"/>
      <c r="O4850">
        <f t="shared" si="227"/>
        <v>2</v>
      </c>
      <c r="Q4850" t="s">
        <v>47</v>
      </c>
    </row>
    <row r="4851" spans="1:17" x14ac:dyDescent="0.3">
      <c r="A4851" t="s">
        <v>5982</v>
      </c>
      <c r="B4851" s="6">
        <v>44939</v>
      </c>
      <c r="C4851" s="6" t="str">
        <f t="shared" si="225"/>
        <v>Jan</v>
      </c>
      <c r="D4851" t="s">
        <v>1346</v>
      </c>
      <c r="E4851" t="s">
        <v>50</v>
      </c>
      <c r="F4851" t="s">
        <v>1194</v>
      </c>
      <c r="G4851">
        <v>8</v>
      </c>
      <c r="H4851" s="7">
        <v>252.16</v>
      </c>
      <c r="I4851" t="s">
        <v>19</v>
      </c>
      <c r="J4851" t="s">
        <v>87</v>
      </c>
      <c r="K4851">
        <v>20</v>
      </c>
      <c r="L4851" s="7">
        <f t="shared" si="226"/>
        <v>2017.28</v>
      </c>
      <c r="M4851" s="7"/>
      <c r="O4851">
        <f t="shared" si="227"/>
        <v>2</v>
      </c>
      <c r="Q4851" t="s">
        <v>19</v>
      </c>
    </row>
    <row r="4852" spans="1:17" x14ac:dyDescent="0.3">
      <c r="A4852" t="s">
        <v>5983</v>
      </c>
      <c r="B4852" s="6">
        <v>45188</v>
      </c>
      <c r="C4852" s="6" t="str">
        <f t="shared" si="225"/>
        <v>Sep</v>
      </c>
      <c r="D4852" t="s">
        <v>1478</v>
      </c>
      <c r="E4852" t="s">
        <v>50</v>
      </c>
      <c r="F4852" t="s">
        <v>179</v>
      </c>
      <c r="G4852">
        <v>8</v>
      </c>
      <c r="H4852" s="7">
        <v>383.97</v>
      </c>
      <c r="I4852" t="s">
        <v>103</v>
      </c>
      <c r="J4852" t="s">
        <v>19</v>
      </c>
      <c r="K4852">
        <v>0</v>
      </c>
      <c r="L4852" s="7">
        <f t="shared" si="226"/>
        <v>3071.76</v>
      </c>
      <c r="M4852" s="7"/>
      <c r="O4852">
        <f t="shared" si="227"/>
        <v>4</v>
      </c>
      <c r="Q4852" t="s">
        <v>104</v>
      </c>
    </row>
    <row r="4853" spans="1:17" x14ac:dyDescent="0.3">
      <c r="A4853" t="s">
        <v>5984</v>
      </c>
      <c r="B4853" s="6">
        <v>45183</v>
      </c>
      <c r="C4853" s="6" t="str">
        <f t="shared" si="225"/>
        <v>Sep</v>
      </c>
      <c r="D4853" t="s">
        <v>1977</v>
      </c>
      <c r="E4853" t="s">
        <v>19</v>
      </c>
      <c r="F4853" t="s">
        <v>270</v>
      </c>
      <c r="G4853">
        <v>6</v>
      </c>
      <c r="H4853" s="7">
        <v>249.3</v>
      </c>
      <c r="I4853" t="s">
        <v>103</v>
      </c>
      <c r="J4853" t="s">
        <v>22</v>
      </c>
      <c r="K4853">
        <v>20</v>
      </c>
      <c r="L4853" s="7">
        <f t="shared" si="226"/>
        <v>1495.8000000000002</v>
      </c>
      <c r="M4853" s="7"/>
      <c r="O4853">
        <f t="shared" si="227"/>
        <v>2</v>
      </c>
      <c r="Q4853" t="s">
        <v>104</v>
      </c>
    </row>
    <row r="4854" spans="1:17" x14ac:dyDescent="0.3">
      <c r="A4854" t="s">
        <v>5985</v>
      </c>
      <c r="B4854" s="6">
        <v>45075</v>
      </c>
      <c r="C4854" s="6" t="str">
        <f t="shared" si="225"/>
        <v>May</v>
      </c>
      <c r="D4854" t="s">
        <v>1896</v>
      </c>
      <c r="E4854" t="s">
        <v>19</v>
      </c>
      <c r="F4854" t="s">
        <v>251</v>
      </c>
      <c r="G4854">
        <v>3</v>
      </c>
      <c r="H4854" s="7">
        <v>440.93</v>
      </c>
      <c r="I4854" t="s">
        <v>21</v>
      </c>
      <c r="J4854" t="s">
        <v>28</v>
      </c>
      <c r="K4854">
        <v>15</v>
      </c>
      <c r="L4854" s="7">
        <f t="shared" si="226"/>
        <v>1322.79</v>
      </c>
      <c r="M4854" s="7"/>
      <c r="O4854">
        <f t="shared" si="227"/>
        <v>2</v>
      </c>
      <c r="Q4854" t="s">
        <v>23</v>
      </c>
    </row>
    <row r="4855" spans="1:17" x14ac:dyDescent="0.3">
      <c r="A4855" t="s">
        <v>5986</v>
      </c>
      <c r="B4855" s="6">
        <v>45143</v>
      </c>
      <c r="C4855" s="6" t="str">
        <f t="shared" si="225"/>
        <v>Aug</v>
      </c>
      <c r="D4855" t="s">
        <v>465</v>
      </c>
      <c r="E4855" t="s">
        <v>62</v>
      </c>
      <c r="F4855" t="s">
        <v>1023</v>
      </c>
      <c r="G4855">
        <v>5</v>
      </c>
      <c r="H4855" s="7">
        <v>201.63</v>
      </c>
      <c r="I4855" t="s">
        <v>103</v>
      </c>
      <c r="J4855" t="s">
        <v>19</v>
      </c>
      <c r="K4855">
        <v>15</v>
      </c>
      <c r="L4855" s="7">
        <f t="shared" si="226"/>
        <v>1008.15</v>
      </c>
      <c r="M4855" s="7"/>
      <c r="O4855">
        <f t="shared" si="227"/>
        <v>2</v>
      </c>
      <c r="Q4855" t="s">
        <v>104</v>
      </c>
    </row>
    <row r="4856" spans="1:17" x14ac:dyDescent="0.3">
      <c r="A4856" t="s">
        <v>5987</v>
      </c>
      <c r="B4856" s="6">
        <v>44989</v>
      </c>
      <c r="C4856" s="6" t="str">
        <f t="shared" si="225"/>
        <v>Mar</v>
      </c>
      <c r="D4856" t="s">
        <v>635</v>
      </c>
      <c r="E4856" t="s">
        <v>26</v>
      </c>
      <c r="F4856" t="s">
        <v>328</v>
      </c>
      <c r="G4856">
        <v>2</v>
      </c>
      <c r="H4856" s="7">
        <v>138.01</v>
      </c>
      <c r="I4856" t="s">
        <v>103</v>
      </c>
      <c r="J4856" t="s">
        <v>28</v>
      </c>
      <c r="K4856">
        <v>0</v>
      </c>
      <c r="L4856" s="7">
        <f t="shared" si="226"/>
        <v>276.02</v>
      </c>
      <c r="M4856" s="7"/>
      <c r="O4856">
        <f t="shared" si="227"/>
        <v>2</v>
      </c>
      <c r="Q4856" t="s">
        <v>104</v>
      </c>
    </row>
    <row r="4857" spans="1:17" x14ac:dyDescent="0.3">
      <c r="A4857" t="s">
        <v>5988</v>
      </c>
      <c r="B4857" s="6">
        <v>45122</v>
      </c>
      <c r="C4857" s="6" t="str">
        <f t="shared" si="225"/>
        <v>Jul</v>
      </c>
      <c r="D4857" t="s">
        <v>2675</v>
      </c>
      <c r="E4857" t="s">
        <v>26</v>
      </c>
      <c r="F4857" t="s">
        <v>176</v>
      </c>
      <c r="G4857">
        <v>5</v>
      </c>
      <c r="H4857" s="7">
        <v>177.06</v>
      </c>
      <c r="I4857" t="s">
        <v>46</v>
      </c>
      <c r="J4857" t="s">
        <v>22</v>
      </c>
      <c r="K4857">
        <v>0</v>
      </c>
      <c r="L4857" s="7">
        <f t="shared" si="226"/>
        <v>885.3</v>
      </c>
      <c r="M4857" s="7"/>
      <c r="O4857">
        <f t="shared" si="227"/>
        <v>2</v>
      </c>
      <c r="Q4857" t="s">
        <v>47</v>
      </c>
    </row>
    <row r="4858" spans="1:17" x14ac:dyDescent="0.3">
      <c r="A4858" t="s">
        <v>5989</v>
      </c>
      <c r="B4858" s="6">
        <v>45287</v>
      </c>
      <c r="C4858" s="6" t="str">
        <f t="shared" si="225"/>
        <v>Dec</v>
      </c>
      <c r="D4858" t="s">
        <v>3771</v>
      </c>
      <c r="E4858" t="s">
        <v>62</v>
      </c>
      <c r="F4858" t="s">
        <v>237</v>
      </c>
      <c r="G4858">
        <v>9</v>
      </c>
      <c r="H4858" s="7">
        <v>357.82</v>
      </c>
      <c r="I4858" t="s">
        <v>64</v>
      </c>
      <c r="J4858" t="s">
        <v>72</v>
      </c>
      <c r="K4858">
        <v>10</v>
      </c>
      <c r="L4858" s="7">
        <f t="shared" si="226"/>
        <v>3220.38</v>
      </c>
      <c r="M4858" s="7"/>
      <c r="O4858">
        <f t="shared" si="227"/>
        <v>4</v>
      </c>
      <c r="Q4858" t="s">
        <v>65</v>
      </c>
    </row>
    <row r="4859" spans="1:17" x14ac:dyDescent="0.3">
      <c r="A4859" t="s">
        <v>5990</v>
      </c>
      <c r="B4859" s="6">
        <v>44939</v>
      </c>
      <c r="C4859" s="6" t="str">
        <f t="shared" si="225"/>
        <v>Jan</v>
      </c>
      <c r="D4859" t="s">
        <v>1464</v>
      </c>
      <c r="E4859" t="s">
        <v>50</v>
      </c>
      <c r="F4859" t="s">
        <v>71</v>
      </c>
      <c r="G4859">
        <v>1</v>
      </c>
      <c r="H4859" s="7">
        <v>279.73</v>
      </c>
      <c r="I4859" t="s">
        <v>19</v>
      </c>
      <c r="J4859" t="s">
        <v>19</v>
      </c>
      <c r="K4859">
        <v>20</v>
      </c>
      <c r="L4859" s="7">
        <f t="shared" si="226"/>
        <v>279.73</v>
      </c>
      <c r="M4859" s="7"/>
      <c r="O4859">
        <f t="shared" si="227"/>
        <v>2</v>
      </c>
      <c r="Q4859" t="s">
        <v>19</v>
      </c>
    </row>
    <row r="4860" spans="1:17" x14ac:dyDescent="0.3">
      <c r="A4860" t="s">
        <v>5991</v>
      </c>
      <c r="B4860" s="6">
        <v>45007</v>
      </c>
      <c r="C4860" s="6" t="str">
        <f t="shared" si="225"/>
        <v>Mar</v>
      </c>
      <c r="D4860" t="s">
        <v>590</v>
      </c>
      <c r="E4860" t="s">
        <v>62</v>
      </c>
      <c r="F4860" t="s">
        <v>415</v>
      </c>
      <c r="G4860">
        <v>5</v>
      </c>
      <c r="H4860" s="7">
        <v>452.57</v>
      </c>
      <c r="I4860" t="s">
        <v>19</v>
      </c>
      <c r="J4860" t="s">
        <v>87</v>
      </c>
      <c r="K4860">
        <v>10</v>
      </c>
      <c r="L4860" s="7">
        <f t="shared" si="226"/>
        <v>2262.85</v>
      </c>
      <c r="M4860" s="7"/>
      <c r="O4860">
        <f t="shared" si="227"/>
        <v>2</v>
      </c>
      <c r="Q4860" t="s">
        <v>19</v>
      </c>
    </row>
    <row r="4861" spans="1:17" x14ac:dyDescent="0.3">
      <c r="A4861" t="s">
        <v>5992</v>
      </c>
      <c r="B4861" s="6">
        <v>44934</v>
      </c>
      <c r="C4861" s="6" t="str">
        <f t="shared" si="225"/>
        <v>Jan</v>
      </c>
      <c r="D4861" t="s">
        <v>1071</v>
      </c>
      <c r="E4861" t="s">
        <v>19</v>
      </c>
      <c r="F4861" t="s">
        <v>54</v>
      </c>
      <c r="G4861">
        <v>6</v>
      </c>
      <c r="H4861" s="7">
        <v>303.07</v>
      </c>
      <c r="I4861" t="s">
        <v>19</v>
      </c>
      <c r="J4861" t="s">
        <v>28</v>
      </c>
      <c r="K4861">
        <v>5</v>
      </c>
      <c r="L4861" s="7">
        <f t="shared" si="226"/>
        <v>1818.42</v>
      </c>
      <c r="M4861" s="7"/>
      <c r="O4861">
        <f t="shared" si="227"/>
        <v>2</v>
      </c>
      <c r="Q4861" t="s">
        <v>19</v>
      </c>
    </row>
    <row r="4862" spans="1:17" x14ac:dyDescent="0.3">
      <c r="A4862" t="s">
        <v>5993</v>
      </c>
      <c r="B4862" s="6">
        <v>45068</v>
      </c>
      <c r="C4862" s="6" t="str">
        <f t="shared" si="225"/>
        <v>May</v>
      </c>
      <c r="D4862" t="s">
        <v>1376</v>
      </c>
      <c r="E4862" t="s">
        <v>62</v>
      </c>
      <c r="F4862" t="s">
        <v>237</v>
      </c>
      <c r="G4862">
        <v>7</v>
      </c>
      <c r="H4862" s="7">
        <v>249.04</v>
      </c>
      <c r="I4862" t="s">
        <v>21</v>
      </c>
      <c r="J4862" t="s">
        <v>22</v>
      </c>
      <c r="K4862">
        <v>5</v>
      </c>
      <c r="L4862" s="7">
        <f t="shared" si="226"/>
        <v>1743.28</v>
      </c>
      <c r="M4862" s="7"/>
      <c r="O4862">
        <f t="shared" si="227"/>
        <v>2</v>
      </c>
      <c r="Q4862" t="s">
        <v>23</v>
      </c>
    </row>
    <row r="4863" spans="1:17" x14ac:dyDescent="0.3">
      <c r="A4863" t="s">
        <v>5994</v>
      </c>
      <c r="B4863" s="6">
        <v>45251</v>
      </c>
      <c r="C4863" s="6" t="str">
        <f t="shared" si="225"/>
        <v>Nov</v>
      </c>
      <c r="D4863" t="s">
        <v>352</v>
      </c>
      <c r="E4863" t="s">
        <v>31</v>
      </c>
      <c r="F4863" t="s">
        <v>248</v>
      </c>
      <c r="G4863">
        <v>9</v>
      </c>
      <c r="H4863" s="7">
        <v>393.95</v>
      </c>
      <c r="I4863" t="s">
        <v>64</v>
      </c>
      <c r="J4863" t="s">
        <v>72</v>
      </c>
      <c r="K4863">
        <v>0</v>
      </c>
      <c r="L4863" s="7">
        <f t="shared" si="226"/>
        <v>3545.5499999999997</v>
      </c>
      <c r="M4863" s="7"/>
      <c r="O4863">
        <f t="shared" si="227"/>
        <v>5</v>
      </c>
      <c r="Q4863" t="s">
        <v>65</v>
      </c>
    </row>
    <row r="4864" spans="1:17" x14ac:dyDescent="0.3">
      <c r="A4864" t="s">
        <v>5995</v>
      </c>
      <c r="B4864" s="6">
        <v>45231</v>
      </c>
      <c r="C4864" s="6" t="str">
        <f t="shared" si="225"/>
        <v>Nov</v>
      </c>
      <c r="D4864" t="s">
        <v>4680</v>
      </c>
      <c r="E4864" t="s">
        <v>19</v>
      </c>
      <c r="F4864" t="s">
        <v>1023</v>
      </c>
      <c r="G4864">
        <v>6</v>
      </c>
      <c r="H4864" s="7">
        <v>474.03</v>
      </c>
      <c r="I4864" t="s">
        <v>21</v>
      </c>
      <c r="J4864" t="s">
        <v>42</v>
      </c>
      <c r="K4864">
        <v>15</v>
      </c>
      <c r="L4864" s="7">
        <f t="shared" si="226"/>
        <v>2844.18</v>
      </c>
      <c r="M4864" s="7"/>
      <c r="O4864">
        <f t="shared" si="227"/>
        <v>3</v>
      </c>
      <c r="Q4864" t="s">
        <v>23</v>
      </c>
    </row>
    <row r="4865" spans="1:17" x14ac:dyDescent="0.3">
      <c r="A4865" t="s">
        <v>5996</v>
      </c>
      <c r="B4865" s="6">
        <v>45093</v>
      </c>
      <c r="C4865" s="6" t="str">
        <f t="shared" si="225"/>
        <v>Jun</v>
      </c>
      <c r="D4865" t="s">
        <v>2020</v>
      </c>
      <c r="E4865" t="s">
        <v>19</v>
      </c>
      <c r="F4865" t="s">
        <v>417</v>
      </c>
      <c r="G4865">
        <v>5</v>
      </c>
      <c r="H4865" s="7">
        <v>181.14</v>
      </c>
      <c r="I4865" t="s">
        <v>21</v>
      </c>
      <c r="J4865" t="s">
        <v>22</v>
      </c>
      <c r="K4865">
        <v>5</v>
      </c>
      <c r="L4865" s="7">
        <f t="shared" si="226"/>
        <v>905.69999999999993</v>
      </c>
      <c r="M4865" s="7"/>
      <c r="O4865">
        <f t="shared" si="227"/>
        <v>2</v>
      </c>
      <c r="Q4865" t="s">
        <v>23</v>
      </c>
    </row>
    <row r="4866" spans="1:17" x14ac:dyDescent="0.3">
      <c r="A4866" t="s">
        <v>5997</v>
      </c>
      <c r="B4866" s="6">
        <v>45026</v>
      </c>
      <c r="C4866" s="6" t="str">
        <f t="shared" si="225"/>
        <v>Apr</v>
      </c>
      <c r="D4866" t="s">
        <v>1660</v>
      </c>
      <c r="E4866" t="s">
        <v>36</v>
      </c>
      <c r="F4866" t="s">
        <v>78</v>
      </c>
      <c r="G4866">
        <v>7</v>
      </c>
      <c r="H4866" s="7">
        <v>128.69</v>
      </c>
      <c r="I4866" t="s">
        <v>103</v>
      </c>
      <c r="J4866" t="s">
        <v>72</v>
      </c>
      <c r="K4866">
        <v>5</v>
      </c>
      <c r="L4866" s="7">
        <f t="shared" si="226"/>
        <v>900.82999999999993</v>
      </c>
      <c r="M4866" s="7"/>
      <c r="O4866">
        <f t="shared" si="227"/>
        <v>2</v>
      </c>
      <c r="Q4866" t="s">
        <v>104</v>
      </c>
    </row>
    <row r="4867" spans="1:17" x14ac:dyDescent="0.3">
      <c r="A4867" t="s">
        <v>5998</v>
      </c>
      <c r="B4867" s="6">
        <v>45255</v>
      </c>
      <c r="C4867" s="6" t="str">
        <f t="shared" ref="C4867:C4930" si="228">TEXT(B4867,"MMM")</f>
        <v>Nov</v>
      </c>
      <c r="D4867" t="s">
        <v>2687</v>
      </c>
      <c r="E4867" t="s">
        <v>40</v>
      </c>
      <c r="F4867" t="s">
        <v>239</v>
      </c>
      <c r="G4867">
        <v>1</v>
      </c>
      <c r="H4867" s="7">
        <v>310.02999999999997</v>
      </c>
      <c r="I4867" t="s">
        <v>46</v>
      </c>
      <c r="J4867" t="s">
        <v>28</v>
      </c>
      <c r="K4867">
        <v>10</v>
      </c>
      <c r="L4867" s="7">
        <f t="shared" ref="L4867:L4930" si="229">G4867*H4867</f>
        <v>310.02999999999997</v>
      </c>
      <c r="M4867" s="7"/>
      <c r="O4867">
        <f t="shared" si="227"/>
        <v>2</v>
      </c>
      <c r="Q4867" t="s">
        <v>47</v>
      </c>
    </row>
    <row r="4868" spans="1:17" x14ac:dyDescent="0.3">
      <c r="A4868" t="s">
        <v>5999</v>
      </c>
      <c r="B4868" s="6">
        <v>45009</v>
      </c>
      <c r="C4868" s="6" t="str">
        <f t="shared" si="228"/>
        <v>Mar</v>
      </c>
      <c r="D4868" t="s">
        <v>1446</v>
      </c>
      <c r="E4868" t="s">
        <v>19</v>
      </c>
      <c r="F4868" t="s">
        <v>363</v>
      </c>
      <c r="G4868">
        <v>5</v>
      </c>
      <c r="H4868" s="7">
        <v>251.94</v>
      </c>
      <c r="I4868" t="s">
        <v>46</v>
      </c>
      <c r="J4868" t="s">
        <v>19</v>
      </c>
      <c r="K4868">
        <v>10</v>
      </c>
      <c r="L4868" s="7">
        <f t="shared" si="229"/>
        <v>1259.7</v>
      </c>
      <c r="M4868" s="7"/>
      <c r="O4868">
        <f t="shared" ref="O4868:O4931" si="230">IF(L4868&gt;3500,5,IF(L4868&gt;3000,4,IF(L4868&gt;2500,3,IF(L4868&gt;2000,2,IF(L4868&gt;1000,2,2)))))</f>
        <v>2</v>
      </c>
      <c r="Q4868" t="s">
        <v>47</v>
      </c>
    </row>
    <row r="4869" spans="1:17" x14ac:dyDescent="0.3">
      <c r="A4869" t="s">
        <v>6000</v>
      </c>
      <c r="B4869" s="6">
        <v>45034</v>
      </c>
      <c r="C4869" s="6" t="str">
        <f t="shared" si="228"/>
        <v>Apr</v>
      </c>
      <c r="D4869" t="s">
        <v>358</v>
      </c>
      <c r="E4869" t="s">
        <v>31</v>
      </c>
      <c r="F4869" t="s">
        <v>281</v>
      </c>
      <c r="G4869">
        <v>2</v>
      </c>
      <c r="H4869" s="7">
        <v>494.65</v>
      </c>
      <c r="I4869" t="s">
        <v>64</v>
      </c>
      <c r="J4869" t="s">
        <v>19</v>
      </c>
      <c r="K4869">
        <v>5</v>
      </c>
      <c r="L4869" s="7">
        <f t="shared" si="229"/>
        <v>989.3</v>
      </c>
      <c r="M4869" s="7"/>
      <c r="O4869">
        <f t="shared" si="230"/>
        <v>2</v>
      </c>
      <c r="Q4869" t="s">
        <v>65</v>
      </c>
    </row>
    <row r="4870" spans="1:17" x14ac:dyDescent="0.3">
      <c r="A4870" t="s">
        <v>6001</v>
      </c>
      <c r="B4870" s="6">
        <v>45080</v>
      </c>
      <c r="C4870" s="6" t="str">
        <f t="shared" si="228"/>
        <v>Jun</v>
      </c>
      <c r="D4870" t="s">
        <v>2222</v>
      </c>
      <c r="E4870" t="s">
        <v>19</v>
      </c>
      <c r="F4870" t="s">
        <v>102</v>
      </c>
      <c r="G4870">
        <v>4</v>
      </c>
      <c r="H4870" s="7">
        <v>233.87</v>
      </c>
      <c r="I4870" t="s">
        <v>32</v>
      </c>
      <c r="J4870" t="s">
        <v>72</v>
      </c>
      <c r="K4870">
        <v>0</v>
      </c>
      <c r="L4870" s="7">
        <f t="shared" si="229"/>
        <v>935.48</v>
      </c>
      <c r="M4870" s="7"/>
      <c r="O4870">
        <f t="shared" si="230"/>
        <v>2</v>
      </c>
      <c r="Q4870" t="s">
        <v>33</v>
      </c>
    </row>
    <row r="4871" spans="1:17" x14ac:dyDescent="0.3">
      <c r="A4871" t="s">
        <v>6002</v>
      </c>
      <c r="B4871" s="6">
        <v>44950</v>
      </c>
      <c r="C4871" s="6" t="str">
        <f t="shared" si="228"/>
        <v>Jan</v>
      </c>
      <c r="D4871" t="s">
        <v>994</v>
      </c>
      <c r="E4871" t="s">
        <v>26</v>
      </c>
      <c r="F4871" t="s">
        <v>151</v>
      </c>
      <c r="G4871">
        <v>7</v>
      </c>
      <c r="H4871" s="7">
        <v>41.79</v>
      </c>
      <c r="I4871" t="s">
        <v>21</v>
      </c>
      <c r="J4871" t="s">
        <v>72</v>
      </c>
      <c r="K4871">
        <v>10</v>
      </c>
      <c r="L4871" s="7">
        <f t="shared" si="229"/>
        <v>292.52999999999997</v>
      </c>
      <c r="M4871" s="7"/>
      <c r="O4871">
        <f t="shared" si="230"/>
        <v>2</v>
      </c>
      <c r="Q4871" t="s">
        <v>23</v>
      </c>
    </row>
    <row r="4872" spans="1:17" x14ac:dyDescent="0.3">
      <c r="A4872" t="s">
        <v>6003</v>
      </c>
      <c r="B4872" s="6">
        <v>45207</v>
      </c>
      <c r="C4872" s="6" t="str">
        <f t="shared" si="228"/>
        <v>Oct</v>
      </c>
      <c r="D4872" t="s">
        <v>956</v>
      </c>
      <c r="E4872" t="s">
        <v>26</v>
      </c>
      <c r="F4872" t="s">
        <v>789</v>
      </c>
      <c r="G4872">
        <v>5</v>
      </c>
      <c r="H4872" s="7">
        <v>488.8</v>
      </c>
      <c r="I4872" t="s">
        <v>103</v>
      </c>
      <c r="J4872" t="s">
        <v>19</v>
      </c>
      <c r="K4872">
        <v>5</v>
      </c>
      <c r="L4872" s="7">
        <f t="shared" si="229"/>
        <v>2444</v>
      </c>
      <c r="M4872" s="7"/>
      <c r="O4872">
        <f t="shared" si="230"/>
        <v>2</v>
      </c>
      <c r="Q4872" t="s">
        <v>104</v>
      </c>
    </row>
    <row r="4873" spans="1:17" x14ac:dyDescent="0.3">
      <c r="A4873" t="s">
        <v>6004</v>
      </c>
      <c r="B4873" s="6">
        <v>44971</v>
      </c>
      <c r="C4873" s="6" t="str">
        <f t="shared" si="228"/>
        <v>Feb</v>
      </c>
      <c r="D4873" t="s">
        <v>1221</v>
      </c>
      <c r="E4873" t="s">
        <v>19</v>
      </c>
      <c r="F4873" t="s">
        <v>278</v>
      </c>
      <c r="G4873">
        <v>6</v>
      </c>
      <c r="H4873" s="7">
        <v>422.58</v>
      </c>
      <c r="I4873" t="s">
        <v>21</v>
      </c>
      <c r="J4873" t="s">
        <v>28</v>
      </c>
      <c r="K4873">
        <v>15</v>
      </c>
      <c r="L4873" s="7">
        <f t="shared" si="229"/>
        <v>2535.48</v>
      </c>
      <c r="M4873" s="7"/>
      <c r="O4873">
        <f t="shared" si="230"/>
        <v>3</v>
      </c>
      <c r="Q4873" t="s">
        <v>23</v>
      </c>
    </row>
    <row r="4874" spans="1:17" x14ac:dyDescent="0.3">
      <c r="A4874" t="s">
        <v>6005</v>
      </c>
      <c r="B4874" s="6">
        <v>45076</v>
      </c>
      <c r="C4874" s="6" t="str">
        <f t="shared" si="228"/>
        <v>May</v>
      </c>
      <c r="D4874" t="s">
        <v>2887</v>
      </c>
      <c r="E4874" t="s">
        <v>19</v>
      </c>
      <c r="F4874" t="s">
        <v>713</v>
      </c>
      <c r="G4874">
        <v>2</v>
      </c>
      <c r="H4874" s="7">
        <v>93.23</v>
      </c>
      <c r="I4874" t="s">
        <v>103</v>
      </c>
      <c r="J4874" t="s">
        <v>87</v>
      </c>
      <c r="K4874">
        <v>10</v>
      </c>
      <c r="L4874" s="7">
        <f t="shared" si="229"/>
        <v>186.46</v>
      </c>
      <c r="M4874" s="7"/>
      <c r="O4874">
        <f t="shared" si="230"/>
        <v>2</v>
      </c>
      <c r="Q4874" t="s">
        <v>104</v>
      </c>
    </row>
    <row r="4875" spans="1:17" x14ac:dyDescent="0.3">
      <c r="A4875" t="s">
        <v>6006</v>
      </c>
      <c r="B4875" s="6">
        <v>45203</v>
      </c>
      <c r="C4875" s="6" t="str">
        <f t="shared" si="228"/>
        <v>Oct</v>
      </c>
      <c r="D4875" t="s">
        <v>3913</v>
      </c>
      <c r="E4875" t="s">
        <v>26</v>
      </c>
      <c r="F4875" t="s">
        <v>504</v>
      </c>
      <c r="G4875">
        <v>3</v>
      </c>
      <c r="H4875" s="7">
        <v>452.78</v>
      </c>
      <c r="I4875" t="s">
        <v>32</v>
      </c>
      <c r="J4875" t="s">
        <v>72</v>
      </c>
      <c r="K4875">
        <v>5</v>
      </c>
      <c r="L4875" s="7">
        <f t="shared" si="229"/>
        <v>1358.34</v>
      </c>
      <c r="M4875" s="7"/>
      <c r="O4875">
        <f t="shared" si="230"/>
        <v>2</v>
      </c>
      <c r="Q4875" t="s">
        <v>33</v>
      </c>
    </row>
    <row r="4876" spans="1:17" x14ac:dyDescent="0.3">
      <c r="A4876" t="s">
        <v>6007</v>
      </c>
      <c r="B4876" s="6">
        <v>45118</v>
      </c>
      <c r="C4876" s="6" t="str">
        <f t="shared" si="228"/>
        <v>Jul</v>
      </c>
      <c r="D4876" t="s">
        <v>2048</v>
      </c>
      <c r="E4876" t="s">
        <v>19</v>
      </c>
      <c r="F4876" t="s">
        <v>939</v>
      </c>
      <c r="G4876">
        <v>7</v>
      </c>
      <c r="H4876" s="7">
        <v>173.63</v>
      </c>
      <c r="I4876" t="s">
        <v>19</v>
      </c>
      <c r="J4876" t="s">
        <v>19</v>
      </c>
      <c r="K4876">
        <v>20</v>
      </c>
      <c r="L4876" s="7">
        <f t="shared" si="229"/>
        <v>1215.4099999999999</v>
      </c>
      <c r="M4876" s="7"/>
      <c r="O4876">
        <f t="shared" si="230"/>
        <v>2</v>
      </c>
      <c r="Q4876" t="s">
        <v>19</v>
      </c>
    </row>
    <row r="4877" spans="1:17" x14ac:dyDescent="0.3">
      <c r="A4877" t="s">
        <v>6008</v>
      </c>
      <c r="B4877" s="6">
        <v>45047</v>
      </c>
      <c r="C4877" s="6" t="str">
        <f t="shared" si="228"/>
        <v>May</v>
      </c>
      <c r="D4877" t="s">
        <v>635</v>
      </c>
      <c r="E4877" t="s">
        <v>36</v>
      </c>
      <c r="F4877" t="s">
        <v>131</v>
      </c>
      <c r="G4877">
        <v>2</v>
      </c>
      <c r="H4877" s="7">
        <v>191.67</v>
      </c>
      <c r="I4877" t="s">
        <v>19</v>
      </c>
      <c r="J4877" t="s">
        <v>72</v>
      </c>
      <c r="K4877">
        <v>10</v>
      </c>
      <c r="L4877" s="7">
        <f t="shared" si="229"/>
        <v>383.34</v>
      </c>
      <c r="M4877" s="7"/>
      <c r="O4877">
        <f t="shared" si="230"/>
        <v>2</v>
      </c>
      <c r="Q4877" t="s">
        <v>19</v>
      </c>
    </row>
    <row r="4878" spans="1:17" x14ac:dyDescent="0.3">
      <c r="A4878" t="s">
        <v>6009</v>
      </c>
      <c r="B4878" s="6">
        <v>45201</v>
      </c>
      <c r="C4878" s="6" t="str">
        <f t="shared" si="228"/>
        <v>Oct</v>
      </c>
      <c r="D4878" t="s">
        <v>908</v>
      </c>
      <c r="E4878" t="s">
        <v>31</v>
      </c>
      <c r="F4878" t="s">
        <v>657</v>
      </c>
      <c r="G4878">
        <v>6</v>
      </c>
      <c r="H4878" s="7">
        <v>453.66</v>
      </c>
      <c r="I4878" t="s">
        <v>32</v>
      </c>
      <c r="J4878" t="s">
        <v>22</v>
      </c>
      <c r="K4878">
        <v>20</v>
      </c>
      <c r="L4878" s="7">
        <f t="shared" si="229"/>
        <v>2721.96</v>
      </c>
      <c r="M4878" s="7"/>
      <c r="O4878">
        <f t="shared" si="230"/>
        <v>3</v>
      </c>
      <c r="Q4878" t="s">
        <v>33</v>
      </c>
    </row>
    <row r="4879" spans="1:17" x14ac:dyDescent="0.3">
      <c r="A4879" t="s">
        <v>6010</v>
      </c>
      <c r="B4879" s="6">
        <v>44975</v>
      </c>
      <c r="C4879" s="6" t="str">
        <f t="shared" si="228"/>
        <v>Feb</v>
      </c>
      <c r="D4879" t="s">
        <v>83</v>
      </c>
      <c r="E4879" t="s">
        <v>19</v>
      </c>
      <c r="F4879" t="s">
        <v>412</v>
      </c>
      <c r="G4879">
        <v>5</v>
      </c>
      <c r="H4879" s="7">
        <v>267.41000000000003</v>
      </c>
      <c r="I4879" t="s">
        <v>46</v>
      </c>
      <c r="J4879" t="s">
        <v>72</v>
      </c>
      <c r="K4879">
        <v>10</v>
      </c>
      <c r="L4879" s="7">
        <f t="shared" si="229"/>
        <v>1337.0500000000002</v>
      </c>
      <c r="M4879" s="7"/>
      <c r="O4879">
        <f t="shared" si="230"/>
        <v>2</v>
      </c>
      <c r="Q4879" t="s">
        <v>47</v>
      </c>
    </row>
    <row r="4880" spans="1:17" x14ac:dyDescent="0.3">
      <c r="A4880" t="s">
        <v>6011</v>
      </c>
      <c r="B4880" s="6">
        <v>45043</v>
      </c>
      <c r="C4880" s="6" t="str">
        <f t="shared" si="228"/>
        <v>Apr</v>
      </c>
      <c r="D4880" t="s">
        <v>755</v>
      </c>
      <c r="E4880" t="s">
        <v>19</v>
      </c>
      <c r="F4880" t="s">
        <v>81</v>
      </c>
      <c r="G4880">
        <v>1</v>
      </c>
      <c r="H4880" s="7">
        <v>73.19</v>
      </c>
      <c r="I4880" t="s">
        <v>32</v>
      </c>
      <c r="J4880" t="s">
        <v>19</v>
      </c>
      <c r="K4880">
        <v>10</v>
      </c>
      <c r="L4880" s="7">
        <f t="shared" si="229"/>
        <v>73.19</v>
      </c>
      <c r="M4880" s="7"/>
      <c r="O4880">
        <f t="shared" si="230"/>
        <v>2</v>
      </c>
      <c r="Q4880" t="s">
        <v>33</v>
      </c>
    </row>
    <row r="4881" spans="1:17" x14ac:dyDescent="0.3">
      <c r="A4881" t="s">
        <v>6012</v>
      </c>
      <c r="B4881" s="6">
        <v>44962</v>
      </c>
      <c r="C4881" s="6" t="str">
        <f t="shared" si="228"/>
        <v>Feb</v>
      </c>
      <c r="D4881" t="s">
        <v>5911</v>
      </c>
      <c r="E4881" t="s">
        <v>31</v>
      </c>
      <c r="F4881" t="s">
        <v>861</v>
      </c>
      <c r="G4881">
        <v>4</v>
      </c>
      <c r="H4881" s="7">
        <v>187.68</v>
      </c>
      <c r="I4881" t="s">
        <v>64</v>
      </c>
      <c r="J4881" t="s">
        <v>28</v>
      </c>
      <c r="K4881">
        <v>10</v>
      </c>
      <c r="L4881" s="7">
        <f t="shared" si="229"/>
        <v>750.72</v>
      </c>
      <c r="M4881" s="7"/>
      <c r="O4881">
        <f t="shared" si="230"/>
        <v>2</v>
      </c>
      <c r="Q4881" t="s">
        <v>65</v>
      </c>
    </row>
    <row r="4882" spans="1:17" x14ac:dyDescent="0.3">
      <c r="A4882" t="s">
        <v>6013</v>
      </c>
      <c r="B4882" s="6">
        <v>45000</v>
      </c>
      <c r="C4882" s="6" t="str">
        <f t="shared" si="228"/>
        <v>Mar</v>
      </c>
      <c r="D4882" t="s">
        <v>1933</v>
      </c>
      <c r="E4882" t="s">
        <v>40</v>
      </c>
      <c r="F4882" t="s">
        <v>1063</v>
      </c>
      <c r="G4882">
        <v>2</v>
      </c>
      <c r="H4882" s="7">
        <v>362.44</v>
      </c>
      <c r="I4882" t="s">
        <v>46</v>
      </c>
      <c r="J4882" t="s">
        <v>19</v>
      </c>
      <c r="K4882">
        <v>10</v>
      </c>
      <c r="L4882" s="7">
        <f t="shared" si="229"/>
        <v>724.88</v>
      </c>
      <c r="M4882" s="7"/>
      <c r="O4882">
        <f t="shared" si="230"/>
        <v>2</v>
      </c>
      <c r="Q4882" t="s">
        <v>47</v>
      </c>
    </row>
    <row r="4883" spans="1:17" x14ac:dyDescent="0.3">
      <c r="A4883" t="s">
        <v>6014</v>
      </c>
      <c r="B4883" s="6">
        <v>45153</v>
      </c>
      <c r="C4883" s="6" t="str">
        <f t="shared" si="228"/>
        <v>Aug</v>
      </c>
      <c r="D4883" t="s">
        <v>779</v>
      </c>
      <c r="E4883" t="s">
        <v>40</v>
      </c>
      <c r="F4883" t="s">
        <v>182</v>
      </c>
      <c r="G4883">
        <v>4</v>
      </c>
      <c r="H4883" s="7">
        <v>91.22</v>
      </c>
      <c r="I4883" t="s">
        <v>21</v>
      </c>
      <c r="J4883" t="s">
        <v>28</v>
      </c>
      <c r="K4883">
        <v>20</v>
      </c>
      <c r="L4883" s="7">
        <f t="shared" si="229"/>
        <v>364.88</v>
      </c>
      <c r="M4883" s="7"/>
      <c r="O4883">
        <f t="shared" si="230"/>
        <v>2</v>
      </c>
      <c r="Q4883" t="s">
        <v>23</v>
      </c>
    </row>
    <row r="4884" spans="1:17" x14ac:dyDescent="0.3">
      <c r="A4884" t="s">
        <v>6015</v>
      </c>
      <c r="B4884" s="6">
        <v>45085</v>
      </c>
      <c r="C4884" s="6" t="str">
        <f t="shared" si="228"/>
        <v>Jun</v>
      </c>
      <c r="D4884" t="s">
        <v>1670</v>
      </c>
      <c r="E4884" t="s">
        <v>40</v>
      </c>
      <c r="F4884" t="s">
        <v>182</v>
      </c>
      <c r="G4884">
        <v>1</v>
      </c>
      <c r="H4884" s="7">
        <v>297.16000000000003</v>
      </c>
      <c r="I4884" t="s">
        <v>46</v>
      </c>
      <c r="J4884" t="s">
        <v>22</v>
      </c>
      <c r="K4884">
        <v>0</v>
      </c>
      <c r="L4884" s="7">
        <f t="shared" si="229"/>
        <v>297.16000000000003</v>
      </c>
      <c r="M4884" s="7"/>
      <c r="O4884">
        <f t="shared" si="230"/>
        <v>2</v>
      </c>
      <c r="Q4884" t="s">
        <v>47</v>
      </c>
    </row>
    <row r="4885" spans="1:17" x14ac:dyDescent="0.3">
      <c r="A4885" t="s">
        <v>6016</v>
      </c>
      <c r="B4885" s="6">
        <v>45036</v>
      </c>
      <c r="C4885" s="6" t="str">
        <f t="shared" si="228"/>
        <v>Apr</v>
      </c>
      <c r="D4885" t="s">
        <v>2314</v>
      </c>
      <c r="E4885" t="s">
        <v>19</v>
      </c>
      <c r="F4885" t="s">
        <v>125</v>
      </c>
      <c r="G4885">
        <v>2</v>
      </c>
      <c r="H4885" s="7">
        <v>349.16</v>
      </c>
      <c r="I4885" t="s">
        <v>46</v>
      </c>
      <c r="J4885" t="s">
        <v>22</v>
      </c>
      <c r="K4885">
        <v>5</v>
      </c>
      <c r="L4885" s="7">
        <f t="shared" si="229"/>
        <v>698.32</v>
      </c>
      <c r="M4885" s="7"/>
      <c r="O4885">
        <f t="shared" si="230"/>
        <v>2</v>
      </c>
      <c r="Q4885" t="s">
        <v>47</v>
      </c>
    </row>
    <row r="4886" spans="1:17" x14ac:dyDescent="0.3">
      <c r="A4886" t="s">
        <v>6017</v>
      </c>
      <c r="B4886" s="6">
        <v>45146</v>
      </c>
      <c r="C4886" s="6" t="str">
        <f t="shared" si="228"/>
        <v>Aug</v>
      </c>
      <c r="D4886" t="s">
        <v>1795</v>
      </c>
      <c r="E4886" t="s">
        <v>62</v>
      </c>
      <c r="F4886" t="s">
        <v>406</v>
      </c>
      <c r="G4886">
        <v>8</v>
      </c>
      <c r="H4886" s="7">
        <v>175.21</v>
      </c>
      <c r="I4886" t="s">
        <v>21</v>
      </c>
      <c r="J4886" t="s">
        <v>28</v>
      </c>
      <c r="K4886">
        <v>0</v>
      </c>
      <c r="L4886" s="7">
        <f t="shared" si="229"/>
        <v>1401.68</v>
      </c>
      <c r="M4886" s="7"/>
      <c r="O4886">
        <f t="shared" si="230"/>
        <v>2</v>
      </c>
      <c r="Q4886" t="s">
        <v>23</v>
      </c>
    </row>
    <row r="4887" spans="1:17" x14ac:dyDescent="0.3">
      <c r="A4887" t="s">
        <v>6018</v>
      </c>
      <c r="B4887" s="6">
        <v>44987</v>
      </c>
      <c r="C4887" s="6" t="str">
        <f t="shared" si="228"/>
        <v>Mar</v>
      </c>
      <c r="D4887" t="s">
        <v>2122</v>
      </c>
      <c r="E4887" t="s">
        <v>31</v>
      </c>
      <c r="F4887" t="s">
        <v>432</v>
      </c>
      <c r="G4887">
        <v>6</v>
      </c>
      <c r="H4887" s="7">
        <v>348.47</v>
      </c>
      <c r="I4887" t="s">
        <v>21</v>
      </c>
      <c r="J4887" t="s">
        <v>19</v>
      </c>
      <c r="K4887">
        <v>0</v>
      </c>
      <c r="L4887" s="7">
        <f t="shared" si="229"/>
        <v>2090.8200000000002</v>
      </c>
      <c r="M4887" s="7"/>
      <c r="O4887">
        <f t="shared" si="230"/>
        <v>2</v>
      </c>
      <c r="Q4887" t="s">
        <v>23</v>
      </c>
    </row>
    <row r="4888" spans="1:17" x14ac:dyDescent="0.3">
      <c r="A4888" t="s">
        <v>6019</v>
      </c>
      <c r="B4888" s="6">
        <v>45249</v>
      </c>
      <c r="C4888" s="6" t="str">
        <f t="shared" si="228"/>
        <v>Nov</v>
      </c>
      <c r="D4888" t="s">
        <v>1600</v>
      </c>
      <c r="E4888" t="s">
        <v>19</v>
      </c>
      <c r="F4888" t="s">
        <v>1038</v>
      </c>
      <c r="G4888">
        <v>2</v>
      </c>
      <c r="H4888" s="7">
        <v>442.68</v>
      </c>
      <c r="I4888" t="s">
        <v>103</v>
      </c>
      <c r="J4888" t="s">
        <v>42</v>
      </c>
      <c r="K4888">
        <v>10</v>
      </c>
      <c r="L4888" s="7">
        <f t="shared" si="229"/>
        <v>885.36</v>
      </c>
      <c r="M4888" s="7"/>
      <c r="O4888">
        <f t="shared" si="230"/>
        <v>2</v>
      </c>
      <c r="Q4888" t="s">
        <v>104</v>
      </c>
    </row>
    <row r="4889" spans="1:17" x14ac:dyDescent="0.3">
      <c r="A4889" t="s">
        <v>6020</v>
      </c>
      <c r="B4889" s="6">
        <v>45137</v>
      </c>
      <c r="C4889" s="6" t="str">
        <f t="shared" si="228"/>
        <v>Jul</v>
      </c>
      <c r="D4889" t="s">
        <v>458</v>
      </c>
      <c r="E4889" t="s">
        <v>36</v>
      </c>
      <c r="F4889" t="s">
        <v>372</v>
      </c>
      <c r="G4889">
        <v>6</v>
      </c>
      <c r="H4889" s="7">
        <v>238.7</v>
      </c>
      <c r="I4889" t="s">
        <v>19</v>
      </c>
      <c r="J4889" t="s">
        <v>72</v>
      </c>
      <c r="K4889">
        <v>5</v>
      </c>
      <c r="L4889" s="7">
        <f t="shared" si="229"/>
        <v>1432.1999999999998</v>
      </c>
      <c r="M4889" s="7"/>
      <c r="O4889">
        <f t="shared" si="230"/>
        <v>2</v>
      </c>
      <c r="Q4889" t="s">
        <v>19</v>
      </c>
    </row>
    <row r="4890" spans="1:17" x14ac:dyDescent="0.3">
      <c r="A4890" t="s">
        <v>6021</v>
      </c>
      <c r="B4890" s="6">
        <v>45282</v>
      </c>
      <c r="C4890" s="6" t="str">
        <f t="shared" si="228"/>
        <v>Dec</v>
      </c>
      <c r="D4890" t="s">
        <v>508</v>
      </c>
      <c r="E4890" t="s">
        <v>50</v>
      </c>
      <c r="F4890" t="s">
        <v>423</v>
      </c>
      <c r="G4890">
        <v>9</v>
      </c>
      <c r="H4890" s="7">
        <v>194.54</v>
      </c>
      <c r="I4890" t="s">
        <v>32</v>
      </c>
      <c r="J4890" t="s">
        <v>42</v>
      </c>
      <c r="K4890">
        <v>10</v>
      </c>
      <c r="L4890" s="7">
        <f t="shared" si="229"/>
        <v>1750.86</v>
      </c>
      <c r="M4890" s="7"/>
      <c r="O4890">
        <f t="shared" si="230"/>
        <v>2</v>
      </c>
      <c r="Q4890" t="s">
        <v>33</v>
      </c>
    </row>
    <row r="4891" spans="1:17" x14ac:dyDescent="0.3">
      <c r="A4891" t="s">
        <v>6022</v>
      </c>
      <c r="B4891" s="6">
        <v>44952</v>
      </c>
      <c r="C4891" s="6" t="str">
        <f t="shared" si="228"/>
        <v>Jan</v>
      </c>
      <c r="D4891" t="s">
        <v>1632</v>
      </c>
      <c r="E4891" t="s">
        <v>36</v>
      </c>
      <c r="F4891" t="s">
        <v>713</v>
      </c>
      <c r="G4891">
        <v>7</v>
      </c>
      <c r="H4891" s="7">
        <v>129.32</v>
      </c>
      <c r="I4891" t="s">
        <v>32</v>
      </c>
      <c r="J4891" t="s">
        <v>42</v>
      </c>
      <c r="K4891">
        <v>10</v>
      </c>
      <c r="L4891" s="7">
        <f t="shared" si="229"/>
        <v>905.24</v>
      </c>
      <c r="M4891" s="7"/>
      <c r="O4891">
        <f t="shared" si="230"/>
        <v>2</v>
      </c>
      <c r="Q4891" t="s">
        <v>33</v>
      </c>
    </row>
    <row r="4892" spans="1:17" x14ac:dyDescent="0.3">
      <c r="A4892" t="s">
        <v>6023</v>
      </c>
      <c r="B4892" s="6">
        <v>44969</v>
      </c>
      <c r="C4892" s="6" t="str">
        <f t="shared" si="228"/>
        <v>Feb</v>
      </c>
      <c r="D4892" t="s">
        <v>2032</v>
      </c>
      <c r="E4892" t="s">
        <v>19</v>
      </c>
      <c r="F4892" t="s">
        <v>157</v>
      </c>
      <c r="G4892">
        <v>9</v>
      </c>
      <c r="H4892" s="7">
        <v>304.08</v>
      </c>
      <c r="I4892" t="s">
        <v>64</v>
      </c>
      <c r="J4892" t="s">
        <v>19</v>
      </c>
      <c r="K4892">
        <v>10</v>
      </c>
      <c r="L4892" s="7">
        <f t="shared" si="229"/>
        <v>2736.72</v>
      </c>
      <c r="M4892" s="7"/>
      <c r="O4892">
        <f t="shared" si="230"/>
        <v>3</v>
      </c>
      <c r="Q4892" t="s">
        <v>65</v>
      </c>
    </row>
    <row r="4893" spans="1:17" x14ac:dyDescent="0.3">
      <c r="A4893" t="s">
        <v>6024</v>
      </c>
      <c r="B4893" s="6">
        <v>45264</v>
      </c>
      <c r="C4893" s="6" t="str">
        <f t="shared" si="228"/>
        <v>Dec</v>
      </c>
      <c r="D4893" t="s">
        <v>889</v>
      </c>
      <c r="E4893" t="s">
        <v>19</v>
      </c>
      <c r="F4893" t="s">
        <v>403</v>
      </c>
      <c r="G4893">
        <v>5</v>
      </c>
      <c r="H4893" s="7">
        <v>440.53</v>
      </c>
      <c r="I4893" t="s">
        <v>46</v>
      </c>
      <c r="J4893" t="s">
        <v>72</v>
      </c>
      <c r="K4893">
        <v>15</v>
      </c>
      <c r="L4893" s="7">
        <f t="shared" si="229"/>
        <v>2202.6499999999996</v>
      </c>
      <c r="M4893" s="7"/>
      <c r="O4893">
        <f t="shared" si="230"/>
        <v>2</v>
      </c>
      <c r="Q4893" t="s">
        <v>47</v>
      </c>
    </row>
    <row r="4894" spans="1:17" x14ac:dyDescent="0.3">
      <c r="A4894" t="s">
        <v>6025</v>
      </c>
      <c r="B4894" s="6">
        <v>45077</v>
      </c>
      <c r="C4894" s="6" t="str">
        <f t="shared" si="228"/>
        <v>May</v>
      </c>
      <c r="D4894" t="s">
        <v>1056</v>
      </c>
      <c r="E4894" t="s">
        <v>31</v>
      </c>
      <c r="F4894" t="s">
        <v>51</v>
      </c>
      <c r="G4894">
        <v>7</v>
      </c>
      <c r="H4894" s="7">
        <v>165.71</v>
      </c>
      <c r="I4894" t="s">
        <v>46</v>
      </c>
      <c r="J4894" t="s">
        <v>72</v>
      </c>
      <c r="K4894">
        <v>0</v>
      </c>
      <c r="L4894" s="7">
        <f t="shared" si="229"/>
        <v>1159.97</v>
      </c>
      <c r="M4894" s="7"/>
      <c r="O4894">
        <f t="shared" si="230"/>
        <v>2</v>
      </c>
      <c r="Q4894" t="s">
        <v>47</v>
      </c>
    </row>
    <row r="4895" spans="1:17" x14ac:dyDescent="0.3">
      <c r="A4895" t="s">
        <v>6026</v>
      </c>
      <c r="B4895" s="6">
        <v>45185</v>
      </c>
      <c r="C4895" s="6" t="str">
        <f t="shared" si="228"/>
        <v>Sep</v>
      </c>
      <c r="D4895" t="s">
        <v>2085</v>
      </c>
      <c r="E4895" t="s">
        <v>26</v>
      </c>
      <c r="F4895" t="s">
        <v>151</v>
      </c>
      <c r="G4895">
        <v>7</v>
      </c>
      <c r="H4895" s="7">
        <v>201.14</v>
      </c>
      <c r="I4895" t="s">
        <v>46</v>
      </c>
      <c r="J4895" t="s">
        <v>42</v>
      </c>
      <c r="K4895">
        <v>0</v>
      </c>
      <c r="L4895" s="7">
        <f t="shared" si="229"/>
        <v>1407.98</v>
      </c>
      <c r="M4895" s="7"/>
      <c r="O4895">
        <f t="shared" si="230"/>
        <v>2</v>
      </c>
      <c r="Q4895" t="s">
        <v>47</v>
      </c>
    </row>
    <row r="4896" spans="1:17" x14ac:dyDescent="0.3">
      <c r="A4896" t="s">
        <v>6027</v>
      </c>
      <c r="B4896" s="6">
        <v>45219</v>
      </c>
      <c r="C4896" s="6" t="str">
        <f t="shared" si="228"/>
        <v>Oct</v>
      </c>
      <c r="D4896" t="s">
        <v>3712</v>
      </c>
      <c r="E4896" t="s">
        <v>40</v>
      </c>
      <c r="F4896" t="s">
        <v>1180</v>
      </c>
      <c r="G4896">
        <v>3</v>
      </c>
      <c r="H4896" s="7">
        <v>206.28</v>
      </c>
      <c r="I4896" t="s">
        <v>64</v>
      </c>
      <c r="J4896" t="s">
        <v>72</v>
      </c>
      <c r="K4896">
        <v>0</v>
      </c>
      <c r="L4896" s="7">
        <f t="shared" si="229"/>
        <v>618.84</v>
      </c>
      <c r="M4896" s="7"/>
      <c r="O4896">
        <f t="shared" si="230"/>
        <v>2</v>
      </c>
      <c r="Q4896" t="s">
        <v>65</v>
      </c>
    </row>
    <row r="4897" spans="1:17" x14ac:dyDescent="0.3">
      <c r="A4897" t="s">
        <v>6028</v>
      </c>
      <c r="B4897" s="6">
        <v>45180</v>
      </c>
      <c r="C4897" s="6" t="str">
        <f t="shared" si="228"/>
        <v>Sep</v>
      </c>
      <c r="D4897" t="s">
        <v>522</v>
      </c>
      <c r="E4897" t="s">
        <v>19</v>
      </c>
      <c r="F4897" t="s">
        <v>415</v>
      </c>
      <c r="G4897">
        <v>7</v>
      </c>
      <c r="H4897" s="7">
        <v>282.60000000000002</v>
      </c>
      <c r="I4897" t="s">
        <v>103</v>
      </c>
      <c r="J4897" t="s">
        <v>28</v>
      </c>
      <c r="K4897">
        <v>15</v>
      </c>
      <c r="L4897" s="7">
        <f t="shared" si="229"/>
        <v>1978.2000000000003</v>
      </c>
      <c r="M4897" s="7"/>
      <c r="O4897">
        <f t="shared" si="230"/>
        <v>2</v>
      </c>
      <c r="Q4897" t="s">
        <v>104</v>
      </c>
    </row>
    <row r="4898" spans="1:17" x14ac:dyDescent="0.3">
      <c r="A4898" t="s">
        <v>6029</v>
      </c>
      <c r="B4898" s="6">
        <v>45182</v>
      </c>
      <c r="C4898" s="6" t="str">
        <f t="shared" si="228"/>
        <v>Sep</v>
      </c>
      <c r="D4898" t="s">
        <v>935</v>
      </c>
      <c r="E4898" t="s">
        <v>62</v>
      </c>
      <c r="F4898" t="s">
        <v>499</v>
      </c>
      <c r="G4898">
        <v>1</v>
      </c>
      <c r="H4898" s="7">
        <v>118.06</v>
      </c>
      <c r="I4898" t="s">
        <v>46</v>
      </c>
      <c r="J4898" t="s">
        <v>19</v>
      </c>
      <c r="K4898">
        <v>10</v>
      </c>
      <c r="L4898" s="7">
        <f t="shared" si="229"/>
        <v>118.06</v>
      </c>
      <c r="M4898" s="7"/>
      <c r="O4898">
        <f t="shared" si="230"/>
        <v>2</v>
      </c>
      <c r="Q4898" t="s">
        <v>47</v>
      </c>
    </row>
    <row r="4899" spans="1:17" x14ac:dyDescent="0.3">
      <c r="A4899" t="s">
        <v>6030</v>
      </c>
      <c r="B4899" s="6">
        <v>45093</v>
      </c>
      <c r="C4899" s="6" t="str">
        <f t="shared" si="228"/>
        <v>Jun</v>
      </c>
      <c r="D4899" t="s">
        <v>997</v>
      </c>
      <c r="E4899" t="s">
        <v>62</v>
      </c>
      <c r="F4899" t="s">
        <v>450</v>
      </c>
      <c r="G4899">
        <v>9</v>
      </c>
      <c r="H4899" s="7">
        <v>411.99</v>
      </c>
      <c r="I4899" t="s">
        <v>103</v>
      </c>
      <c r="J4899" t="s">
        <v>28</v>
      </c>
      <c r="K4899">
        <v>20</v>
      </c>
      <c r="L4899" s="7">
        <f t="shared" si="229"/>
        <v>3707.91</v>
      </c>
      <c r="M4899" s="7"/>
      <c r="O4899">
        <f t="shared" si="230"/>
        <v>5</v>
      </c>
      <c r="Q4899" t="s">
        <v>104</v>
      </c>
    </row>
    <row r="4900" spans="1:17" x14ac:dyDescent="0.3">
      <c r="A4900" t="s">
        <v>6031</v>
      </c>
      <c r="B4900" s="6">
        <v>45043</v>
      </c>
      <c r="C4900" s="6" t="str">
        <f t="shared" si="228"/>
        <v>Apr</v>
      </c>
      <c r="D4900" t="s">
        <v>250</v>
      </c>
      <c r="E4900" t="s">
        <v>62</v>
      </c>
      <c r="F4900" t="s">
        <v>363</v>
      </c>
      <c r="G4900">
        <v>6</v>
      </c>
      <c r="H4900" s="7">
        <v>151.32</v>
      </c>
      <c r="I4900" t="s">
        <v>19</v>
      </c>
      <c r="J4900" t="s">
        <v>19</v>
      </c>
      <c r="K4900">
        <v>20</v>
      </c>
      <c r="L4900" s="7">
        <f t="shared" si="229"/>
        <v>907.92</v>
      </c>
      <c r="M4900" s="7"/>
      <c r="O4900">
        <f t="shared" si="230"/>
        <v>2</v>
      </c>
      <c r="Q4900" t="s">
        <v>19</v>
      </c>
    </row>
    <row r="4901" spans="1:17" x14ac:dyDescent="0.3">
      <c r="A4901" t="s">
        <v>6032</v>
      </c>
      <c r="B4901" s="6">
        <v>45025</v>
      </c>
      <c r="C4901" s="6" t="str">
        <f t="shared" si="228"/>
        <v>Apr</v>
      </c>
      <c r="D4901" t="s">
        <v>30</v>
      </c>
      <c r="E4901" t="s">
        <v>19</v>
      </c>
      <c r="F4901" t="s">
        <v>188</v>
      </c>
      <c r="G4901">
        <v>5</v>
      </c>
      <c r="H4901" s="7">
        <v>354.15</v>
      </c>
      <c r="I4901" t="s">
        <v>21</v>
      </c>
      <c r="J4901" t="s">
        <v>42</v>
      </c>
      <c r="K4901">
        <v>15</v>
      </c>
      <c r="L4901" s="7">
        <f t="shared" si="229"/>
        <v>1770.75</v>
      </c>
      <c r="M4901" s="7"/>
      <c r="O4901">
        <f t="shared" si="230"/>
        <v>2</v>
      </c>
      <c r="Q4901" t="s">
        <v>23</v>
      </c>
    </row>
    <row r="4902" spans="1:17" x14ac:dyDescent="0.3">
      <c r="A4902" t="s">
        <v>6033</v>
      </c>
      <c r="B4902" s="6">
        <v>45199</v>
      </c>
      <c r="C4902" s="6" t="str">
        <f t="shared" si="228"/>
        <v>Sep</v>
      </c>
      <c r="D4902" t="s">
        <v>1177</v>
      </c>
      <c r="E4902" t="s">
        <v>36</v>
      </c>
      <c r="F4902" t="s">
        <v>173</v>
      </c>
      <c r="G4902">
        <v>7</v>
      </c>
      <c r="H4902" s="7">
        <v>259.04000000000002</v>
      </c>
      <c r="I4902" t="s">
        <v>103</v>
      </c>
      <c r="J4902" t="s">
        <v>19</v>
      </c>
      <c r="K4902">
        <v>0</v>
      </c>
      <c r="L4902" s="7">
        <f t="shared" si="229"/>
        <v>1813.2800000000002</v>
      </c>
      <c r="M4902" s="7"/>
      <c r="O4902">
        <f t="shared" si="230"/>
        <v>2</v>
      </c>
      <c r="Q4902" t="s">
        <v>104</v>
      </c>
    </row>
    <row r="4903" spans="1:17" x14ac:dyDescent="0.3">
      <c r="A4903" t="s">
        <v>6034</v>
      </c>
      <c r="B4903" s="6">
        <v>45173</v>
      </c>
      <c r="C4903" s="6" t="str">
        <f t="shared" si="228"/>
        <v>Sep</v>
      </c>
      <c r="D4903" t="s">
        <v>3045</v>
      </c>
      <c r="E4903" t="s">
        <v>31</v>
      </c>
      <c r="F4903" t="s">
        <v>406</v>
      </c>
      <c r="G4903">
        <v>5</v>
      </c>
      <c r="H4903" s="7">
        <v>295.02</v>
      </c>
      <c r="I4903" t="s">
        <v>32</v>
      </c>
      <c r="J4903" t="s">
        <v>28</v>
      </c>
      <c r="K4903">
        <v>20</v>
      </c>
      <c r="L4903" s="7">
        <f t="shared" si="229"/>
        <v>1475.1</v>
      </c>
      <c r="M4903" s="7"/>
      <c r="O4903">
        <f t="shared" si="230"/>
        <v>2</v>
      </c>
      <c r="Q4903" t="s">
        <v>33</v>
      </c>
    </row>
    <row r="4904" spans="1:17" x14ac:dyDescent="0.3">
      <c r="A4904" t="s">
        <v>6035</v>
      </c>
      <c r="B4904" s="6">
        <v>45166</v>
      </c>
      <c r="C4904" s="6" t="str">
        <f t="shared" si="228"/>
        <v>Aug</v>
      </c>
      <c r="D4904" t="s">
        <v>565</v>
      </c>
      <c r="E4904" t="s">
        <v>62</v>
      </c>
      <c r="F4904" t="s">
        <v>800</v>
      </c>
      <c r="G4904">
        <v>5</v>
      </c>
      <c r="H4904" s="7">
        <v>93.91</v>
      </c>
      <c r="I4904" t="s">
        <v>32</v>
      </c>
      <c r="J4904" t="s">
        <v>87</v>
      </c>
      <c r="K4904">
        <v>15</v>
      </c>
      <c r="L4904" s="7">
        <f t="shared" si="229"/>
        <v>469.54999999999995</v>
      </c>
      <c r="M4904" s="7"/>
      <c r="O4904">
        <f t="shared" si="230"/>
        <v>2</v>
      </c>
      <c r="Q4904" t="s">
        <v>33</v>
      </c>
    </row>
    <row r="4905" spans="1:17" x14ac:dyDescent="0.3">
      <c r="A4905" t="s">
        <v>6036</v>
      </c>
      <c r="B4905" s="6">
        <v>45146</v>
      </c>
      <c r="C4905" s="6" t="str">
        <f t="shared" si="228"/>
        <v>Aug</v>
      </c>
      <c r="D4905" t="s">
        <v>228</v>
      </c>
      <c r="E4905" t="s">
        <v>50</v>
      </c>
      <c r="F4905" t="s">
        <v>344</v>
      </c>
      <c r="G4905">
        <v>7</v>
      </c>
      <c r="H4905" s="7">
        <v>368.84</v>
      </c>
      <c r="I4905" t="s">
        <v>64</v>
      </c>
      <c r="J4905" t="s">
        <v>72</v>
      </c>
      <c r="K4905">
        <v>10</v>
      </c>
      <c r="L4905" s="7">
        <f t="shared" si="229"/>
        <v>2581.8799999999997</v>
      </c>
      <c r="M4905" s="7"/>
      <c r="O4905">
        <f t="shared" si="230"/>
        <v>3</v>
      </c>
      <c r="Q4905" t="s">
        <v>65</v>
      </c>
    </row>
    <row r="4906" spans="1:17" x14ac:dyDescent="0.3">
      <c r="A4906" t="s">
        <v>6037</v>
      </c>
      <c r="B4906" s="6">
        <v>45291</v>
      </c>
      <c r="C4906" s="6" t="str">
        <f t="shared" si="228"/>
        <v>Dec</v>
      </c>
      <c r="D4906" t="s">
        <v>581</v>
      </c>
      <c r="E4906" t="s">
        <v>19</v>
      </c>
      <c r="F4906" t="s">
        <v>988</v>
      </c>
      <c r="G4906">
        <v>7</v>
      </c>
      <c r="H4906" s="7">
        <v>98.37</v>
      </c>
      <c r="I4906" t="s">
        <v>32</v>
      </c>
      <c r="J4906" t="s">
        <v>28</v>
      </c>
      <c r="K4906">
        <v>5</v>
      </c>
      <c r="L4906" s="7">
        <f t="shared" si="229"/>
        <v>688.59</v>
      </c>
      <c r="M4906" s="7"/>
      <c r="O4906">
        <f t="shared" si="230"/>
        <v>2</v>
      </c>
      <c r="Q4906" t="s">
        <v>33</v>
      </c>
    </row>
    <row r="4907" spans="1:17" x14ac:dyDescent="0.3">
      <c r="A4907" t="s">
        <v>6038</v>
      </c>
      <c r="B4907" s="6">
        <v>45084</v>
      </c>
      <c r="C4907" s="6" t="str">
        <f t="shared" si="228"/>
        <v>Jun</v>
      </c>
      <c r="D4907" t="s">
        <v>1684</v>
      </c>
      <c r="E4907" t="s">
        <v>62</v>
      </c>
      <c r="F4907" t="s">
        <v>1117</v>
      </c>
      <c r="G4907">
        <v>3</v>
      </c>
      <c r="H4907" s="7">
        <v>61.17</v>
      </c>
      <c r="I4907" t="s">
        <v>64</v>
      </c>
      <c r="J4907" t="s">
        <v>22</v>
      </c>
      <c r="K4907">
        <v>20</v>
      </c>
      <c r="L4907" s="7">
        <f t="shared" si="229"/>
        <v>183.51</v>
      </c>
      <c r="M4907" s="7"/>
      <c r="O4907">
        <f t="shared" si="230"/>
        <v>2</v>
      </c>
      <c r="Q4907" t="s">
        <v>65</v>
      </c>
    </row>
    <row r="4908" spans="1:17" x14ac:dyDescent="0.3">
      <c r="A4908" t="s">
        <v>6039</v>
      </c>
      <c r="B4908" s="6">
        <v>45175</v>
      </c>
      <c r="C4908" s="6" t="str">
        <f t="shared" si="228"/>
        <v>Sep</v>
      </c>
      <c r="D4908" t="s">
        <v>506</v>
      </c>
      <c r="E4908" t="s">
        <v>19</v>
      </c>
      <c r="F4908" t="s">
        <v>90</v>
      </c>
      <c r="G4908">
        <v>3</v>
      </c>
      <c r="H4908" s="7">
        <v>275.61</v>
      </c>
      <c r="I4908" t="s">
        <v>21</v>
      </c>
      <c r="J4908" t="s">
        <v>42</v>
      </c>
      <c r="K4908">
        <v>5</v>
      </c>
      <c r="L4908" s="7">
        <f t="shared" si="229"/>
        <v>826.83</v>
      </c>
      <c r="M4908" s="7"/>
      <c r="O4908">
        <f t="shared" si="230"/>
        <v>2</v>
      </c>
      <c r="Q4908" t="s">
        <v>23</v>
      </c>
    </row>
    <row r="4909" spans="1:17" x14ac:dyDescent="0.3">
      <c r="A4909" t="s">
        <v>6040</v>
      </c>
      <c r="B4909" s="6">
        <v>45254</v>
      </c>
      <c r="C4909" s="6" t="str">
        <f t="shared" si="228"/>
        <v>Nov</v>
      </c>
      <c r="D4909" t="s">
        <v>1451</v>
      </c>
      <c r="E4909" t="s">
        <v>19</v>
      </c>
      <c r="F4909" t="s">
        <v>698</v>
      </c>
      <c r="G4909">
        <v>3</v>
      </c>
      <c r="H4909" s="7">
        <v>356.1</v>
      </c>
      <c r="I4909" t="s">
        <v>46</v>
      </c>
      <c r="J4909" t="s">
        <v>72</v>
      </c>
      <c r="K4909">
        <v>0</v>
      </c>
      <c r="L4909" s="7">
        <f t="shared" si="229"/>
        <v>1068.3000000000002</v>
      </c>
      <c r="M4909" s="7"/>
      <c r="O4909">
        <f t="shared" si="230"/>
        <v>2</v>
      </c>
      <c r="Q4909" t="s">
        <v>47</v>
      </c>
    </row>
    <row r="4910" spans="1:17" x14ac:dyDescent="0.3">
      <c r="A4910" t="s">
        <v>6041</v>
      </c>
      <c r="B4910" s="6">
        <v>45127</v>
      </c>
      <c r="C4910" s="6" t="str">
        <f t="shared" si="228"/>
        <v>Jul</v>
      </c>
      <c r="D4910" t="s">
        <v>1144</v>
      </c>
      <c r="E4910" t="s">
        <v>62</v>
      </c>
      <c r="F4910" t="s">
        <v>944</v>
      </c>
      <c r="G4910">
        <v>6</v>
      </c>
      <c r="H4910" s="7">
        <v>29.77</v>
      </c>
      <c r="I4910" t="s">
        <v>103</v>
      </c>
      <c r="J4910" t="s">
        <v>72</v>
      </c>
      <c r="K4910">
        <v>20</v>
      </c>
      <c r="L4910" s="7">
        <f t="shared" si="229"/>
        <v>178.62</v>
      </c>
      <c r="M4910" s="7"/>
      <c r="O4910">
        <f t="shared" si="230"/>
        <v>2</v>
      </c>
      <c r="Q4910" t="s">
        <v>104</v>
      </c>
    </row>
    <row r="4911" spans="1:17" x14ac:dyDescent="0.3">
      <c r="A4911" t="s">
        <v>6042</v>
      </c>
      <c r="B4911" s="6">
        <v>45080</v>
      </c>
      <c r="C4911" s="6" t="str">
        <f t="shared" si="228"/>
        <v>Jun</v>
      </c>
      <c r="D4911" t="s">
        <v>2454</v>
      </c>
      <c r="E4911" t="s">
        <v>19</v>
      </c>
      <c r="F4911" t="s">
        <v>1282</v>
      </c>
      <c r="G4911">
        <v>5</v>
      </c>
      <c r="H4911" s="7">
        <v>39.35</v>
      </c>
      <c r="I4911" t="s">
        <v>32</v>
      </c>
      <c r="J4911" t="s">
        <v>87</v>
      </c>
      <c r="K4911">
        <v>15</v>
      </c>
      <c r="L4911" s="7">
        <f t="shared" si="229"/>
        <v>196.75</v>
      </c>
      <c r="M4911" s="7"/>
      <c r="O4911">
        <f t="shared" si="230"/>
        <v>2</v>
      </c>
      <c r="Q4911" t="s">
        <v>33</v>
      </c>
    </row>
    <row r="4912" spans="1:17" x14ac:dyDescent="0.3">
      <c r="A4912" t="s">
        <v>6043</v>
      </c>
      <c r="B4912" s="6">
        <v>45099</v>
      </c>
      <c r="C4912" s="6" t="str">
        <f t="shared" si="228"/>
        <v>Jun</v>
      </c>
      <c r="D4912" t="s">
        <v>1743</v>
      </c>
      <c r="E4912" t="s">
        <v>19</v>
      </c>
      <c r="F4912" t="s">
        <v>125</v>
      </c>
      <c r="G4912">
        <v>3</v>
      </c>
      <c r="H4912" s="7">
        <v>402.33</v>
      </c>
      <c r="I4912" t="s">
        <v>32</v>
      </c>
      <c r="J4912" t="s">
        <v>19</v>
      </c>
      <c r="K4912">
        <v>10</v>
      </c>
      <c r="L4912" s="7">
        <f t="shared" si="229"/>
        <v>1206.99</v>
      </c>
      <c r="M4912" s="7"/>
      <c r="O4912">
        <f t="shared" si="230"/>
        <v>2</v>
      </c>
      <c r="Q4912" t="s">
        <v>33</v>
      </c>
    </row>
    <row r="4913" spans="1:17" x14ac:dyDescent="0.3">
      <c r="A4913" t="s">
        <v>6044</v>
      </c>
      <c r="B4913" s="6">
        <v>44943</v>
      </c>
      <c r="C4913" s="6" t="str">
        <f t="shared" si="228"/>
        <v>Jan</v>
      </c>
      <c r="D4913" t="s">
        <v>3712</v>
      </c>
      <c r="E4913" t="s">
        <v>36</v>
      </c>
      <c r="F4913" t="s">
        <v>988</v>
      </c>
      <c r="G4913">
        <v>3</v>
      </c>
      <c r="H4913" s="7">
        <v>405.47</v>
      </c>
      <c r="I4913" t="s">
        <v>19</v>
      </c>
      <c r="J4913" t="s">
        <v>72</v>
      </c>
      <c r="K4913">
        <v>20</v>
      </c>
      <c r="L4913" s="7">
        <f t="shared" si="229"/>
        <v>1216.4100000000001</v>
      </c>
      <c r="M4913" s="7"/>
      <c r="O4913">
        <f t="shared" si="230"/>
        <v>2</v>
      </c>
      <c r="Q4913" t="s">
        <v>19</v>
      </c>
    </row>
    <row r="4914" spans="1:17" x14ac:dyDescent="0.3">
      <c r="A4914" t="s">
        <v>6045</v>
      </c>
      <c r="B4914" s="6">
        <v>45290</v>
      </c>
      <c r="C4914" s="6" t="str">
        <f t="shared" si="228"/>
        <v>Dec</v>
      </c>
      <c r="D4914" t="s">
        <v>1205</v>
      </c>
      <c r="E4914" t="s">
        <v>31</v>
      </c>
      <c r="F4914" t="s">
        <v>1374</v>
      </c>
      <c r="G4914">
        <v>8</v>
      </c>
      <c r="H4914" s="7">
        <v>126.43</v>
      </c>
      <c r="I4914" t="s">
        <v>46</v>
      </c>
      <c r="J4914" t="s">
        <v>72</v>
      </c>
      <c r="K4914">
        <v>20</v>
      </c>
      <c r="L4914" s="7">
        <f t="shared" si="229"/>
        <v>1011.44</v>
      </c>
      <c r="M4914" s="7"/>
      <c r="O4914">
        <f t="shared" si="230"/>
        <v>2</v>
      </c>
      <c r="Q4914" t="s">
        <v>47</v>
      </c>
    </row>
    <row r="4915" spans="1:17" x14ac:dyDescent="0.3">
      <c r="A4915" t="s">
        <v>6046</v>
      </c>
      <c r="B4915" s="6">
        <v>45152</v>
      </c>
      <c r="C4915" s="6" t="str">
        <f t="shared" si="228"/>
        <v>Aug</v>
      </c>
      <c r="D4915" t="s">
        <v>2632</v>
      </c>
      <c r="E4915" t="s">
        <v>50</v>
      </c>
      <c r="F4915" t="s">
        <v>646</v>
      </c>
      <c r="G4915">
        <v>8</v>
      </c>
      <c r="H4915" s="7">
        <v>309.54000000000002</v>
      </c>
      <c r="I4915" t="s">
        <v>19</v>
      </c>
      <c r="J4915" t="s">
        <v>42</v>
      </c>
      <c r="K4915">
        <v>20</v>
      </c>
      <c r="L4915" s="7">
        <f t="shared" si="229"/>
        <v>2476.3200000000002</v>
      </c>
      <c r="M4915" s="7"/>
      <c r="O4915">
        <f t="shared" si="230"/>
        <v>2</v>
      </c>
      <c r="Q4915" t="s">
        <v>19</v>
      </c>
    </row>
    <row r="4916" spans="1:17" x14ac:dyDescent="0.3">
      <c r="A4916" t="s">
        <v>6047</v>
      </c>
      <c r="B4916" s="6">
        <v>45089</v>
      </c>
      <c r="C4916" s="6" t="str">
        <f t="shared" si="228"/>
        <v>Jun</v>
      </c>
      <c r="D4916" t="s">
        <v>1495</v>
      </c>
      <c r="E4916" t="s">
        <v>19</v>
      </c>
      <c r="F4916" t="s">
        <v>284</v>
      </c>
      <c r="G4916">
        <v>7</v>
      </c>
      <c r="H4916" s="7">
        <v>224.37</v>
      </c>
      <c r="I4916" t="s">
        <v>64</v>
      </c>
      <c r="J4916" t="s">
        <v>28</v>
      </c>
      <c r="K4916">
        <v>20</v>
      </c>
      <c r="L4916" s="7">
        <f t="shared" si="229"/>
        <v>1570.5900000000001</v>
      </c>
      <c r="M4916" s="7"/>
      <c r="O4916">
        <f t="shared" si="230"/>
        <v>2</v>
      </c>
      <c r="Q4916" t="s">
        <v>65</v>
      </c>
    </row>
    <row r="4917" spans="1:17" x14ac:dyDescent="0.3">
      <c r="A4917" t="s">
        <v>6048</v>
      </c>
      <c r="B4917" s="6">
        <v>44953</v>
      </c>
      <c r="C4917" s="6" t="str">
        <f t="shared" si="228"/>
        <v>Jan</v>
      </c>
      <c r="D4917" t="s">
        <v>654</v>
      </c>
      <c r="E4917" t="s">
        <v>62</v>
      </c>
      <c r="F4917" t="s">
        <v>113</v>
      </c>
      <c r="G4917">
        <v>4</v>
      </c>
      <c r="H4917" s="7">
        <v>318.18</v>
      </c>
      <c r="I4917" t="s">
        <v>32</v>
      </c>
      <c r="J4917" t="s">
        <v>19</v>
      </c>
      <c r="K4917">
        <v>15</v>
      </c>
      <c r="L4917" s="7">
        <f t="shared" si="229"/>
        <v>1272.72</v>
      </c>
      <c r="M4917" s="7"/>
      <c r="O4917">
        <f t="shared" si="230"/>
        <v>2</v>
      </c>
      <c r="Q4917" t="s">
        <v>33</v>
      </c>
    </row>
    <row r="4918" spans="1:17" x14ac:dyDescent="0.3">
      <c r="A4918" t="s">
        <v>6049</v>
      </c>
      <c r="B4918" s="6">
        <v>45217</v>
      </c>
      <c r="C4918" s="6" t="str">
        <f t="shared" si="228"/>
        <v>Oct</v>
      </c>
      <c r="D4918" t="s">
        <v>58</v>
      </c>
      <c r="E4918" t="s">
        <v>26</v>
      </c>
      <c r="F4918" t="s">
        <v>556</v>
      </c>
      <c r="G4918">
        <v>4</v>
      </c>
      <c r="H4918" s="7">
        <v>432.13</v>
      </c>
      <c r="I4918" t="s">
        <v>46</v>
      </c>
      <c r="J4918" t="s">
        <v>72</v>
      </c>
      <c r="K4918">
        <v>15</v>
      </c>
      <c r="L4918" s="7">
        <f t="shared" si="229"/>
        <v>1728.52</v>
      </c>
      <c r="M4918" s="7"/>
      <c r="O4918">
        <f t="shared" si="230"/>
        <v>2</v>
      </c>
      <c r="Q4918" t="s">
        <v>47</v>
      </c>
    </row>
    <row r="4919" spans="1:17" x14ac:dyDescent="0.3">
      <c r="A4919" t="s">
        <v>6050</v>
      </c>
      <c r="B4919" s="6">
        <v>45044</v>
      </c>
      <c r="C4919" s="6" t="str">
        <f t="shared" si="228"/>
        <v>Apr</v>
      </c>
      <c r="D4919" t="s">
        <v>1154</v>
      </c>
      <c r="E4919" t="s">
        <v>31</v>
      </c>
      <c r="F4919" t="s">
        <v>102</v>
      </c>
      <c r="G4919">
        <v>3</v>
      </c>
      <c r="H4919" s="7">
        <v>44.53</v>
      </c>
      <c r="I4919" t="s">
        <v>32</v>
      </c>
      <c r="J4919" t="s">
        <v>28</v>
      </c>
      <c r="K4919">
        <v>10</v>
      </c>
      <c r="L4919" s="7">
        <f t="shared" si="229"/>
        <v>133.59</v>
      </c>
      <c r="M4919" s="7"/>
      <c r="O4919">
        <f t="shared" si="230"/>
        <v>2</v>
      </c>
      <c r="Q4919" t="s">
        <v>33</v>
      </c>
    </row>
    <row r="4920" spans="1:17" x14ac:dyDescent="0.3">
      <c r="A4920" t="s">
        <v>6051</v>
      </c>
      <c r="B4920" s="6">
        <v>45074</v>
      </c>
      <c r="C4920" s="6" t="str">
        <f t="shared" si="228"/>
        <v>May</v>
      </c>
      <c r="D4920" t="s">
        <v>1201</v>
      </c>
      <c r="E4920" t="s">
        <v>36</v>
      </c>
      <c r="F4920" t="s">
        <v>657</v>
      </c>
      <c r="G4920">
        <v>5</v>
      </c>
      <c r="H4920" s="7">
        <v>390.1</v>
      </c>
      <c r="I4920" t="s">
        <v>21</v>
      </c>
      <c r="J4920" t="s">
        <v>87</v>
      </c>
      <c r="K4920">
        <v>15</v>
      </c>
      <c r="L4920" s="7">
        <f t="shared" si="229"/>
        <v>1950.5</v>
      </c>
      <c r="M4920" s="7"/>
      <c r="O4920">
        <f t="shared" si="230"/>
        <v>2</v>
      </c>
      <c r="Q4920" t="s">
        <v>23</v>
      </c>
    </row>
    <row r="4921" spans="1:17" x14ac:dyDescent="0.3">
      <c r="A4921" t="s">
        <v>6052</v>
      </c>
      <c r="B4921" s="6">
        <v>45148</v>
      </c>
      <c r="C4921" s="6" t="str">
        <f t="shared" si="228"/>
        <v>Aug</v>
      </c>
      <c r="D4921" t="s">
        <v>777</v>
      </c>
      <c r="E4921" t="s">
        <v>19</v>
      </c>
      <c r="F4921" t="s">
        <v>341</v>
      </c>
      <c r="G4921">
        <v>3</v>
      </c>
      <c r="H4921" s="7">
        <v>249.05</v>
      </c>
      <c r="I4921" t="s">
        <v>46</v>
      </c>
      <c r="J4921" t="s">
        <v>22</v>
      </c>
      <c r="K4921">
        <v>15</v>
      </c>
      <c r="L4921" s="7">
        <f t="shared" si="229"/>
        <v>747.15000000000009</v>
      </c>
      <c r="M4921" s="7"/>
      <c r="O4921">
        <f t="shared" si="230"/>
        <v>2</v>
      </c>
      <c r="Q4921" t="s">
        <v>47</v>
      </c>
    </row>
    <row r="4922" spans="1:17" x14ac:dyDescent="0.3">
      <c r="A4922" t="s">
        <v>6053</v>
      </c>
      <c r="B4922" s="6">
        <v>45129</v>
      </c>
      <c r="C4922" s="6" t="str">
        <f t="shared" si="228"/>
        <v>Jul</v>
      </c>
      <c r="D4922" t="s">
        <v>2587</v>
      </c>
      <c r="E4922" t="s">
        <v>31</v>
      </c>
      <c r="F4922" t="s">
        <v>499</v>
      </c>
      <c r="G4922">
        <v>8</v>
      </c>
      <c r="H4922" s="7">
        <v>284.24</v>
      </c>
      <c r="I4922" t="s">
        <v>103</v>
      </c>
      <c r="J4922" t="s">
        <v>87</v>
      </c>
      <c r="K4922">
        <v>0</v>
      </c>
      <c r="L4922" s="7">
        <f t="shared" si="229"/>
        <v>2273.92</v>
      </c>
      <c r="M4922" s="7"/>
      <c r="O4922">
        <f t="shared" si="230"/>
        <v>2</v>
      </c>
      <c r="Q4922" t="s">
        <v>104</v>
      </c>
    </row>
    <row r="4923" spans="1:17" x14ac:dyDescent="0.3">
      <c r="A4923" t="s">
        <v>6054</v>
      </c>
      <c r="B4923" s="6">
        <v>45020</v>
      </c>
      <c r="C4923" s="6" t="str">
        <f t="shared" si="228"/>
        <v>Apr</v>
      </c>
      <c r="D4923" t="s">
        <v>1321</v>
      </c>
      <c r="E4923" t="s">
        <v>19</v>
      </c>
      <c r="F4923" t="s">
        <v>137</v>
      </c>
      <c r="G4923">
        <v>7</v>
      </c>
      <c r="H4923" s="7">
        <v>328.7</v>
      </c>
      <c r="I4923" t="s">
        <v>46</v>
      </c>
      <c r="J4923" t="s">
        <v>22</v>
      </c>
      <c r="K4923">
        <v>0</v>
      </c>
      <c r="L4923" s="7">
        <f t="shared" si="229"/>
        <v>2300.9</v>
      </c>
      <c r="M4923" s="7"/>
      <c r="O4923">
        <f t="shared" si="230"/>
        <v>2</v>
      </c>
      <c r="Q4923" t="s">
        <v>47</v>
      </c>
    </row>
    <row r="4924" spans="1:17" x14ac:dyDescent="0.3">
      <c r="A4924" t="s">
        <v>6055</v>
      </c>
      <c r="B4924" s="6">
        <v>45173</v>
      </c>
      <c r="C4924" s="6" t="str">
        <f t="shared" si="228"/>
        <v>Sep</v>
      </c>
      <c r="D4924" t="s">
        <v>1898</v>
      </c>
      <c r="E4924" t="s">
        <v>40</v>
      </c>
      <c r="F4924" t="s">
        <v>128</v>
      </c>
      <c r="G4924">
        <v>3</v>
      </c>
      <c r="H4924" s="7">
        <v>461.7</v>
      </c>
      <c r="I4924" t="s">
        <v>103</v>
      </c>
      <c r="J4924" t="s">
        <v>19</v>
      </c>
      <c r="K4924">
        <v>5</v>
      </c>
      <c r="L4924" s="7">
        <f t="shared" si="229"/>
        <v>1385.1</v>
      </c>
      <c r="M4924" s="7"/>
      <c r="O4924">
        <f t="shared" si="230"/>
        <v>2</v>
      </c>
      <c r="Q4924" t="s">
        <v>104</v>
      </c>
    </row>
    <row r="4925" spans="1:17" x14ac:dyDescent="0.3">
      <c r="A4925" t="s">
        <v>6056</v>
      </c>
      <c r="B4925" s="6">
        <v>44956</v>
      </c>
      <c r="C4925" s="6" t="str">
        <f t="shared" si="228"/>
        <v>Jan</v>
      </c>
      <c r="D4925" t="s">
        <v>3130</v>
      </c>
      <c r="E4925" t="s">
        <v>40</v>
      </c>
      <c r="F4925" t="s">
        <v>909</v>
      </c>
      <c r="G4925">
        <v>9</v>
      </c>
      <c r="H4925" s="7">
        <v>33.08</v>
      </c>
      <c r="I4925" t="s">
        <v>46</v>
      </c>
      <c r="J4925" t="s">
        <v>87</v>
      </c>
      <c r="K4925">
        <v>10</v>
      </c>
      <c r="L4925" s="7">
        <f t="shared" si="229"/>
        <v>297.71999999999997</v>
      </c>
      <c r="M4925" s="7"/>
      <c r="O4925">
        <f t="shared" si="230"/>
        <v>2</v>
      </c>
      <c r="Q4925" t="s">
        <v>47</v>
      </c>
    </row>
    <row r="4926" spans="1:17" x14ac:dyDescent="0.3">
      <c r="A4926" t="s">
        <v>6057</v>
      </c>
      <c r="B4926" s="6">
        <v>45222</v>
      </c>
      <c r="C4926" s="6" t="str">
        <f t="shared" si="228"/>
        <v>Oct</v>
      </c>
      <c r="D4926" t="s">
        <v>2338</v>
      </c>
      <c r="E4926" t="s">
        <v>19</v>
      </c>
      <c r="F4926" t="s">
        <v>328</v>
      </c>
      <c r="G4926">
        <v>5</v>
      </c>
      <c r="H4926" s="7">
        <v>19.59</v>
      </c>
      <c r="I4926" t="s">
        <v>64</v>
      </c>
      <c r="J4926" t="s">
        <v>72</v>
      </c>
      <c r="K4926">
        <v>0</v>
      </c>
      <c r="L4926" s="7">
        <f t="shared" si="229"/>
        <v>97.95</v>
      </c>
      <c r="M4926" s="7"/>
      <c r="O4926">
        <f t="shared" si="230"/>
        <v>2</v>
      </c>
      <c r="Q4926" t="s">
        <v>65</v>
      </c>
    </row>
    <row r="4927" spans="1:17" x14ac:dyDescent="0.3">
      <c r="A4927" t="s">
        <v>6058</v>
      </c>
      <c r="B4927" s="6">
        <v>45236</v>
      </c>
      <c r="C4927" s="6" t="str">
        <f t="shared" si="228"/>
        <v>Nov</v>
      </c>
      <c r="D4927" t="s">
        <v>686</v>
      </c>
      <c r="E4927" t="s">
        <v>19</v>
      </c>
      <c r="F4927" t="s">
        <v>488</v>
      </c>
      <c r="G4927">
        <v>5</v>
      </c>
      <c r="H4927" s="7">
        <v>93.24</v>
      </c>
      <c r="I4927" t="s">
        <v>19</v>
      </c>
      <c r="J4927" t="s">
        <v>87</v>
      </c>
      <c r="K4927">
        <v>10</v>
      </c>
      <c r="L4927" s="7">
        <f t="shared" si="229"/>
        <v>466.2</v>
      </c>
      <c r="M4927" s="7"/>
      <c r="O4927">
        <f t="shared" si="230"/>
        <v>2</v>
      </c>
      <c r="Q4927" t="s">
        <v>19</v>
      </c>
    </row>
    <row r="4928" spans="1:17" x14ac:dyDescent="0.3">
      <c r="A4928" t="s">
        <v>6059</v>
      </c>
      <c r="B4928" s="6">
        <v>44955</v>
      </c>
      <c r="C4928" s="6" t="str">
        <f t="shared" si="228"/>
        <v>Jan</v>
      </c>
      <c r="D4928" t="s">
        <v>1152</v>
      </c>
      <c r="E4928" t="s">
        <v>19</v>
      </c>
      <c r="F4928" t="s">
        <v>182</v>
      </c>
      <c r="G4928">
        <v>7</v>
      </c>
      <c r="H4928" s="7">
        <v>493.29</v>
      </c>
      <c r="I4928" t="s">
        <v>103</v>
      </c>
      <c r="J4928" t="s">
        <v>42</v>
      </c>
      <c r="K4928">
        <v>10</v>
      </c>
      <c r="L4928" s="7">
        <f t="shared" si="229"/>
        <v>3453.03</v>
      </c>
      <c r="M4928" s="7"/>
      <c r="O4928">
        <f t="shared" si="230"/>
        <v>4</v>
      </c>
      <c r="Q4928" t="s">
        <v>104</v>
      </c>
    </row>
    <row r="4929" spans="1:17" x14ac:dyDescent="0.3">
      <c r="A4929" t="s">
        <v>6060</v>
      </c>
      <c r="B4929" s="6">
        <v>45167</v>
      </c>
      <c r="C4929" s="6" t="str">
        <f t="shared" si="228"/>
        <v>Aug</v>
      </c>
      <c r="D4929" t="s">
        <v>4044</v>
      </c>
      <c r="E4929" t="s">
        <v>31</v>
      </c>
      <c r="F4929" t="s">
        <v>1325</v>
      </c>
      <c r="G4929">
        <v>7</v>
      </c>
      <c r="H4929" s="7">
        <v>358.96</v>
      </c>
      <c r="I4929" t="s">
        <v>64</v>
      </c>
      <c r="J4929" t="s">
        <v>19</v>
      </c>
      <c r="K4929">
        <v>20</v>
      </c>
      <c r="L4929" s="7">
        <f t="shared" si="229"/>
        <v>2512.7199999999998</v>
      </c>
      <c r="M4929" s="7"/>
      <c r="O4929">
        <f t="shared" si="230"/>
        <v>3</v>
      </c>
      <c r="Q4929" t="s">
        <v>65</v>
      </c>
    </row>
    <row r="4930" spans="1:17" x14ac:dyDescent="0.3">
      <c r="A4930" t="s">
        <v>6061</v>
      </c>
      <c r="B4930" s="6">
        <v>45185</v>
      </c>
      <c r="C4930" s="6" t="str">
        <f t="shared" si="228"/>
        <v>Sep</v>
      </c>
      <c r="D4930" t="s">
        <v>374</v>
      </c>
      <c r="E4930" t="s">
        <v>19</v>
      </c>
      <c r="F4930" t="s">
        <v>353</v>
      </c>
      <c r="G4930">
        <v>6</v>
      </c>
      <c r="H4930" s="7">
        <v>309.25</v>
      </c>
      <c r="I4930" t="s">
        <v>32</v>
      </c>
      <c r="J4930" t="s">
        <v>19</v>
      </c>
      <c r="K4930">
        <v>10</v>
      </c>
      <c r="L4930" s="7">
        <f t="shared" si="229"/>
        <v>1855.5</v>
      </c>
      <c r="M4930" s="7"/>
      <c r="O4930">
        <f t="shared" si="230"/>
        <v>2</v>
      </c>
      <c r="Q4930" t="s">
        <v>33</v>
      </c>
    </row>
    <row r="4931" spans="1:17" x14ac:dyDescent="0.3">
      <c r="A4931" t="s">
        <v>6062</v>
      </c>
      <c r="B4931" s="6">
        <v>45197</v>
      </c>
      <c r="C4931" s="6" t="str">
        <f t="shared" ref="C4931:C4994" si="231">TEXT(B4931,"MMM")</f>
        <v>Sep</v>
      </c>
      <c r="D4931" t="s">
        <v>607</v>
      </c>
      <c r="E4931" t="s">
        <v>50</v>
      </c>
      <c r="F4931" t="s">
        <v>363</v>
      </c>
      <c r="G4931">
        <v>2</v>
      </c>
      <c r="H4931" s="7">
        <v>28.28</v>
      </c>
      <c r="I4931" t="s">
        <v>103</v>
      </c>
      <c r="J4931" t="s">
        <v>87</v>
      </c>
      <c r="K4931">
        <v>10</v>
      </c>
      <c r="L4931" s="7">
        <f t="shared" ref="L4931:L4994" si="232">G4931*H4931</f>
        <v>56.56</v>
      </c>
      <c r="M4931" s="7"/>
      <c r="O4931">
        <f t="shared" si="230"/>
        <v>2</v>
      </c>
      <c r="Q4931" t="s">
        <v>104</v>
      </c>
    </row>
    <row r="4932" spans="1:17" x14ac:dyDescent="0.3">
      <c r="A4932" t="s">
        <v>6063</v>
      </c>
      <c r="B4932" s="6">
        <v>45270</v>
      </c>
      <c r="C4932" s="6" t="str">
        <f t="shared" si="231"/>
        <v>Dec</v>
      </c>
      <c r="D4932" t="s">
        <v>4347</v>
      </c>
      <c r="E4932" t="s">
        <v>26</v>
      </c>
      <c r="F4932" t="s">
        <v>254</v>
      </c>
      <c r="G4932">
        <v>9</v>
      </c>
      <c r="H4932" s="7">
        <v>440.16</v>
      </c>
      <c r="I4932" t="s">
        <v>46</v>
      </c>
      <c r="J4932" t="s">
        <v>19</v>
      </c>
      <c r="K4932">
        <v>10</v>
      </c>
      <c r="L4932" s="7">
        <f t="shared" si="232"/>
        <v>3961.44</v>
      </c>
      <c r="M4932" s="7"/>
      <c r="O4932">
        <f t="shared" ref="O4932:O4995" si="233">IF(L4932&gt;3500,5,IF(L4932&gt;3000,4,IF(L4932&gt;2500,3,IF(L4932&gt;2000,2,IF(L4932&gt;1000,2,2)))))</f>
        <v>5</v>
      </c>
      <c r="Q4932" t="s">
        <v>47</v>
      </c>
    </row>
    <row r="4933" spans="1:17" x14ac:dyDescent="0.3">
      <c r="A4933" t="s">
        <v>6064</v>
      </c>
      <c r="B4933" s="6">
        <v>44995</v>
      </c>
      <c r="C4933" s="6" t="str">
        <f t="shared" si="231"/>
        <v>Mar</v>
      </c>
      <c r="D4933" t="s">
        <v>272</v>
      </c>
      <c r="E4933" t="s">
        <v>50</v>
      </c>
      <c r="F4933" t="s">
        <v>1023</v>
      </c>
      <c r="G4933">
        <v>6</v>
      </c>
      <c r="H4933" s="7">
        <v>407.31</v>
      </c>
      <c r="I4933" t="s">
        <v>19</v>
      </c>
      <c r="J4933" t="s">
        <v>19</v>
      </c>
      <c r="K4933">
        <v>10</v>
      </c>
      <c r="L4933" s="7">
        <f t="shared" si="232"/>
        <v>2443.86</v>
      </c>
      <c r="M4933" s="7"/>
      <c r="O4933">
        <f t="shared" si="233"/>
        <v>2</v>
      </c>
      <c r="Q4933" t="s">
        <v>19</v>
      </c>
    </row>
    <row r="4934" spans="1:17" x14ac:dyDescent="0.3">
      <c r="A4934" t="s">
        <v>6065</v>
      </c>
      <c r="B4934" s="6">
        <v>45212</v>
      </c>
      <c r="C4934" s="6" t="str">
        <f t="shared" si="231"/>
        <v>Oct</v>
      </c>
      <c r="D4934" t="s">
        <v>527</v>
      </c>
      <c r="E4934" t="s">
        <v>26</v>
      </c>
      <c r="F4934" t="s">
        <v>190</v>
      </c>
      <c r="G4934">
        <v>8</v>
      </c>
      <c r="H4934" s="7">
        <v>334.08</v>
      </c>
      <c r="I4934" t="s">
        <v>21</v>
      </c>
      <c r="J4934" t="s">
        <v>87</v>
      </c>
      <c r="K4934">
        <v>20</v>
      </c>
      <c r="L4934" s="7">
        <f t="shared" si="232"/>
        <v>2672.64</v>
      </c>
      <c r="M4934" s="7"/>
      <c r="O4934">
        <f t="shared" si="233"/>
        <v>3</v>
      </c>
      <c r="Q4934" t="s">
        <v>23</v>
      </c>
    </row>
    <row r="4935" spans="1:17" x14ac:dyDescent="0.3">
      <c r="A4935" t="s">
        <v>6066</v>
      </c>
      <c r="B4935" s="6">
        <v>45010</v>
      </c>
      <c r="C4935" s="6" t="str">
        <f t="shared" si="231"/>
        <v>Mar</v>
      </c>
      <c r="D4935" t="s">
        <v>1875</v>
      </c>
      <c r="E4935" t="s">
        <v>31</v>
      </c>
      <c r="F4935" t="s">
        <v>523</v>
      </c>
      <c r="G4935">
        <v>1</v>
      </c>
      <c r="H4935" s="7">
        <v>172.87</v>
      </c>
      <c r="I4935" t="s">
        <v>64</v>
      </c>
      <c r="J4935" t="s">
        <v>28</v>
      </c>
      <c r="K4935">
        <v>5</v>
      </c>
      <c r="L4935" s="7">
        <f t="shared" si="232"/>
        <v>172.87</v>
      </c>
      <c r="M4935" s="7"/>
      <c r="O4935">
        <f t="shared" si="233"/>
        <v>2</v>
      </c>
      <c r="Q4935" t="s">
        <v>65</v>
      </c>
    </row>
    <row r="4936" spans="1:17" x14ac:dyDescent="0.3">
      <c r="A4936" t="s">
        <v>6067</v>
      </c>
      <c r="B4936" s="6">
        <v>45038</v>
      </c>
      <c r="C4936" s="6" t="str">
        <f t="shared" si="231"/>
        <v>Apr</v>
      </c>
      <c r="D4936" t="s">
        <v>172</v>
      </c>
      <c r="E4936" t="s">
        <v>19</v>
      </c>
      <c r="F4936" t="s">
        <v>432</v>
      </c>
      <c r="G4936">
        <v>5</v>
      </c>
      <c r="H4936" s="7">
        <v>39.9</v>
      </c>
      <c r="I4936" t="s">
        <v>19</v>
      </c>
      <c r="J4936" t="s">
        <v>19</v>
      </c>
      <c r="K4936">
        <v>5</v>
      </c>
      <c r="L4936" s="7">
        <f t="shared" si="232"/>
        <v>199.5</v>
      </c>
      <c r="M4936" s="7"/>
      <c r="O4936">
        <f t="shared" si="233"/>
        <v>2</v>
      </c>
      <c r="Q4936" t="s">
        <v>19</v>
      </c>
    </row>
    <row r="4937" spans="1:17" x14ac:dyDescent="0.3">
      <c r="A4937" t="s">
        <v>6068</v>
      </c>
      <c r="B4937" s="6">
        <v>44964</v>
      </c>
      <c r="C4937" s="6" t="str">
        <f t="shared" si="231"/>
        <v>Feb</v>
      </c>
      <c r="D4937" t="s">
        <v>1449</v>
      </c>
      <c r="E4937" t="s">
        <v>40</v>
      </c>
      <c r="F4937" t="s">
        <v>944</v>
      </c>
      <c r="G4937">
        <v>1</v>
      </c>
      <c r="H4937" s="7">
        <v>292.12</v>
      </c>
      <c r="I4937" t="s">
        <v>64</v>
      </c>
      <c r="J4937" t="s">
        <v>19</v>
      </c>
      <c r="K4937">
        <v>10</v>
      </c>
      <c r="L4937" s="7">
        <f t="shared" si="232"/>
        <v>292.12</v>
      </c>
      <c r="M4937" s="7"/>
      <c r="O4937">
        <f t="shared" si="233"/>
        <v>2</v>
      </c>
      <c r="Q4937" t="s">
        <v>65</v>
      </c>
    </row>
    <row r="4938" spans="1:17" x14ac:dyDescent="0.3">
      <c r="A4938" t="s">
        <v>6069</v>
      </c>
      <c r="B4938" s="6">
        <v>45229</v>
      </c>
      <c r="C4938" s="6" t="str">
        <f t="shared" si="231"/>
        <v>Oct</v>
      </c>
      <c r="D4938" t="s">
        <v>2009</v>
      </c>
      <c r="E4938" t="s">
        <v>26</v>
      </c>
      <c r="F4938" t="s">
        <v>968</v>
      </c>
      <c r="G4938">
        <v>8</v>
      </c>
      <c r="H4938" s="7">
        <v>361.25</v>
      </c>
      <c r="I4938" t="s">
        <v>19</v>
      </c>
      <c r="J4938" t="s">
        <v>28</v>
      </c>
      <c r="K4938">
        <v>5</v>
      </c>
      <c r="L4938" s="7">
        <f t="shared" si="232"/>
        <v>2890</v>
      </c>
      <c r="M4938" s="7"/>
      <c r="O4938">
        <f t="shared" si="233"/>
        <v>3</v>
      </c>
      <c r="Q4938" t="s">
        <v>19</v>
      </c>
    </row>
    <row r="4939" spans="1:17" x14ac:dyDescent="0.3">
      <c r="A4939" t="s">
        <v>6070</v>
      </c>
      <c r="B4939" s="6">
        <v>45022</v>
      </c>
      <c r="C4939" s="6" t="str">
        <f t="shared" si="231"/>
        <v>Apr</v>
      </c>
      <c r="D4939" t="s">
        <v>4680</v>
      </c>
      <c r="E4939" t="s">
        <v>19</v>
      </c>
      <c r="F4939" t="s">
        <v>71</v>
      </c>
      <c r="G4939">
        <v>8</v>
      </c>
      <c r="H4939" s="7">
        <v>51.65</v>
      </c>
      <c r="I4939" t="s">
        <v>64</v>
      </c>
      <c r="J4939" t="s">
        <v>72</v>
      </c>
      <c r="K4939">
        <v>20</v>
      </c>
      <c r="L4939" s="7">
        <f t="shared" si="232"/>
        <v>413.2</v>
      </c>
      <c r="M4939" s="7"/>
      <c r="O4939">
        <f t="shared" si="233"/>
        <v>2</v>
      </c>
      <c r="Q4939" t="s">
        <v>65</v>
      </c>
    </row>
    <row r="4940" spans="1:17" x14ac:dyDescent="0.3">
      <c r="A4940" t="s">
        <v>6071</v>
      </c>
      <c r="B4940" s="6">
        <v>45207</v>
      </c>
      <c r="C4940" s="6" t="str">
        <f t="shared" si="231"/>
        <v>Oct</v>
      </c>
      <c r="D4940" t="s">
        <v>1393</v>
      </c>
      <c r="E4940" t="s">
        <v>50</v>
      </c>
      <c r="F4940" t="s">
        <v>389</v>
      </c>
      <c r="G4940">
        <v>1</v>
      </c>
      <c r="H4940" s="7">
        <v>318.70999999999998</v>
      </c>
      <c r="I4940" t="s">
        <v>64</v>
      </c>
      <c r="J4940" t="s">
        <v>72</v>
      </c>
      <c r="K4940">
        <v>10</v>
      </c>
      <c r="L4940" s="7">
        <f t="shared" si="232"/>
        <v>318.70999999999998</v>
      </c>
      <c r="M4940" s="7"/>
      <c r="O4940">
        <f t="shared" si="233"/>
        <v>2</v>
      </c>
      <c r="Q4940" t="s">
        <v>65</v>
      </c>
    </row>
    <row r="4941" spans="1:17" x14ac:dyDescent="0.3">
      <c r="A4941" t="s">
        <v>6072</v>
      </c>
      <c r="B4941" s="6">
        <v>45260</v>
      </c>
      <c r="C4941" s="6" t="str">
        <f t="shared" si="231"/>
        <v>Nov</v>
      </c>
      <c r="D4941" t="s">
        <v>1110</v>
      </c>
      <c r="E4941" t="s">
        <v>19</v>
      </c>
      <c r="F4941" t="s">
        <v>887</v>
      </c>
      <c r="G4941">
        <v>9</v>
      </c>
      <c r="H4941" s="7">
        <v>146.75</v>
      </c>
      <c r="I4941" t="s">
        <v>32</v>
      </c>
      <c r="J4941" t="s">
        <v>22</v>
      </c>
      <c r="K4941">
        <v>20</v>
      </c>
      <c r="L4941" s="7">
        <f t="shared" si="232"/>
        <v>1320.75</v>
      </c>
      <c r="M4941" s="7"/>
      <c r="O4941">
        <f t="shared" si="233"/>
        <v>2</v>
      </c>
      <c r="Q4941" t="s">
        <v>33</v>
      </c>
    </row>
    <row r="4942" spans="1:17" x14ac:dyDescent="0.3">
      <c r="A4942" t="s">
        <v>6073</v>
      </c>
      <c r="B4942" s="6">
        <v>45190</v>
      </c>
      <c r="C4942" s="6" t="str">
        <f t="shared" si="231"/>
        <v>Sep</v>
      </c>
      <c r="D4942" t="s">
        <v>881</v>
      </c>
      <c r="E4942" t="s">
        <v>50</v>
      </c>
      <c r="F4942" t="s">
        <v>347</v>
      </c>
      <c r="G4942">
        <v>2</v>
      </c>
      <c r="H4942" s="7">
        <v>383.3</v>
      </c>
      <c r="I4942" t="s">
        <v>103</v>
      </c>
      <c r="J4942" t="s">
        <v>22</v>
      </c>
      <c r="K4942">
        <v>5</v>
      </c>
      <c r="L4942" s="7">
        <f t="shared" si="232"/>
        <v>766.6</v>
      </c>
      <c r="M4942" s="7"/>
      <c r="O4942">
        <f t="shared" si="233"/>
        <v>2</v>
      </c>
      <c r="Q4942" t="s">
        <v>104</v>
      </c>
    </row>
    <row r="4943" spans="1:17" x14ac:dyDescent="0.3">
      <c r="A4943" t="s">
        <v>6074</v>
      </c>
      <c r="B4943" s="6">
        <v>45024</v>
      </c>
      <c r="C4943" s="6" t="str">
        <f t="shared" si="231"/>
        <v>Apr</v>
      </c>
      <c r="D4943" t="s">
        <v>2158</v>
      </c>
      <c r="E4943" t="s">
        <v>50</v>
      </c>
      <c r="F4943" t="s">
        <v>94</v>
      </c>
      <c r="G4943">
        <v>9</v>
      </c>
      <c r="H4943" s="7">
        <v>272.11</v>
      </c>
      <c r="I4943" t="s">
        <v>21</v>
      </c>
      <c r="J4943" t="s">
        <v>87</v>
      </c>
      <c r="K4943">
        <v>10</v>
      </c>
      <c r="L4943" s="7">
        <f t="shared" si="232"/>
        <v>2448.9900000000002</v>
      </c>
      <c r="M4943" s="7"/>
      <c r="O4943">
        <f t="shared" si="233"/>
        <v>2</v>
      </c>
      <c r="Q4943" t="s">
        <v>23</v>
      </c>
    </row>
    <row r="4944" spans="1:17" x14ac:dyDescent="0.3">
      <c r="A4944" t="s">
        <v>6075</v>
      </c>
      <c r="B4944" s="6">
        <v>45240</v>
      </c>
      <c r="C4944" s="6" t="str">
        <f t="shared" si="231"/>
        <v>Nov</v>
      </c>
      <c r="D4944" t="s">
        <v>2338</v>
      </c>
      <c r="E4944" t="s">
        <v>19</v>
      </c>
      <c r="F4944" t="s">
        <v>1038</v>
      </c>
      <c r="G4944">
        <v>1</v>
      </c>
      <c r="H4944" s="7">
        <v>68.87</v>
      </c>
      <c r="I4944" t="s">
        <v>46</v>
      </c>
      <c r="J4944" t="s">
        <v>42</v>
      </c>
      <c r="K4944">
        <v>20</v>
      </c>
      <c r="L4944" s="7">
        <f t="shared" si="232"/>
        <v>68.87</v>
      </c>
      <c r="M4944" s="7"/>
      <c r="O4944">
        <f t="shared" si="233"/>
        <v>2</v>
      </c>
      <c r="Q4944" t="s">
        <v>47</v>
      </c>
    </row>
    <row r="4945" spans="1:17" x14ac:dyDescent="0.3">
      <c r="A4945" t="s">
        <v>6076</v>
      </c>
      <c r="B4945" s="6">
        <v>44978</v>
      </c>
      <c r="C4945" s="6" t="str">
        <f t="shared" si="231"/>
        <v>Feb</v>
      </c>
      <c r="D4945" t="s">
        <v>1079</v>
      </c>
      <c r="E4945" t="s">
        <v>31</v>
      </c>
      <c r="F4945" t="s">
        <v>257</v>
      </c>
      <c r="G4945">
        <v>9</v>
      </c>
      <c r="H4945" s="7">
        <v>265.63</v>
      </c>
      <c r="I4945" t="s">
        <v>103</v>
      </c>
      <c r="J4945" t="s">
        <v>42</v>
      </c>
      <c r="K4945">
        <v>15</v>
      </c>
      <c r="L4945" s="7">
        <f t="shared" si="232"/>
        <v>2390.67</v>
      </c>
      <c r="M4945" s="7"/>
      <c r="O4945">
        <f t="shared" si="233"/>
        <v>2</v>
      </c>
      <c r="Q4945" t="s">
        <v>104</v>
      </c>
    </row>
    <row r="4946" spans="1:17" x14ac:dyDescent="0.3">
      <c r="A4946" t="s">
        <v>6077</v>
      </c>
      <c r="B4946" s="6">
        <v>45136</v>
      </c>
      <c r="C4946" s="6" t="str">
        <f t="shared" si="231"/>
        <v>Jul</v>
      </c>
      <c r="D4946" t="s">
        <v>3177</v>
      </c>
      <c r="E4946" t="s">
        <v>19</v>
      </c>
      <c r="F4946" t="s">
        <v>71</v>
      </c>
      <c r="G4946">
        <v>4</v>
      </c>
      <c r="H4946" s="7">
        <v>200.89</v>
      </c>
      <c r="I4946" t="s">
        <v>32</v>
      </c>
      <c r="J4946" t="s">
        <v>28</v>
      </c>
      <c r="K4946">
        <v>15</v>
      </c>
      <c r="L4946" s="7">
        <f t="shared" si="232"/>
        <v>803.56</v>
      </c>
      <c r="M4946" s="7"/>
      <c r="O4946">
        <f t="shared" si="233"/>
        <v>2</v>
      </c>
      <c r="Q4946" t="s">
        <v>33</v>
      </c>
    </row>
    <row r="4947" spans="1:17" x14ac:dyDescent="0.3">
      <c r="A4947" t="s">
        <v>6078</v>
      </c>
      <c r="B4947" s="6">
        <v>44928</v>
      </c>
      <c r="C4947" s="6" t="str">
        <f t="shared" si="231"/>
        <v>Jan</v>
      </c>
      <c r="D4947" t="s">
        <v>650</v>
      </c>
      <c r="E4947" t="s">
        <v>26</v>
      </c>
      <c r="F4947" t="s">
        <v>182</v>
      </c>
      <c r="G4947">
        <v>9</v>
      </c>
      <c r="H4947" s="7">
        <v>94.28</v>
      </c>
      <c r="I4947" t="s">
        <v>64</v>
      </c>
      <c r="J4947" t="s">
        <v>87</v>
      </c>
      <c r="K4947">
        <v>20</v>
      </c>
      <c r="L4947" s="7">
        <f t="shared" si="232"/>
        <v>848.52</v>
      </c>
      <c r="M4947" s="7"/>
      <c r="O4947">
        <f t="shared" si="233"/>
        <v>2</v>
      </c>
      <c r="Q4947" t="s">
        <v>65</v>
      </c>
    </row>
    <row r="4948" spans="1:17" x14ac:dyDescent="0.3">
      <c r="A4948" t="s">
        <v>6079</v>
      </c>
      <c r="B4948" s="6">
        <v>44975</v>
      </c>
      <c r="C4948" s="6" t="str">
        <f t="shared" si="231"/>
        <v>Feb</v>
      </c>
      <c r="D4948" t="s">
        <v>1152</v>
      </c>
      <c r="E4948" t="s">
        <v>19</v>
      </c>
      <c r="F4948" t="s">
        <v>1117</v>
      </c>
      <c r="G4948">
        <v>7</v>
      </c>
      <c r="H4948" s="7">
        <v>421.55</v>
      </c>
      <c r="I4948" t="s">
        <v>21</v>
      </c>
      <c r="J4948" t="s">
        <v>72</v>
      </c>
      <c r="K4948">
        <v>20</v>
      </c>
      <c r="L4948" s="7">
        <f t="shared" si="232"/>
        <v>2950.85</v>
      </c>
      <c r="M4948" s="7"/>
      <c r="O4948">
        <f t="shared" si="233"/>
        <v>3</v>
      </c>
      <c r="Q4948" t="s">
        <v>23</v>
      </c>
    </row>
    <row r="4949" spans="1:17" x14ac:dyDescent="0.3">
      <c r="A4949" t="s">
        <v>6080</v>
      </c>
      <c r="B4949" s="6">
        <v>45248</v>
      </c>
      <c r="C4949" s="6" t="str">
        <f t="shared" si="231"/>
        <v>Nov</v>
      </c>
      <c r="D4949" t="s">
        <v>498</v>
      </c>
      <c r="E4949" t="s">
        <v>36</v>
      </c>
      <c r="F4949" t="s">
        <v>278</v>
      </c>
      <c r="G4949">
        <v>6</v>
      </c>
      <c r="H4949" s="7">
        <v>10.46</v>
      </c>
      <c r="I4949" t="s">
        <v>32</v>
      </c>
      <c r="J4949" t="s">
        <v>28</v>
      </c>
      <c r="K4949">
        <v>0</v>
      </c>
      <c r="L4949" s="7">
        <f t="shared" si="232"/>
        <v>62.760000000000005</v>
      </c>
      <c r="M4949" s="7"/>
      <c r="O4949">
        <f t="shared" si="233"/>
        <v>2</v>
      </c>
      <c r="Q4949" t="s">
        <v>33</v>
      </c>
    </row>
    <row r="4950" spans="1:17" x14ac:dyDescent="0.3">
      <c r="A4950" t="s">
        <v>6081</v>
      </c>
      <c r="B4950" s="6">
        <v>45006</v>
      </c>
      <c r="C4950" s="6" t="str">
        <f t="shared" si="231"/>
        <v>Mar</v>
      </c>
      <c r="D4950" t="s">
        <v>1775</v>
      </c>
      <c r="E4950" t="s">
        <v>19</v>
      </c>
      <c r="F4950" t="s">
        <v>909</v>
      </c>
      <c r="G4950">
        <v>5</v>
      </c>
      <c r="H4950" s="7">
        <v>159.5</v>
      </c>
      <c r="I4950" t="s">
        <v>103</v>
      </c>
      <c r="J4950" t="s">
        <v>72</v>
      </c>
      <c r="K4950">
        <v>0</v>
      </c>
      <c r="L4950" s="7">
        <f t="shared" si="232"/>
        <v>797.5</v>
      </c>
      <c r="M4950" s="7"/>
      <c r="O4950">
        <f t="shared" si="233"/>
        <v>2</v>
      </c>
      <c r="Q4950" t="s">
        <v>104</v>
      </c>
    </row>
    <row r="4951" spans="1:17" x14ac:dyDescent="0.3">
      <c r="A4951" t="s">
        <v>6082</v>
      </c>
      <c r="B4951" s="6">
        <v>45268</v>
      </c>
      <c r="C4951" s="6" t="str">
        <f t="shared" si="231"/>
        <v>Dec</v>
      </c>
      <c r="D4951" t="s">
        <v>425</v>
      </c>
      <c r="E4951" t="s">
        <v>62</v>
      </c>
      <c r="F4951" t="s">
        <v>190</v>
      </c>
      <c r="G4951">
        <v>9</v>
      </c>
      <c r="H4951" s="7">
        <v>11.23</v>
      </c>
      <c r="I4951" t="s">
        <v>19</v>
      </c>
      <c r="J4951" t="s">
        <v>22</v>
      </c>
      <c r="K4951">
        <v>10</v>
      </c>
      <c r="L4951" s="7">
        <f t="shared" si="232"/>
        <v>101.07000000000001</v>
      </c>
      <c r="M4951" s="7"/>
      <c r="O4951">
        <f t="shared" si="233"/>
        <v>2</v>
      </c>
      <c r="Q4951" t="s">
        <v>19</v>
      </c>
    </row>
    <row r="4952" spans="1:17" x14ac:dyDescent="0.3">
      <c r="A4952" t="s">
        <v>6083</v>
      </c>
      <c r="B4952" s="6">
        <v>45148</v>
      </c>
      <c r="C4952" s="6" t="str">
        <f t="shared" si="231"/>
        <v>Aug</v>
      </c>
      <c r="D4952" t="s">
        <v>1997</v>
      </c>
      <c r="E4952" t="s">
        <v>36</v>
      </c>
      <c r="F4952" t="s">
        <v>586</v>
      </c>
      <c r="G4952">
        <v>2</v>
      </c>
      <c r="H4952" s="7">
        <v>52.52</v>
      </c>
      <c r="I4952" t="s">
        <v>103</v>
      </c>
      <c r="J4952" t="s">
        <v>22</v>
      </c>
      <c r="K4952">
        <v>10</v>
      </c>
      <c r="L4952" s="7">
        <f t="shared" si="232"/>
        <v>105.04</v>
      </c>
      <c r="M4952" s="7"/>
      <c r="O4952">
        <f t="shared" si="233"/>
        <v>2</v>
      </c>
      <c r="Q4952" t="s">
        <v>104</v>
      </c>
    </row>
    <row r="4953" spans="1:17" x14ac:dyDescent="0.3">
      <c r="A4953" t="s">
        <v>6084</v>
      </c>
      <c r="B4953" s="6">
        <v>45111</v>
      </c>
      <c r="C4953" s="6" t="str">
        <f t="shared" si="231"/>
        <v>Jul</v>
      </c>
      <c r="D4953" t="s">
        <v>1261</v>
      </c>
      <c r="E4953" t="s">
        <v>36</v>
      </c>
      <c r="F4953" t="s">
        <v>983</v>
      </c>
      <c r="G4953">
        <v>2</v>
      </c>
      <c r="H4953" s="7">
        <v>152.06</v>
      </c>
      <c r="I4953" t="s">
        <v>46</v>
      </c>
      <c r="J4953" t="s">
        <v>28</v>
      </c>
      <c r="K4953">
        <v>10</v>
      </c>
      <c r="L4953" s="7">
        <f t="shared" si="232"/>
        <v>304.12</v>
      </c>
      <c r="M4953" s="7"/>
      <c r="O4953">
        <f t="shared" si="233"/>
        <v>2</v>
      </c>
      <c r="Q4953" t="s">
        <v>47</v>
      </c>
    </row>
    <row r="4954" spans="1:17" x14ac:dyDescent="0.3">
      <c r="A4954" t="s">
        <v>6085</v>
      </c>
      <c r="B4954" s="6">
        <v>45191</v>
      </c>
      <c r="C4954" s="6" t="str">
        <f t="shared" si="231"/>
        <v>Sep</v>
      </c>
      <c r="D4954" t="s">
        <v>1908</v>
      </c>
      <c r="E4954" t="s">
        <v>36</v>
      </c>
      <c r="F4954" t="s">
        <v>1194</v>
      </c>
      <c r="G4954">
        <v>9</v>
      </c>
      <c r="H4954" s="7">
        <v>31.86</v>
      </c>
      <c r="I4954" t="s">
        <v>64</v>
      </c>
      <c r="J4954" t="s">
        <v>19</v>
      </c>
      <c r="K4954">
        <v>10</v>
      </c>
      <c r="L4954" s="7">
        <f t="shared" si="232"/>
        <v>286.74</v>
      </c>
      <c r="M4954" s="7"/>
      <c r="O4954">
        <f t="shared" si="233"/>
        <v>2</v>
      </c>
      <c r="Q4954" t="s">
        <v>65</v>
      </c>
    </row>
    <row r="4955" spans="1:17" x14ac:dyDescent="0.3">
      <c r="A4955" t="s">
        <v>6086</v>
      </c>
      <c r="B4955" s="6">
        <v>45228</v>
      </c>
      <c r="C4955" s="6" t="str">
        <f t="shared" si="231"/>
        <v>Oct</v>
      </c>
      <c r="D4955" t="s">
        <v>633</v>
      </c>
      <c r="E4955" t="s">
        <v>62</v>
      </c>
      <c r="F4955" t="s">
        <v>900</v>
      </c>
      <c r="G4955">
        <v>3</v>
      </c>
      <c r="H4955" s="7">
        <v>300.33</v>
      </c>
      <c r="I4955" t="s">
        <v>32</v>
      </c>
      <c r="J4955" t="s">
        <v>22</v>
      </c>
      <c r="K4955">
        <v>5</v>
      </c>
      <c r="L4955" s="7">
        <f t="shared" si="232"/>
        <v>900.99</v>
      </c>
      <c r="M4955" s="7"/>
      <c r="O4955">
        <f t="shared" si="233"/>
        <v>2</v>
      </c>
      <c r="Q4955" t="s">
        <v>33</v>
      </c>
    </row>
    <row r="4956" spans="1:17" x14ac:dyDescent="0.3">
      <c r="A4956" t="s">
        <v>6087</v>
      </c>
      <c r="B4956" s="6">
        <v>45035</v>
      </c>
      <c r="C4956" s="6" t="str">
        <f t="shared" si="231"/>
        <v>Apr</v>
      </c>
      <c r="D4956" t="s">
        <v>1433</v>
      </c>
      <c r="E4956" t="s">
        <v>36</v>
      </c>
      <c r="F4956" t="s">
        <v>939</v>
      </c>
      <c r="G4956">
        <v>8</v>
      </c>
      <c r="H4956" s="7">
        <v>48</v>
      </c>
      <c r="I4956" t="s">
        <v>64</v>
      </c>
      <c r="J4956" t="s">
        <v>87</v>
      </c>
      <c r="K4956">
        <v>15</v>
      </c>
      <c r="L4956" s="7">
        <f t="shared" si="232"/>
        <v>384</v>
      </c>
      <c r="M4956" s="7"/>
      <c r="O4956">
        <f t="shared" si="233"/>
        <v>2</v>
      </c>
      <c r="Q4956" t="s">
        <v>65</v>
      </c>
    </row>
    <row r="4957" spans="1:17" x14ac:dyDescent="0.3">
      <c r="A4957" t="s">
        <v>6088</v>
      </c>
      <c r="B4957" s="6">
        <v>45232</v>
      </c>
      <c r="C4957" s="6" t="str">
        <f t="shared" si="231"/>
        <v>Nov</v>
      </c>
      <c r="D4957" t="s">
        <v>327</v>
      </c>
      <c r="E4957" t="s">
        <v>36</v>
      </c>
      <c r="F4957" t="s">
        <v>822</v>
      </c>
      <c r="G4957">
        <v>9</v>
      </c>
      <c r="H4957" s="7">
        <v>352.35</v>
      </c>
      <c r="I4957" t="s">
        <v>103</v>
      </c>
      <c r="J4957" t="s">
        <v>22</v>
      </c>
      <c r="K4957">
        <v>5</v>
      </c>
      <c r="L4957" s="7">
        <f t="shared" si="232"/>
        <v>3171.15</v>
      </c>
      <c r="M4957" s="7"/>
      <c r="O4957">
        <f t="shared" si="233"/>
        <v>4</v>
      </c>
      <c r="Q4957" t="s">
        <v>104</v>
      </c>
    </row>
    <row r="4958" spans="1:17" x14ac:dyDescent="0.3">
      <c r="A4958" t="s">
        <v>6089</v>
      </c>
      <c r="B4958" s="6">
        <v>45069</v>
      </c>
      <c r="C4958" s="6" t="str">
        <f t="shared" si="231"/>
        <v>May</v>
      </c>
      <c r="D4958" t="s">
        <v>1781</v>
      </c>
      <c r="E4958" t="s">
        <v>19</v>
      </c>
      <c r="F4958" t="s">
        <v>211</v>
      </c>
      <c r="G4958">
        <v>8</v>
      </c>
      <c r="H4958" s="7">
        <v>31.06</v>
      </c>
      <c r="I4958" t="s">
        <v>21</v>
      </c>
      <c r="J4958" t="s">
        <v>87</v>
      </c>
      <c r="K4958">
        <v>10</v>
      </c>
      <c r="L4958" s="7">
        <f t="shared" si="232"/>
        <v>248.48</v>
      </c>
      <c r="M4958" s="7"/>
      <c r="O4958">
        <f t="shared" si="233"/>
        <v>2</v>
      </c>
      <c r="Q4958" t="s">
        <v>23</v>
      </c>
    </row>
    <row r="4959" spans="1:17" x14ac:dyDescent="0.3">
      <c r="A4959" t="s">
        <v>6090</v>
      </c>
      <c r="B4959" s="6">
        <v>45175</v>
      </c>
      <c r="C4959" s="6" t="str">
        <f t="shared" si="231"/>
        <v>Sep</v>
      </c>
      <c r="D4959" t="s">
        <v>1022</v>
      </c>
      <c r="E4959" t="s">
        <v>26</v>
      </c>
      <c r="F4959" t="s">
        <v>27</v>
      </c>
      <c r="G4959">
        <v>4</v>
      </c>
      <c r="H4959" s="7">
        <v>34.36</v>
      </c>
      <c r="I4959" t="s">
        <v>46</v>
      </c>
      <c r="J4959" t="s">
        <v>22</v>
      </c>
      <c r="K4959">
        <v>20</v>
      </c>
      <c r="L4959" s="7">
        <f t="shared" si="232"/>
        <v>137.44</v>
      </c>
      <c r="M4959" s="7"/>
      <c r="O4959">
        <f t="shared" si="233"/>
        <v>2</v>
      </c>
      <c r="Q4959" t="s">
        <v>47</v>
      </c>
    </row>
    <row r="4960" spans="1:17" x14ac:dyDescent="0.3">
      <c r="A4960" t="s">
        <v>6091</v>
      </c>
      <c r="B4960" s="6">
        <v>45262</v>
      </c>
      <c r="C4960" s="6" t="str">
        <f t="shared" si="231"/>
        <v>Dec</v>
      </c>
      <c r="D4960" t="s">
        <v>172</v>
      </c>
      <c r="E4960" t="s">
        <v>31</v>
      </c>
      <c r="F4960" t="s">
        <v>517</v>
      </c>
      <c r="G4960">
        <v>1</v>
      </c>
      <c r="H4960" s="7">
        <v>156.13999999999999</v>
      </c>
      <c r="I4960" t="s">
        <v>19</v>
      </c>
      <c r="J4960" t="s">
        <v>42</v>
      </c>
      <c r="K4960">
        <v>0</v>
      </c>
      <c r="L4960" s="7">
        <f t="shared" si="232"/>
        <v>156.13999999999999</v>
      </c>
      <c r="M4960" s="7"/>
      <c r="O4960">
        <f t="shared" si="233"/>
        <v>2</v>
      </c>
      <c r="Q4960" t="s">
        <v>19</v>
      </c>
    </row>
    <row r="4961" spans="1:17" x14ac:dyDescent="0.3">
      <c r="A4961" t="s">
        <v>6092</v>
      </c>
      <c r="B4961" s="6">
        <v>45140</v>
      </c>
      <c r="C4961" s="6" t="str">
        <f t="shared" si="231"/>
        <v>Aug</v>
      </c>
      <c r="D4961" t="s">
        <v>2550</v>
      </c>
      <c r="E4961" t="s">
        <v>62</v>
      </c>
      <c r="F4961" t="s">
        <v>211</v>
      </c>
      <c r="G4961">
        <v>4</v>
      </c>
      <c r="H4961" s="7">
        <v>448.8</v>
      </c>
      <c r="I4961" t="s">
        <v>32</v>
      </c>
      <c r="J4961" t="s">
        <v>87</v>
      </c>
      <c r="K4961">
        <v>10</v>
      </c>
      <c r="L4961" s="7">
        <f t="shared" si="232"/>
        <v>1795.2</v>
      </c>
      <c r="M4961" s="7"/>
      <c r="O4961">
        <f t="shared" si="233"/>
        <v>2</v>
      </c>
      <c r="Q4961" t="s">
        <v>33</v>
      </c>
    </row>
    <row r="4962" spans="1:17" x14ac:dyDescent="0.3">
      <c r="A4962" t="s">
        <v>6093</v>
      </c>
      <c r="B4962" s="6">
        <v>44987</v>
      </c>
      <c r="C4962" s="6" t="str">
        <f t="shared" si="231"/>
        <v>Mar</v>
      </c>
      <c r="D4962" t="s">
        <v>3282</v>
      </c>
      <c r="E4962" t="s">
        <v>40</v>
      </c>
      <c r="F4962" t="s">
        <v>198</v>
      </c>
      <c r="G4962">
        <v>9</v>
      </c>
      <c r="H4962" s="7">
        <v>322.49</v>
      </c>
      <c r="I4962" t="s">
        <v>21</v>
      </c>
      <c r="J4962" t="s">
        <v>42</v>
      </c>
      <c r="K4962">
        <v>20</v>
      </c>
      <c r="L4962" s="7">
        <f t="shared" si="232"/>
        <v>2902.41</v>
      </c>
      <c r="M4962" s="7"/>
      <c r="O4962">
        <f t="shared" si="233"/>
        <v>3</v>
      </c>
      <c r="Q4962" t="s">
        <v>23</v>
      </c>
    </row>
    <row r="4963" spans="1:17" x14ac:dyDescent="0.3">
      <c r="A4963" t="s">
        <v>6094</v>
      </c>
      <c r="B4963" s="6">
        <v>45176</v>
      </c>
      <c r="C4963" s="6" t="str">
        <f t="shared" si="231"/>
        <v>Sep</v>
      </c>
      <c r="D4963" t="s">
        <v>3940</v>
      </c>
      <c r="E4963" t="s">
        <v>31</v>
      </c>
      <c r="F4963" t="s">
        <v>193</v>
      </c>
      <c r="G4963">
        <v>2</v>
      </c>
      <c r="H4963" s="7">
        <v>386.21</v>
      </c>
      <c r="I4963" t="s">
        <v>64</v>
      </c>
      <c r="J4963" t="s">
        <v>22</v>
      </c>
      <c r="K4963">
        <v>10</v>
      </c>
      <c r="L4963" s="7">
        <f t="shared" si="232"/>
        <v>772.42</v>
      </c>
      <c r="M4963" s="7"/>
      <c r="O4963">
        <f t="shared" si="233"/>
        <v>2</v>
      </c>
      <c r="Q4963" t="s">
        <v>65</v>
      </c>
    </row>
    <row r="4964" spans="1:17" x14ac:dyDescent="0.3">
      <c r="A4964" t="s">
        <v>6095</v>
      </c>
      <c r="B4964" s="6">
        <v>45085</v>
      </c>
      <c r="C4964" s="6" t="str">
        <f t="shared" si="231"/>
        <v>Jun</v>
      </c>
      <c r="D4964" t="s">
        <v>336</v>
      </c>
      <c r="E4964" t="s">
        <v>50</v>
      </c>
      <c r="F4964" t="s">
        <v>1302</v>
      </c>
      <c r="G4964">
        <v>3</v>
      </c>
      <c r="H4964" s="7">
        <v>75.069999999999993</v>
      </c>
      <c r="I4964" t="s">
        <v>64</v>
      </c>
      <c r="J4964" t="s">
        <v>87</v>
      </c>
      <c r="K4964">
        <v>20</v>
      </c>
      <c r="L4964" s="7">
        <f t="shared" si="232"/>
        <v>225.20999999999998</v>
      </c>
      <c r="M4964" s="7"/>
      <c r="O4964">
        <f t="shared" si="233"/>
        <v>2</v>
      </c>
      <c r="Q4964" t="s">
        <v>65</v>
      </c>
    </row>
    <row r="4965" spans="1:17" x14ac:dyDescent="0.3">
      <c r="A4965" t="s">
        <v>6096</v>
      </c>
      <c r="B4965" s="6">
        <v>45179</v>
      </c>
      <c r="C4965" s="6" t="str">
        <f t="shared" si="231"/>
        <v>Sep</v>
      </c>
      <c r="D4965" t="s">
        <v>1582</v>
      </c>
      <c r="E4965" t="s">
        <v>50</v>
      </c>
      <c r="F4965" t="s">
        <v>198</v>
      </c>
      <c r="G4965">
        <v>8</v>
      </c>
      <c r="H4965" s="7">
        <v>417.89</v>
      </c>
      <c r="I4965" t="s">
        <v>21</v>
      </c>
      <c r="J4965" t="s">
        <v>28</v>
      </c>
      <c r="K4965">
        <v>0</v>
      </c>
      <c r="L4965" s="7">
        <f t="shared" si="232"/>
        <v>3343.12</v>
      </c>
      <c r="M4965" s="7"/>
      <c r="O4965">
        <f t="shared" si="233"/>
        <v>4</v>
      </c>
      <c r="Q4965" t="s">
        <v>23</v>
      </c>
    </row>
    <row r="4966" spans="1:17" x14ac:dyDescent="0.3">
      <c r="A4966" t="s">
        <v>6097</v>
      </c>
      <c r="B4966" s="6">
        <v>44974</v>
      </c>
      <c r="C4966" s="6" t="str">
        <f t="shared" si="231"/>
        <v>Feb</v>
      </c>
      <c r="D4966" t="s">
        <v>2117</v>
      </c>
      <c r="E4966" t="s">
        <v>26</v>
      </c>
      <c r="F4966" t="s">
        <v>1206</v>
      </c>
      <c r="G4966">
        <v>6</v>
      </c>
      <c r="H4966" s="7">
        <v>9.0299999999999994</v>
      </c>
      <c r="I4966" t="s">
        <v>21</v>
      </c>
      <c r="J4966" t="s">
        <v>87</v>
      </c>
      <c r="K4966">
        <v>20</v>
      </c>
      <c r="L4966" s="7">
        <f t="shared" si="232"/>
        <v>54.179999999999993</v>
      </c>
      <c r="M4966" s="7"/>
      <c r="O4966">
        <f t="shared" si="233"/>
        <v>2</v>
      </c>
      <c r="Q4966" t="s">
        <v>23</v>
      </c>
    </row>
    <row r="4967" spans="1:17" x14ac:dyDescent="0.3">
      <c r="A4967" t="s">
        <v>6098</v>
      </c>
      <c r="B4967" s="6">
        <v>45205</v>
      </c>
      <c r="C4967" s="6" t="str">
        <f t="shared" si="231"/>
        <v>Oct</v>
      </c>
      <c r="D4967" t="s">
        <v>1273</v>
      </c>
      <c r="E4967" t="s">
        <v>40</v>
      </c>
      <c r="F4967" t="s">
        <v>205</v>
      </c>
      <c r="G4967">
        <v>8</v>
      </c>
      <c r="H4967" s="7">
        <v>110.46</v>
      </c>
      <c r="I4967" t="s">
        <v>64</v>
      </c>
      <c r="J4967" t="s">
        <v>19</v>
      </c>
      <c r="K4967">
        <v>10</v>
      </c>
      <c r="L4967" s="7">
        <f t="shared" si="232"/>
        <v>883.68</v>
      </c>
      <c r="M4967" s="7"/>
      <c r="O4967">
        <f t="shared" si="233"/>
        <v>2</v>
      </c>
      <c r="Q4967" t="s">
        <v>65</v>
      </c>
    </row>
    <row r="4968" spans="1:17" x14ac:dyDescent="0.3">
      <c r="A4968" t="s">
        <v>6099</v>
      </c>
      <c r="B4968" s="6">
        <v>45140</v>
      </c>
      <c r="C4968" s="6" t="str">
        <f t="shared" si="231"/>
        <v>Aug</v>
      </c>
      <c r="D4968" t="s">
        <v>1523</v>
      </c>
      <c r="E4968" t="s">
        <v>62</v>
      </c>
      <c r="F4968" t="s">
        <v>251</v>
      </c>
      <c r="G4968">
        <v>7</v>
      </c>
      <c r="H4968" s="7">
        <v>309.97000000000003</v>
      </c>
      <c r="I4968" t="s">
        <v>21</v>
      </c>
      <c r="J4968" t="s">
        <v>87</v>
      </c>
      <c r="K4968">
        <v>10</v>
      </c>
      <c r="L4968" s="7">
        <f t="shared" si="232"/>
        <v>2169.79</v>
      </c>
      <c r="M4968" s="7"/>
      <c r="O4968">
        <f t="shared" si="233"/>
        <v>2</v>
      </c>
      <c r="Q4968" t="s">
        <v>23</v>
      </c>
    </row>
    <row r="4969" spans="1:17" x14ac:dyDescent="0.3">
      <c r="A4969" t="s">
        <v>6100</v>
      </c>
      <c r="B4969" s="6">
        <v>45150</v>
      </c>
      <c r="C4969" s="6" t="str">
        <f t="shared" si="231"/>
        <v>Aug</v>
      </c>
      <c r="D4969" t="s">
        <v>1330</v>
      </c>
      <c r="E4969" t="s">
        <v>40</v>
      </c>
      <c r="F4969" t="s">
        <v>154</v>
      </c>
      <c r="G4969">
        <v>5</v>
      </c>
      <c r="H4969" s="7">
        <v>190.75</v>
      </c>
      <c r="I4969" t="s">
        <v>103</v>
      </c>
      <c r="J4969" t="s">
        <v>42</v>
      </c>
      <c r="K4969">
        <v>0</v>
      </c>
      <c r="L4969" s="7">
        <f t="shared" si="232"/>
        <v>953.75</v>
      </c>
      <c r="M4969" s="7"/>
      <c r="O4969">
        <f t="shared" si="233"/>
        <v>2</v>
      </c>
      <c r="Q4969" t="s">
        <v>104</v>
      </c>
    </row>
    <row r="4970" spans="1:17" x14ac:dyDescent="0.3">
      <c r="A4970" t="s">
        <v>6101</v>
      </c>
      <c r="B4970" s="6">
        <v>45145</v>
      </c>
      <c r="C4970" s="6" t="str">
        <f t="shared" si="231"/>
        <v>Aug</v>
      </c>
      <c r="D4970" t="s">
        <v>2059</v>
      </c>
      <c r="E4970" t="s">
        <v>50</v>
      </c>
      <c r="F4970" t="s">
        <v>298</v>
      </c>
      <c r="G4970">
        <v>9</v>
      </c>
      <c r="H4970" s="7">
        <v>492.18</v>
      </c>
      <c r="I4970" t="s">
        <v>46</v>
      </c>
      <c r="J4970" t="s">
        <v>42</v>
      </c>
      <c r="K4970">
        <v>20</v>
      </c>
      <c r="L4970" s="7">
        <f t="shared" si="232"/>
        <v>4429.62</v>
      </c>
      <c r="M4970" s="7"/>
      <c r="O4970">
        <f t="shared" si="233"/>
        <v>5</v>
      </c>
      <c r="Q4970" t="s">
        <v>47</v>
      </c>
    </row>
    <row r="4971" spans="1:17" x14ac:dyDescent="0.3">
      <c r="A4971" t="s">
        <v>6102</v>
      </c>
      <c r="B4971" s="6">
        <v>45064</v>
      </c>
      <c r="C4971" s="6" t="str">
        <f t="shared" si="231"/>
        <v>May</v>
      </c>
      <c r="D4971" t="s">
        <v>101</v>
      </c>
      <c r="E4971" t="s">
        <v>50</v>
      </c>
      <c r="F4971" t="s">
        <v>201</v>
      </c>
      <c r="G4971">
        <v>4</v>
      </c>
      <c r="H4971" s="7">
        <v>20.02</v>
      </c>
      <c r="I4971" t="s">
        <v>19</v>
      </c>
      <c r="J4971" t="s">
        <v>42</v>
      </c>
      <c r="K4971">
        <v>10</v>
      </c>
      <c r="L4971" s="7">
        <f t="shared" si="232"/>
        <v>80.08</v>
      </c>
      <c r="M4971" s="7"/>
      <c r="O4971">
        <f t="shared" si="233"/>
        <v>2</v>
      </c>
      <c r="Q4971" t="s">
        <v>19</v>
      </c>
    </row>
    <row r="4972" spans="1:17" x14ac:dyDescent="0.3">
      <c r="A4972" t="s">
        <v>6103</v>
      </c>
      <c r="B4972" s="6">
        <v>45008</v>
      </c>
      <c r="C4972" s="6" t="str">
        <f t="shared" si="231"/>
        <v>Mar</v>
      </c>
      <c r="D4972" t="s">
        <v>1809</v>
      </c>
      <c r="E4972" t="s">
        <v>62</v>
      </c>
      <c r="F4972" t="s">
        <v>224</v>
      </c>
      <c r="G4972">
        <v>6</v>
      </c>
      <c r="H4972" s="7">
        <v>499.31</v>
      </c>
      <c r="I4972" t="s">
        <v>46</v>
      </c>
      <c r="J4972" t="s">
        <v>28</v>
      </c>
      <c r="K4972">
        <v>10</v>
      </c>
      <c r="L4972" s="7">
        <f t="shared" si="232"/>
        <v>2995.86</v>
      </c>
      <c r="M4972" s="7"/>
      <c r="O4972">
        <f t="shared" si="233"/>
        <v>3</v>
      </c>
      <c r="Q4972" t="s">
        <v>47</v>
      </c>
    </row>
    <row r="4973" spans="1:17" x14ac:dyDescent="0.3">
      <c r="A4973" t="s">
        <v>6104</v>
      </c>
      <c r="B4973" s="6">
        <v>44980</v>
      </c>
      <c r="C4973" s="6" t="str">
        <f t="shared" si="231"/>
        <v>Feb</v>
      </c>
      <c r="D4973" t="s">
        <v>429</v>
      </c>
      <c r="E4973" t="s">
        <v>31</v>
      </c>
      <c r="F4973" t="s">
        <v>81</v>
      </c>
      <c r="G4973">
        <v>2</v>
      </c>
      <c r="H4973" s="7">
        <v>313.7</v>
      </c>
      <c r="I4973" t="s">
        <v>103</v>
      </c>
      <c r="J4973" t="s">
        <v>72</v>
      </c>
      <c r="K4973">
        <v>15</v>
      </c>
      <c r="L4973" s="7">
        <f t="shared" si="232"/>
        <v>627.4</v>
      </c>
      <c r="M4973" s="7"/>
      <c r="O4973">
        <f t="shared" si="233"/>
        <v>2</v>
      </c>
      <c r="Q4973" t="s">
        <v>104</v>
      </c>
    </row>
    <row r="4974" spans="1:17" x14ac:dyDescent="0.3">
      <c r="A4974" t="s">
        <v>6105</v>
      </c>
      <c r="B4974" s="6">
        <v>45267</v>
      </c>
      <c r="C4974" s="6" t="str">
        <f t="shared" si="231"/>
        <v>Dec</v>
      </c>
      <c r="D4974" t="s">
        <v>889</v>
      </c>
      <c r="E4974" t="s">
        <v>19</v>
      </c>
      <c r="F4974" t="s">
        <v>248</v>
      </c>
      <c r="G4974">
        <v>2</v>
      </c>
      <c r="H4974" s="7">
        <v>281.56</v>
      </c>
      <c r="I4974" t="s">
        <v>103</v>
      </c>
      <c r="J4974" t="s">
        <v>22</v>
      </c>
      <c r="K4974">
        <v>10</v>
      </c>
      <c r="L4974" s="7">
        <f t="shared" si="232"/>
        <v>563.12</v>
      </c>
      <c r="M4974" s="7"/>
      <c r="O4974">
        <f t="shared" si="233"/>
        <v>2</v>
      </c>
      <c r="Q4974" t="s">
        <v>104</v>
      </c>
    </row>
    <row r="4975" spans="1:17" x14ac:dyDescent="0.3">
      <c r="A4975" t="s">
        <v>6106</v>
      </c>
      <c r="B4975" s="6">
        <v>45273</v>
      </c>
      <c r="C4975" s="6" t="str">
        <f t="shared" si="231"/>
        <v>Dec</v>
      </c>
      <c r="D4975" t="s">
        <v>1060</v>
      </c>
      <c r="E4975" t="s">
        <v>19</v>
      </c>
      <c r="F4975" t="s">
        <v>366</v>
      </c>
      <c r="G4975">
        <v>2</v>
      </c>
      <c r="H4975" s="7">
        <v>34.46</v>
      </c>
      <c r="I4975" t="s">
        <v>46</v>
      </c>
      <c r="J4975" t="s">
        <v>28</v>
      </c>
      <c r="K4975">
        <v>5</v>
      </c>
      <c r="L4975" s="7">
        <f t="shared" si="232"/>
        <v>68.92</v>
      </c>
      <c r="M4975" s="7"/>
      <c r="O4975">
        <f t="shared" si="233"/>
        <v>2</v>
      </c>
      <c r="Q4975" t="s">
        <v>47</v>
      </c>
    </row>
    <row r="4976" spans="1:17" x14ac:dyDescent="0.3">
      <c r="A4976" t="s">
        <v>6107</v>
      </c>
      <c r="B4976" s="6">
        <v>45283</v>
      </c>
      <c r="C4976" s="6" t="str">
        <f t="shared" si="231"/>
        <v>Dec</v>
      </c>
      <c r="D4976" t="s">
        <v>388</v>
      </c>
      <c r="E4976" t="s">
        <v>31</v>
      </c>
      <c r="F4976" t="s">
        <v>170</v>
      </c>
      <c r="G4976">
        <v>7</v>
      </c>
      <c r="H4976" s="7">
        <v>140.30000000000001</v>
      </c>
      <c r="I4976" t="s">
        <v>103</v>
      </c>
      <c r="J4976" t="s">
        <v>19</v>
      </c>
      <c r="K4976">
        <v>0</v>
      </c>
      <c r="L4976" s="7">
        <f t="shared" si="232"/>
        <v>982.10000000000014</v>
      </c>
      <c r="M4976" s="7"/>
      <c r="O4976">
        <f t="shared" si="233"/>
        <v>2</v>
      </c>
      <c r="Q4976" t="s">
        <v>104</v>
      </c>
    </row>
    <row r="4977" spans="1:17" x14ac:dyDescent="0.3">
      <c r="A4977" t="s">
        <v>6108</v>
      </c>
      <c r="B4977" s="6">
        <v>45205</v>
      </c>
      <c r="C4977" s="6" t="str">
        <f t="shared" si="231"/>
        <v>Oct</v>
      </c>
      <c r="D4977" t="s">
        <v>1933</v>
      </c>
      <c r="E4977" t="s">
        <v>36</v>
      </c>
      <c r="F4977" t="s">
        <v>538</v>
      </c>
      <c r="G4977">
        <v>2</v>
      </c>
      <c r="H4977" s="7">
        <v>462.71</v>
      </c>
      <c r="I4977" t="s">
        <v>103</v>
      </c>
      <c r="J4977" t="s">
        <v>22</v>
      </c>
      <c r="K4977">
        <v>0</v>
      </c>
      <c r="L4977" s="7">
        <f t="shared" si="232"/>
        <v>925.42</v>
      </c>
      <c r="M4977" s="7"/>
      <c r="O4977">
        <f t="shared" si="233"/>
        <v>2</v>
      </c>
      <c r="Q4977" t="s">
        <v>104</v>
      </c>
    </row>
    <row r="4978" spans="1:17" x14ac:dyDescent="0.3">
      <c r="A4978" t="s">
        <v>6109</v>
      </c>
      <c r="B4978" s="6">
        <v>45139</v>
      </c>
      <c r="C4978" s="6" t="str">
        <f t="shared" si="231"/>
        <v>Aug</v>
      </c>
      <c r="D4978" t="s">
        <v>2001</v>
      </c>
      <c r="E4978" t="s">
        <v>31</v>
      </c>
      <c r="F4978" t="s">
        <v>107</v>
      </c>
      <c r="G4978">
        <v>2</v>
      </c>
      <c r="H4978" s="7">
        <v>180.35</v>
      </c>
      <c r="I4978" t="s">
        <v>19</v>
      </c>
      <c r="J4978" t="s">
        <v>42</v>
      </c>
      <c r="K4978">
        <v>0</v>
      </c>
      <c r="L4978" s="7">
        <f t="shared" si="232"/>
        <v>360.7</v>
      </c>
      <c r="M4978" s="7"/>
      <c r="O4978">
        <f t="shared" si="233"/>
        <v>2</v>
      </c>
      <c r="Q4978" t="s">
        <v>19</v>
      </c>
    </row>
    <row r="4979" spans="1:17" x14ac:dyDescent="0.3">
      <c r="A4979" t="s">
        <v>6110</v>
      </c>
      <c r="B4979" s="6">
        <v>44995</v>
      </c>
      <c r="C4979" s="6" t="str">
        <f t="shared" si="231"/>
        <v>Mar</v>
      </c>
      <c r="D4979" t="s">
        <v>2117</v>
      </c>
      <c r="E4979" t="s">
        <v>36</v>
      </c>
      <c r="F4979" t="s">
        <v>369</v>
      </c>
      <c r="G4979">
        <v>9</v>
      </c>
      <c r="H4979" s="7">
        <v>332.52</v>
      </c>
      <c r="I4979" t="s">
        <v>19</v>
      </c>
      <c r="J4979" t="s">
        <v>28</v>
      </c>
      <c r="K4979">
        <v>20</v>
      </c>
      <c r="L4979" s="7">
        <f t="shared" si="232"/>
        <v>2992.68</v>
      </c>
      <c r="M4979" s="7"/>
      <c r="O4979">
        <f t="shared" si="233"/>
        <v>3</v>
      </c>
      <c r="Q4979" t="s">
        <v>19</v>
      </c>
    </row>
    <row r="4980" spans="1:17" x14ac:dyDescent="0.3">
      <c r="A4980" t="s">
        <v>6111</v>
      </c>
      <c r="B4980" s="6">
        <v>45165</v>
      </c>
      <c r="C4980" s="6" t="str">
        <f t="shared" si="231"/>
        <v>Aug</v>
      </c>
      <c r="D4980" t="s">
        <v>1355</v>
      </c>
      <c r="E4980" t="s">
        <v>31</v>
      </c>
      <c r="F4980" t="s">
        <v>248</v>
      </c>
      <c r="G4980">
        <v>7</v>
      </c>
      <c r="H4980" s="7">
        <v>499.75</v>
      </c>
      <c r="I4980" t="s">
        <v>19</v>
      </c>
      <c r="J4980" t="s">
        <v>28</v>
      </c>
      <c r="K4980">
        <v>10</v>
      </c>
      <c r="L4980" s="7">
        <f t="shared" si="232"/>
        <v>3498.25</v>
      </c>
      <c r="M4980" s="7"/>
      <c r="O4980">
        <f t="shared" si="233"/>
        <v>4</v>
      </c>
      <c r="Q4980" t="s">
        <v>19</v>
      </c>
    </row>
    <row r="4981" spans="1:17" x14ac:dyDescent="0.3">
      <c r="A4981" t="s">
        <v>6112</v>
      </c>
      <c r="B4981" s="6">
        <v>45065</v>
      </c>
      <c r="C4981" s="6" t="str">
        <f t="shared" si="231"/>
        <v>May</v>
      </c>
      <c r="D4981" t="s">
        <v>2338</v>
      </c>
      <c r="E4981" t="s">
        <v>40</v>
      </c>
      <c r="F4981" t="s">
        <v>198</v>
      </c>
      <c r="G4981">
        <v>3</v>
      </c>
      <c r="H4981" s="7">
        <v>135.22</v>
      </c>
      <c r="I4981" t="s">
        <v>21</v>
      </c>
      <c r="J4981" t="s">
        <v>42</v>
      </c>
      <c r="K4981">
        <v>20</v>
      </c>
      <c r="L4981" s="7">
        <f t="shared" si="232"/>
        <v>405.65999999999997</v>
      </c>
      <c r="M4981" s="7"/>
      <c r="O4981">
        <f t="shared" si="233"/>
        <v>2</v>
      </c>
      <c r="Q4981" t="s">
        <v>23</v>
      </c>
    </row>
    <row r="4982" spans="1:17" x14ac:dyDescent="0.3">
      <c r="A4982" t="s">
        <v>6113</v>
      </c>
      <c r="B4982" s="6">
        <v>45280</v>
      </c>
      <c r="C4982" s="6" t="str">
        <f t="shared" si="231"/>
        <v>Dec</v>
      </c>
      <c r="D4982" t="s">
        <v>3059</v>
      </c>
      <c r="E4982" t="s">
        <v>62</v>
      </c>
      <c r="F4982" t="s">
        <v>347</v>
      </c>
      <c r="G4982">
        <v>3</v>
      </c>
      <c r="H4982" s="7">
        <v>290.16000000000003</v>
      </c>
      <c r="I4982" t="s">
        <v>32</v>
      </c>
      <c r="J4982" t="s">
        <v>19</v>
      </c>
      <c r="K4982">
        <v>5</v>
      </c>
      <c r="L4982" s="7">
        <f t="shared" si="232"/>
        <v>870.48</v>
      </c>
      <c r="M4982" s="7"/>
      <c r="O4982">
        <f t="shared" si="233"/>
        <v>2</v>
      </c>
      <c r="Q4982" t="s">
        <v>33</v>
      </c>
    </row>
    <row r="4983" spans="1:17" x14ac:dyDescent="0.3">
      <c r="A4983" t="s">
        <v>6114</v>
      </c>
      <c r="B4983" s="6">
        <v>45076</v>
      </c>
      <c r="C4983" s="6" t="str">
        <f t="shared" si="231"/>
        <v>May</v>
      </c>
      <c r="D4983" t="s">
        <v>2556</v>
      </c>
      <c r="E4983" t="s">
        <v>26</v>
      </c>
      <c r="F4983" t="s">
        <v>698</v>
      </c>
      <c r="G4983">
        <v>7</v>
      </c>
      <c r="H4983" s="7">
        <v>349.74</v>
      </c>
      <c r="I4983" t="s">
        <v>64</v>
      </c>
      <c r="J4983" t="s">
        <v>22</v>
      </c>
      <c r="K4983">
        <v>10</v>
      </c>
      <c r="L4983" s="7">
        <f t="shared" si="232"/>
        <v>2448.1800000000003</v>
      </c>
      <c r="M4983" s="7"/>
      <c r="O4983">
        <f t="shared" si="233"/>
        <v>2</v>
      </c>
      <c r="Q4983" t="s">
        <v>65</v>
      </c>
    </row>
    <row r="4984" spans="1:17" x14ac:dyDescent="0.3">
      <c r="A4984" t="s">
        <v>6115</v>
      </c>
      <c r="B4984" s="6">
        <v>45252</v>
      </c>
      <c r="C4984" s="6" t="str">
        <f t="shared" si="231"/>
        <v>Nov</v>
      </c>
      <c r="D4984" t="s">
        <v>361</v>
      </c>
      <c r="E4984" t="s">
        <v>26</v>
      </c>
      <c r="F4984" t="s">
        <v>211</v>
      </c>
      <c r="G4984">
        <v>5</v>
      </c>
      <c r="H4984" s="7">
        <v>86.49</v>
      </c>
      <c r="I4984" t="s">
        <v>19</v>
      </c>
      <c r="J4984" t="s">
        <v>19</v>
      </c>
      <c r="K4984">
        <v>10</v>
      </c>
      <c r="L4984" s="7">
        <f t="shared" si="232"/>
        <v>432.45</v>
      </c>
      <c r="M4984" s="7"/>
      <c r="O4984">
        <f t="shared" si="233"/>
        <v>2</v>
      </c>
      <c r="Q4984" t="s">
        <v>19</v>
      </c>
    </row>
    <row r="4985" spans="1:17" x14ac:dyDescent="0.3">
      <c r="A4985" t="s">
        <v>6116</v>
      </c>
      <c r="B4985" s="6">
        <v>44976</v>
      </c>
      <c r="C4985" s="6" t="str">
        <f t="shared" si="231"/>
        <v>Feb</v>
      </c>
      <c r="D4985" t="s">
        <v>4337</v>
      </c>
      <c r="E4985" t="s">
        <v>31</v>
      </c>
      <c r="F4985" t="s">
        <v>807</v>
      </c>
      <c r="G4985">
        <v>6</v>
      </c>
      <c r="H4985" s="7">
        <v>252.16</v>
      </c>
      <c r="I4985" t="s">
        <v>21</v>
      </c>
      <c r="J4985" t="s">
        <v>87</v>
      </c>
      <c r="K4985">
        <v>20</v>
      </c>
      <c r="L4985" s="7">
        <f t="shared" si="232"/>
        <v>1512.96</v>
      </c>
      <c r="M4985" s="7"/>
      <c r="O4985">
        <f t="shared" si="233"/>
        <v>2</v>
      </c>
      <c r="Q4985" t="s">
        <v>23</v>
      </c>
    </row>
    <row r="4986" spans="1:17" x14ac:dyDescent="0.3">
      <c r="A4986" t="s">
        <v>6117</v>
      </c>
      <c r="B4986" s="6">
        <v>44959</v>
      </c>
      <c r="C4986" s="6" t="str">
        <f t="shared" si="231"/>
        <v>Feb</v>
      </c>
      <c r="D4986" t="s">
        <v>4680</v>
      </c>
      <c r="E4986" t="s">
        <v>31</v>
      </c>
      <c r="F4986" t="s">
        <v>372</v>
      </c>
      <c r="G4986">
        <v>8</v>
      </c>
      <c r="H4986" s="7">
        <v>230.87</v>
      </c>
      <c r="I4986" t="s">
        <v>19</v>
      </c>
      <c r="J4986" t="s">
        <v>72</v>
      </c>
      <c r="K4986">
        <v>10</v>
      </c>
      <c r="L4986" s="7">
        <f t="shared" si="232"/>
        <v>1846.96</v>
      </c>
      <c r="M4986" s="7"/>
      <c r="O4986">
        <f t="shared" si="233"/>
        <v>2</v>
      </c>
      <c r="Q4986" t="s">
        <v>19</v>
      </c>
    </row>
    <row r="4987" spans="1:17" x14ac:dyDescent="0.3">
      <c r="A4987" t="s">
        <v>6118</v>
      </c>
      <c r="B4987" s="6">
        <v>45171</v>
      </c>
      <c r="C4987" s="6" t="str">
        <f t="shared" si="231"/>
        <v>Sep</v>
      </c>
      <c r="D4987" t="s">
        <v>3784</v>
      </c>
      <c r="E4987" t="s">
        <v>40</v>
      </c>
      <c r="F4987" t="s">
        <v>170</v>
      </c>
      <c r="G4987">
        <v>9</v>
      </c>
      <c r="H4987" s="7">
        <v>195.98</v>
      </c>
      <c r="I4987" t="s">
        <v>103</v>
      </c>
      <c r="J4987" t="s">
        <v>42</v>
      </c>
      <c r="K4987">
        <v>10</v>
      </c>
      <c r="L4987" s="7">
        <f t="shared" si="232"/>
        <v>1763.82</v>
      </c>
      <c r="M4987" s="7"/>
      <c r="O4987">
        <f t="shared" si="233"/>
        <v>2</v>
      </c>
      <c r="Q4987" t="s">
        <v>104</v>
      </c>
    </row>
    <row r="4988" spans="1:17" x14ac:dyDescent="0.3">
      <c r="A4988" t="s">
        <v>6119</v>
      </c>
      <c r="B4988" s="6">
        <v>44974</v>
      </c>
      <c r="C4988" s="6" t="str">
        <f t="shared" si="231"/>
        <v>Feb</v>
      </c>
      <c r="D4988" t="s">
        <v>429</v>
      </c>
      <c r="E4988" t="s">
        <v>36</v>
      </c>
      <c r="F4988" t="s">
        <v>308</v>
      </c>
      <c r="G4988">
        <v>1</v>
      </c>
      <c r="H4988" s="7">
        <v>358.54</v>
      </c>
      <c r="I4988" t="s">
        <v>19</v>
      </c>
      <c r="J4988" t="s">
        <v>28</v>
      </c>
      <c r="K4988">
        <v>10</v>
      </c>
      <c r="L4988" s="7">
        <f t="shared" si="232"/>
        <v>358.54</v>
      </c>
      <c r="M4988" s="7"/>
      <c r="O4988">
        <f t="shared" si="233"/>
        <v>2</v>
      </c>
      <c r="Q4988" t="s">
        <v>19</v>
      </c>
    </row>
    <row r="4989" spans="1:17" x14ac:dyDescent="0.3">
      <c r="A4989" t="s">
        <v>6120</v>
      </c>
      <c r="B4989" s="6">
        <v>45247</v>
      </c>
      <c r="C4989" s="6" t="str">
        <f t="shared" si="231"/>
        <v>Nov</v>
      </c>
      <c r="D4989" t="s">
        <v>3013</v>
      </c>
      <c r="E4989" t="s">
        <v>26</v>
      </c>
      <c r="F4989" t="s">
        <v>684</v>
      </c>
      <c r="G4989">
        <v>3</v>
      </c>
      <c r="H4989" s="7">
        <v>39.409999999999997</v>
      </c>
      <c r="I4989" t="s">
        <v>32</v>
      </c>
      <c r="J4989" t="s">
        <v>22</v>
      </c>
      <c r="K4989">
        <v>10</v>
      </c>
      <c r="L4989" s="7">
        <f t="shared" si="232"/>
        <v>118.22999999999999</v>
      </c>
      <c r="M4989" s="7"/>
      <c r="O4989">
        <f t="shared" si="233"/>
        <v>2</v>
      </c>
      <c r="Q4989" t="s">
        <v>33</v>
      </c>
    </row>
    <row r="4990" spans="1:17" x14ac:dyDescent="0.3">
      <c r="A4990" t="s">
        <v>6121</v>
      </c>
      <c r="B4990" s="6">
        <v>45019</v>
      </c>
      <c r="C4990" s="6" t="str">
        <f t="shared" si="231"/>
        <v>Apr</v>
      </c>
      <c r="D4990" t="s">
        <v>300</v>
      </c>
      <c r="E4990" t="s">
        <v>50</v>
      </c>
      <c r="F4990" t="s">
        <v>517</v>
      </c>
      <c r="G4990">
        <v>7</v>
      </c>
      <c r="H4990" s="7">
        <v>486.22</v>
      </c>
      <c r="I4990" t="s">
        <v>46</v>
      </c>
      <c r="J4990" t="s">
        <v>19</v>
      </c>
      <c r="K4990">
        <v>10</v>
      </c>
      <c r="L4990" s="7">
        <f t="shared" si="232"/>
        <v>3403.54</v>
      </c>
      <c r="M4990" s="7"/>
      <c r="O4990">
        <f t="shared" si="233"/>
        <v>4</v>
      </c>
      <c r="Q4990" t="s">
        <v>47</v>
      </c>
    </row>
    <row r="4991" spans="1:17" x14ac:dyDescent="0.3">
      <c r="A4991" t="s">
        <v>6122</v>
      </c>
      <c r="B4991" s="6">
        <v>45056</v>
      </c>
      <c r="C4991" s="6" t="str">
        <f t="shared" si="231"/>
        <v>May</v>
      </c>
      <c r="D4991" t="s">
        <v>1278</v>
      </c>
      <c r="E4991" t="s">
        <v>62</v>
      </c>
      <c r="F4991" t="s">
        <v>1325</v>
      </c>
      <c r="G4991">
        <v>6</v>
      </c>
      <c r="H4991" s="7">
        <v>12.07</v>
      </c>
      <c r="I4991" t="s">
        <v>103</v>
      </c>
      <c r="J4991" t="s">
        <v>72</v>
      </c>
      <c r="K4991">
        <v>20</v>
      </c>
      <c r="L4991" s="7">
        <f t="shared" si="232"/>
        <v>72.42</v>
      </c>
      <c r="M4991" s="7"/>
      <c r="O4991">
        <f t="shared" si="233"/>
        <v>2</v>
      </c>
      <c r="Q4991" t="s">
        <v>104</v>
      </c>
    </row>
    <row r="4992" spans="1:17" x14ac:dyDescent="0.3">
      <c r="A4992" t="s">
        <v>6123</v>
      </c>
      <c r="B4992" s="6">
        <v>45145</v>
      </c>
      <c r="C4992" s="6" t="str">
        <f t="shared" si="231"/>
        <v>Aug</v>
      </c>
      <c r="D4992" t="s">
        <v>3225</v>
      </c>
      <c r="E4992" t="s">
        <v>36</v>
      </c>
      <c r="F4992" t="s">
        <v>1038</v>
      </c>
      <c r="G4992">
        <v>7</v>
      </c>
      <c r="H4992" s="7">
        <v>302.64999999999998</v>
      </c>
      <c r="I4992" t="s">
        <v>46</v>
      </c>
      <c r="J4992" t="s">
        <v>22</v>
      </c>
      <c r="K4992">
        <v>20</v>
      </c>
      <c r="L4992" s="7">
        <f t="shared" si="232"/>
        <v>2118.5499999999997</v>
      </c>
      <c r="M4992" s="7"/>
      <c r="O4992">
        <f t="shared" si="233"/>
        <v>2</v>
      </c>
      <c r="Q4992" t="s">
        <v>47</v>
      </c>
    </row>
    <row r="4993" spans="1:17" x14ac:dyDescent="0.3">
      <c r="A4993" t="s">
        <v>6124</v>
      </c>
      <c r="B4993" s="6">
        <v>45146</v>
      </c>
      <c r="C4993" s="6" t="str">
        <f t="shared" si="231"/>
        <v>Aug</v>
      </c>
      <c r="D4993" t="s">
        <v>1764</v>
      </c>
      <c r="E4993" t="s">
        <v>26</v>
      </c>
      <c r="F4993" t="s">
        <v>975</v>
      </c>
      <c r="G4993">
        <v>8</v>
      </c>
      <c r="H4993" s="7">
        <v>283.5</v>
      </c>
      <c r="I4993" t="s">
        <v>19</v>
      </c>
      <c r="J4993" t="s">
        <v>87</v>
      </c>
      <c r="K4993">
        <v>5</v>
      </c>
      <c r="L4993" s="7">
        <f t="shared" si="232"/>
        <v>2268</v>
      </c>
      <c r="M4993" s="7"/>
      <c r="O4993">
        <f t="shared" si="233"/>
        <v>2</v>
      </c>
      <c r="Q4993" t="s">
        <v>19</v>
      </c>
    </row>
    <row r="4994" spans="1:17" x14ac:dyDescent="0.3">
      <c r="A4994" t="s">
        <v>6125</v>
      </c>
      <c r="B4994" s="6">
        <v>45130</v>
      </c>
      <c r="C4994" s="6" t="str">
        <f t="shared" si="231"/>
        <v>Jul</v>
      </c>
      <c r="D4994" t="s">
        <v>1478</v>
      </c>
      <c r="E4994" t="s">
        <v>26</v>
      </c>
      <c r="F4994" t="s">
        <v>549</v>
      </c>
      <c r="G4994">
        <v>6</v>
      </c>
      <c r="H4994" s="7">
        <v>71.680000000000007</v>
      </c>
      <c r="I4994" t="s">
        <v>21</v>
      </c>
      <c r="J4994" t="s">
        <v>87</v>
      </c>
      <c r="K4994">
        <v>15</v>
      </c>
      <c r="L4994" s="7">
        <f t="shared" si="232"/>
        <v>430.08000000000004</v>
      </c>
      <c r="M4994" s="7"/>
      <c r="O4994">
        <f t="shared" si="233"/>
        <v>2</v>
      </c>
      <c r="Q4994" t="s">
        <v>23</v>
      </c>
    </row>
    <row r="4995" spans="1:17" x14ac:dyDescent="0.3">
      <c r="A4995" t="s">
        <v>6126</v>
      </c>
      <c r="B4995" s="6">
        <v>44984</v>
      </c>
      <c r="C4995" s="6" t="str">
        <f t="shared" ref="C4995:C5001" si="234">TEXT(B4995,"MMM")</f>
        <v>Feb</v>
      </c>
      <c r="D4995" t="s">
        <v>483</v>
      </c>
      <c r="E4995" t="s">
        <v>40</v>
      </c>
      <c r="F4995" t="s">
        <v>205</v>
      </c>
      <c r="G4995">
        <v>3</v>
      </c>
      <c r="H4995" s="7">
        <v>79.7</v>
      </c>
      <c r="I4995" t="s">
        <v>103</v>
      </c>
      <c r="J4995" t="s">
        <v>22</v>
      </c>
      <c r="K4995">
        <v>0</v>
      </c>
      <c r="L4995" s="7">
        <f t="shared" ref="L4995:L5001" si="235">G4995*H4995</f>
        <v>239.10000000000002</v>
      </c>
      <c r="M4995" s="7"/>
      <c r="O4995">
        <f t="shared" si="233"/>
        <v>2</v>
      </c>
      <c r="Q4995" t="s">
        <v>104</v>
      </c>
    </row>
    <row r="4996" spans="1:17" x14ac:dyDescent="0.3">
      <c r="A4996" t="s">
        <v>6127</v>
      </c>
      <c r="B4996" s="6">
        <v>44962</v>
      </c>
      <c r="C4996" s="6" t="str">
        <f t="shared" si="234"/>
        <v>Feb</v>
      </c>
      <c r="D4996" t="s">
        <v>5154</v>
      </c>
      <c r="E4996" t="s">
        <v>62</v>
      </c>
      <c r="F4996" t="s">
        <v>263</v>
      </c>
      <c r="G4996">
        <v>2</v>
      </c>
      <c r="H4996" s="7">
        <v>397.38</v>
      </c>
      <c r="I4996" t="s">
        <v>103</v>
      </c>
      <c r="J4996" t="s">
        <v>28</v>
      </c>
      <c r="K4996">
        <v>20</v>
      </c>
      <c r="L4996" s="7">
        <f t="shared" si="235"/>
        <v>794.76</v>
      </c>
      <c r="M4996" s="7"/>
      <c r="O4996">
        <f t="shared" ref="O4996:O5002" si="236">IF(L4996&gt;3500,5,IF(L4996&gt;3000,4,IF(L4996&gt;2500,3,IF(L4996&gt;2000,2,IF(L4996&gt;1000,2,2)))))</f>
        <v>2</v>
      </c>
      <c r="Q4996" t="s">
        <v>104</v>
      </c>
    </row>
    <row r="4997" spans="1:17" x14ac:dyDescent="0.3">
      <c r="A4997" t="s">
        <v>6128</v>
      </c>
      <c r="B4997" s="6">
        <v>45016</v>
      </c>
      <c r="C4997" s="6" t="str">
        <f t="shared" si="234"/>
        <v>Mar</v>
      </c>
      <c r="D4997" t="s">
        <v>236</v>
      </c>
      <c r="E4997" t="s">
        <v>26</v>
      </c>
      <c r="F4997" t="s">
        <v>538</v>
      </c>
      <c r="G4997">
        <v>7</v>
      </c>
      <c r="H4997" s="7">
        <v>444.34</v>
      </c>
      <c r="I4997" t="s">
        <v>46</v>
      </c>
      <c r="J4997" t="s">
        <v>72</v>
      </c>
      <c r="K4997">
        <v>20</v>
      </c>
      <c r="L4997" s="7">
        <f t="shared" si="235"/>
        <v>3110.3799999999997</v>
      </c>
      <c r="M4997" s="7"/>
      <c r="O4997">
        <f t="shared" si="236"/>
        <v>4</v>
      </c>
      <c r="Q4997" t="s">
        <v>47</v>
      </c>
    </row>
    <row r="4998" spans="1:17" x14ac:dyDescent="0.3">
      <c r="A4998" t="s">
        <v>6129</v>
      </c>
      <c r="B4998" s="6">
        <v>44944</v>
      </c>
      <c r="C4998" s="6" t="str">
        <f t="shared" si="234"/>
        <v>Jan</v>
      </c>
      <c r="D4998" t="s">
        <v>2569</v>
      </c>
      <c r="E4998" t="s">
        <v>40</v>
      </c>
      <c r="F4998" t="s">
        <v>331</v>
      </c>
      <c r="G4998">
        <v>1</v>
      </c>
      <c r="H4998" s="7">
        <v>145.09</v>
      </c>
      <c r="I4998" t="s">
        <v>103</v>
      </c>
      <c r="J4998" t="s">
        <v>28</v>
      </c>
      <c r="K4998">
        <v>10</v>
      </c>
      <c r="L4998" s="7">
        <f t="shared" si="235"/>
        <v>145.09</v>
      </c>
      <c r="M4998" s="7"/>
      <c r="O4998">
        <f t="shared" si="236"/>
        <v>2</v>
      </c>
      <c r="Q4998" t="s">
        <v>104</v>
      </c>
    </row>
    <row r="4999" spans="1:17" x14ac:dyDescent="0.3">
      <c r="A4999" t="s">
        <v>6130</v>
      </c>
      <c r="B4999" s="6">
        <v>45275</v>
      </c>
      <c r="C4999" s="6" t="str">
        <f t="shared" si="234"/>
        <v>Dec</v>
      </c>
      <c r="D4999" t="s">
        <v>2145</v>
      </c>
      <c r="E4999" t="s">
        <v>50</v>
      </c>
      <c r="F4999" t="s">
        <v>732</v>
      </c>
      <c r="G4999">
        <v>3</v>
      </c>
      <c r="H4999" s="7">
        <v>252.16</v>
      </c>
      <c r="I4999" t="s">
        <v>19</v>
      </c>
      <c r="J4999" t="s">
        <v>22</v>
      </c>
      <c r="K4999">
        <v>15</v>
      </c>
      <c r="L4999" s="7">
        <f t="shared" si="235"/>
        <v>756.48</v>
      </c>
      <c r="M4999" s="7"/>
      <c r="O4999">
        <f t="shared" si="236"/>
        <v>2</v>
      </c>
      <c r="Q4999" t="s">
        <v>19</v>
      </c>
    </row>
    <row r="5000" spans="1:17" x14ac:dyDescent="0.3">
      <c r="A5000" t="s">
        <v>6131</v>
      </c>
      <c r="B5000" s="6">
        <v>45089</v>
      </c>
      <c r="C5000" s="6" t="str">
        <f t="shared" si="234"/>
        <v>Jun</v>
      </c>
      <c r="D5000" t="s">
        <v>866</v>
      </c>
      <c r="E5000" t="s">
        <v>19</v>
      </c>
      <c r="F5000" t="s">
        <v>833</v>
      </c>
      <c r="G5000">
        <v>4</v>
      </c>
      <c r="H5000" s="7">
        <v>180.72</v>
      </c>
      <c r="I5000" t="s">
        <v>19</v>
      </c>
      <c r="J5000" t="s">
        <v>87</v>
      </c>
      <c r="K5000">
        <v>20</v>
      </c>
      <c r="L5000" s="7">
        <f t="shared" si="235"/>
        <v>722.88</v>
      </c>
      <c r="M5000" s="7"/>
      <c r="O5000">
        <f t="shared" si="236"/>
        <v>2</v>
      </c>
      <c r="Q5000" t="s">
        <v>19</v>
      </c>
    </row>
    <row r="5001" spans="1:17" x14ac:dyDescent="0.3">
      <c r="A5001" t="s">
        <v>6132</v>
      </c>
      <c r="B5001" s="6">
        <v>45056</v>
      </c>
      <c r="C5001" s="6" t="str">
        <f t="shared" si="234"/>
        <v>May</v>
      </c>
      <c r="D5001" t="s">
        <v>1060</v>
      </c>
      <c r="E5001" t="s">
        <v>26</v>
      </c>
      <c r="F5001" t="s">
        <v>693</v>
      </c>
      <c r="G5001">
        <v>1</v>
      </c>
      <c r="H5001" s="7">
        <v>40.909999999999997</v>
      </c>
      <c r="I5001" t="s">
        <v>21</v>
      </c>
      <c r="J5001" t="s">
        <v>19</v>
      </c>
      <c r="K5001">
        <v>10</v>
      </c>
      <c r="L5001" s="7">
        <f t="shared" si="235"/>
        <v>40.909999999999997</v>
      </c>
      <c r="M5001" s="7"/>
      <c r="O5001">
        <f t="shared" si="236"/>
        <v>2</v>
      </c>
      <c r="Q50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 Hadawale</dc:creator>
  <cp:lastModifiedBy>datta Hadawale</cp:lastModifiedBy>
  <dcterms:created xsi:type="dcterms:W3CDTF">2026-03-01T07:24:27Z</dcterms:created>
  <dcterms:modified xsi:type="dcterms:W3CDTF">2026-03-01T07:26:07Z</dcterms:modified>
</cp:coreProperties>
</file>